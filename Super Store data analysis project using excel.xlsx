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bookViews>
    <workbookView xWindow="0" yWindow="0" windowWidth="11670" windowHeight="3675"/>
  </bookViews>
  <sheets>
    <sheet name="SuperStoreUS-2015(Orders)" sheetId="1" r:id="rId1"/>
    <sheet name="Dashboard" sheetId="3" r:id="rId2"/>
    <sheet name="Sheet1" sheetId="2" r:id="rId3"/>
  </sheets>
  <calcPr calcId="152511"/>
  <pivotCaches>
    <pivotCache cacheId="0" r:id="rId4"/>
    <pivotCache cacheId="9" r:id="rId5"/>
  </pivotCaches>
</workbook>
</file>

<file path=xl/calcChain.xml><?xml version="1.0" encoding="utf-8"?>
<calcChain xmlns="http://schemas.openxmlformats.org/spreadsheetml/2006/main">
  <c r="Z1952" i="1" l="1"/>
  <c r="Z195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2" i="1"/>
  <c r="X1954" i="1"/>
</calcChain>
</file>

<file path=xl/sharedStrings.xml><?xml version="1.0" encoding="utf-8"?>
<sst xmlns="http://schemas.openxmlformats.org/spreadsheetml/2006/main" count="23477" uniqueCount="3018">
  <si>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</si>
  <si>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</si>
  <si>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</si>
  <si>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</si>
  <si>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</si>
  <si>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</si>
  <si>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</si>
  <si>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</si>
  <si>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</si>
  <si>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</si>
  <si>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</si>
  <si>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</si>
  <si>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</si>
  <si>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</si>
  <si>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</si>
  <si>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</si>
  <si>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</si>
  <si>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</si>
  <si>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</si>
  <si>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</si>
  <si>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</si>
  <si>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</si>
  <si>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</si>
  <si>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</si>
  <si>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</si>
  <si>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</si>
  <si>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</si>
  <si>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</si>
  <si>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</si>
  <si>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</si>
  <si>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</si>
  <si>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</si>
  <si>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</si>
  <si>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</si>
  <si>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</si>
  <si>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</si>
  <si>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</si>
  <si>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</si>
  <si>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</si>
  <si>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</si>
  <si>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</si>
  <si>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</si>
  <si>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</si>
  <si>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</si>
  <si>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</si>
  <si>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</si>
  <si>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</si>
  <si>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</si>
  <si>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</si>
  <si>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</si>
  <si>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</si>
  <si>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</si>
  <si>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</si>
  <si>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</si>
  <si>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</si>
  <si>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</si>
  <si>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</si>
  <si>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</si>
  <si>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</si>
  <si>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</si>
  <si>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</si>
  <si>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</si>
  <si>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</si>
  <si>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</si>
  <si>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</si>
  <si>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</si>
  <si>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</si>
  <si>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</si>
  <si>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</si>
  <si>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</si>
  <si>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</si>
  <si>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</si>
  <si>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</si>
  <si>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</si>
  <si>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</si>
  <si>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</si>
  <si>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</si>
  <si>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</si>
  <si>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</si>
  <si>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</si>
  <si>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</si>
  <si>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</si>
  <si>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</si>
  <si>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</si>
  <si>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</si>
  <si>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</si>
  <si>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</si>
  <si>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</si>
  <si>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</si>
  <si>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</si>
  <si>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</si>
  <si>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</si>
  <si>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</si>
  <si>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</si>
  <si>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</si>
  <si>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</si>
  <si>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</si>
  <si>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</si>
  <si>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</si>
  <si>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</si>
  <si>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</si>
  <si>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</si>
  <si>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</si>
  <si>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</si>
  <si>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</si>
  <si>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</si>
  <si>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</si>
  <si>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</si>
  <si>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</si>
  <si>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</si>
  <si>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</si>
  <si>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</si>
  <si>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</si>
  <si>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</si>
  <si>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</si>
  <si>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</si>
  <si>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</si>
  <si>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</si>
  <si>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</si>
  <si>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</si>
  <si>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</si>
  <si>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</si>
  <si>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</si>
  <si>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</si>
  <si>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</si>
  <si>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</si>
  <si>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</si>
  <si>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</si>
  <si>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</si>
  <si>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</si>
  <si>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</si>
  <si>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</si>
  <si>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</si>
  <si>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</si>
  <si>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</si>
  <si>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</si>
  <si>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</si>
  <si>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</si>
  <si>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</si>
  <si>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</si>
  <si>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</si>
  <si>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</si>
  <si>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</si>
  <si>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</si>
  <si>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</si>
  <si>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</si>
  <si>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</si>
  <si>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</si>
  <si>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</si>
  <si>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</si>
  <si>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</si>
  <si>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</si>
  <si>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</si>
  <si>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</si>
  <si>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</si>
  <si>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</si>
  <si>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</si>
  <si>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</si>
  <si>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</si>
  <si>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</si>
  <si>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</si>
  <si>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</si>
  <si>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</si>
  <si>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</si>
  <si>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</si>
  <si>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</si>
  <si>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</si>
  <si>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</si>
  <si>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</si>
  <si>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</si>
  <si>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</si>
  <si>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</si>
  <si>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</si>
  <si>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</si>
  <si>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</si>
  <si>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</si>
  <si>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</si>
  <si>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</si>
  <si>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</si>
  <si>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</si>
  <si>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</si>
  <si>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</si>
  <si>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</si>
  <si>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</si>
  <si>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</si>
  <si>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</si>
  <si>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</si>
  <si>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</si>
  <si>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</si>
  <si>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</si>
  <si>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</si>
  <si>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</si>
  <si>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</si>
  <si>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</si>
  <si>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</si>
  <si>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</si>
  <si>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</si>
  <si>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</si>
  <si>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</si>
  <si>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</si>
  <si>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</si>
  <si>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</si>
  <si>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</si>
  <si>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</si>
  <si>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</si>
  <si>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</si>
  <si>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</si>
  <si>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</si>
  <si>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</si>
  <si>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</si>
  <si>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</si>
  <si>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</si>
  <si>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</si>
  <si>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</si>
  <si>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</si>
  <si>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</si>
  <si>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</si>
  <si>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</si>
  <si>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</si>
  <si>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</si>
  <si>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</si>
  <si>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</si>
  <si>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</si>
  <si>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</si>
  <si>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</si>
  <si>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</si>
  <si>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</si>
  <si>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</si>
  <si>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</si>
  <si>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</si>
  <si>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</si>
  <si>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</si>
  <si>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</si>
  <si>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</si>
  <si>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</si>
  <si>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</si>
  <si>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</si>
  <si>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</si>
  <si>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</si>
  <si>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</si>
  <si>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</si>
  <si>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</si>
  <si>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</si>
  <si>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</si>
  <si>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</si>
  <si>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</si>
  <si>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</si>
  <si>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</si>
  <si>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</si>
  <si>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</si>
  <si>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</si>
  <si>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</si>
  <si>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</si>
  <si>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</si>
  <si>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</si>
  <si>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</si>
  <si>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</si>
  <si>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</si>
  <si>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</si>
  <si>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</si>
  <si>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</si>
  <si>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</si>
  <si>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</si>
  <si>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</si>
  <si>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</si>
  <si>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</si>
  <si>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</si>
  <si>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</si>
  <si>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</si>
  <si>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</si>
  <si>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</si>
  <si>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</si>
  <si>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</si>
  <si>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</si>
  <si>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</si>
  <si>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</si>
  <si>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</si>
  <si>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</si>
  <si>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</si>
  <si>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</si>
  <si>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</si>
  <si>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</si>
  <si>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</si>
  <si>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</si>
  <si>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</si>
  <si>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</si>
  <si>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</si>
  <si>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</si>
  <si>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</si>
  <si>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</si>
  <si>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</si>
  <si>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</si>
  <si>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</si>
  <si>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</si>
  <si>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</si>
  <si>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</si>
  <si>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</si>
  <si>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</si>
  <si>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</si>
  <si>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</si>
  <si>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</si>
  <si>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</si>
  <si>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</si>
  <si>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</si>
  <si>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</si>
  <si>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</si>
  <si>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</si>
  <si>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</si>
  <si>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</si>
  <si>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</si>
  <si>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</si>
  <si>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</si>
  <si>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</si>
  <si>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</si>
  <si>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</si>
  <si>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</si>
  <si>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</si>
  <si>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</si>
  <si>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</si>
  <si>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</si>
  <si>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</si>
  <si>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</si>
  <si>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</si>
  <si>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</si>
  <si>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</si>
  <si>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</si>
  <si>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</si>
  <si>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</si>
  <si>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</si>
  <si>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</si>
  <si>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</si>
  <si>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</si>
  <si>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</si>
  <si>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</si>
  <si>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</si>
  <si>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</si>
  <si>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</si>
  <si>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</si>
  <si>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</si>
  <si>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</si>
  <si>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</si>
  <si>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</si>
  <si>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</si>
  <si>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</si>
  <si>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</si>
  <si>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</si>
  <si>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</si>
  <si>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</si>
  <si>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</si>
  <si>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</si>
  <si>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</si>
  <si>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</si>
  <si>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</si>
  <si>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</si>
  <si>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</si>
  <si>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</si>
  <si>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</si>
  <si>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</si>
  <si>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</si>
  <si>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</si>
  <si>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</si>
  <si>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</si>
  <si>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</si>
  <si>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</si>
  <si>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</si>
  <si>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</si>
  <si>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</si>
  <si>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</si>
  <si>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</si>
  <si>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</si>
  <si>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</si>
  <si>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</si>
  <si>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</si>
  <si>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</si>
  <si>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</si>
  <si>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</si>
  <si>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</si>
  <si>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</si>
  <si>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</si>
  <si>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</si>
  <si>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</si>
  <si>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</si>
  <si>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</si>
  <si>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</si>
  <si>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</si>
  <si>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</si>
  <si>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</si>
  <si>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</si>
  <si>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</si>
  <si>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</si>
  <si>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</si>
  <si>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</si>
  <si>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</si>
  <si>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</si>
  <si>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</si>
  <si>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</si>
  <si>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</si>
  <si>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</si>
  <si>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</si>
  <si>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</si>
  <si>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</si>
  <si>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</si>
  <si>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</si>
  <si>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</si>
  <si>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</si>
  <si>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</si>
  <si>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</si>
  <si>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</si>
  <si>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</si>
  <si>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</si>
  <si>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</si>
  <si>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</si>
  <si>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</si>
  <si>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</si>
  <si>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</si>
  <si>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</si>
  <si>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</si>
  <si>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</si>
  <si>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</si>
  <si>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</si>
  <si>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</si>
  <si>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</si>
  <si>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</si>
  <si>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</si>
  <si>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</si>
  <si>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</si>
  <si>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</si>
  <si>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</si>
  <si>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</si>
  <si>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</si>
  <si>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</si>
  <si>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</si>
  <si>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</si>
  <si>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</si>
  <si>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</si>
  <si>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</si>
  <si>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</si>
  <si>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</si>
  <si>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</si>
  <si>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</si>
  <si>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</si>
  <si>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</si>
  <si>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</si>
  <si>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</si>
  <si>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</si>
  <si>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</si>
  <si>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</si>
  <si>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</si>
  <si>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</si>
  <si>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</si>
  <si>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</si>
  <si>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</si>
  <si>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</si>
  <si>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</si>
  <si>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</si>
  <si>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</si>
  <si>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</si>
  <si>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</si>
  <si>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</si>
  <si>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</si>
  <si>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</si>
  <si>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</si>
  <si>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</si>
  <si>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</si>
  <si>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</si>
  <si>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</si>
  <si>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</si>
  <si>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</si>
  <si>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</si>
  <si>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</si>
  <si>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</si>
  <si>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</si>
  <si>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</si>
  <si>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</si>
  <si>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</si>
  <si>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</si>
  <si>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</si>
  <si>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</si>
  <si>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</si>
  <si>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</si>
  <si>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</si>
  <si>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</si>
  <si>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</si>
  <si>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</si>
  <si>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</si>
  <si>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</si>
  <si>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</si>
  <si>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</si>
  <si>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</si>
  <si>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</si>
  <si>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</si>
  <si>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</si>
  <si>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</si>
  <si>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</si>
  <si>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</si>
  <si>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</si>
  <si>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</si>
  <si>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</si>
  <si>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</si>
  <si>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</si>
  <si>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</si>
  <si>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</si>
  <si>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</si>
  <si>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</si>
  <si>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</si>
  <si>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</si>
  <si>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</si>
  <si>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</si>
  <si>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</si>
  <si>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</si>
  <si>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</si>
  <si>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</si>
  <si>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</si>
  <si>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</si>
  <si>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</si>
  <si>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</si>
  <si>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</si>
  <si>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</si>
  <si>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</si>
  <si>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</si>
  <si>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</si>
  <si>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</si>
  <si>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</si>
  <si>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</si>
  <si>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</si>
  <si>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</si>
  <si>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</si>
  <si>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</si>
  <si>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</si>
  <si>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</si>
  <si>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</si>
  <si>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</si>
  <si>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</si>
  <si>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</si>
  <si>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</si>
  <si>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</si>
  <si>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</si>
  <si>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</si>
  <si>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</si>
  <si>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</si>
  <si>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</si>
  <si>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</si>
  <si>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</si>
  <si>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</si>
  <si>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</si>
  <si>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</si>
  <si>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</si>
  <si>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</si>
  <si>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</si>
  <si>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</si>
  <si>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</si>
  <si>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</si>
  <si>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</si>
  <si>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</si>
  <si>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</si>
  <si>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</si>
  <si>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</si>
  <si>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</si>
  <si>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</si>
  <si>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</si>
  <si>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</si>
  <si>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</si>
  <si>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</si>
  <si>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</si>
  <si>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</si>
  <si>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</si>
  <si>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</si>
  <si>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</si>
  <si>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</si>
  <si>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</si>
  <si>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</si>
  <si>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</si>
  <si>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</si>
  <si>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</si>
  <si>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</si>
  <si>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</si>
  <si>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</si>
  <si>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</si>
  <si>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</si>
  <si>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</si>
  <si>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</si>
  <si>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</si>
  <si>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</si>
  <si>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</si>
  <si>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</si>
  <si>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</si>
  <si>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</si>
  <si>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</si>
  <si>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</si>
  <si>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</si>
  <si>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</si>
  <si>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</si>
  <si>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</si>
  <si>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</si>
  <si>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</si>
  <si>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</si>
  <si>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</si>
  <si>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</si>
  <si>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</si>
  <si>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</si>
  <si>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</si>
  <si>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</si>
  <si>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</si>
  <si>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</si>
  <si>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</si>
  <si>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</si>
  <si>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</si>
  <si>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</si>
  <si>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</si>
  <si>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</si>
  <si>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</si>
  <si>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</si>
  <si>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</si>
  <si>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</si>
  <si>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</si>
  <si>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</si>
  <si>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</si>
  <si>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</si>
  <si>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</si>
  <si>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</si>
  <si>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</si>
  <si>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</si>
  <si>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</si>
  <si>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</si>
  <si>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</si>
  <si>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</si>
  <si>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</si>
  <si>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</si>
  <si>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</si>
  <si>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</si>
  <si>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</si>
  <si>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</si>
  <si>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</si>
  <si>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</si>
  <si>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</si>
  <si>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</si>
  <si>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</si>
  <si>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</si>
  <si>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</si>
  <si>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</si>
  <si>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</si>
  <si>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</si>
  <si>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</si>
  <si>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</si>
  <si>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</si>
  <si>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</si>
  <si>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</si>
  <si>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</si>
  <si>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</si>
  <si>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</si>
  <si>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</si>
  <si>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</si>
  <si>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</si>
  <si>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</si>
  <si>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</si>
  <si>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</si>
  <si>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</si>
  <si>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</si>
  <si>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</si>
  <si>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</si>
  <si>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</si>
  <si>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</si>
  <si>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</si>
  <si>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</si>
  <si>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</si>
  <si>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</si>
  <si>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</si>
  <si>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</si>
  <si>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</si>
  <si>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</si>
  <si>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</si>
  <si>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</si>
  <si>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</si>
  <si>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</si>
  <si>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</si>
  <si>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</si>
  <si>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</si>
  <si>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</si>
  <si>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</si>
  <si>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</si>
  <si>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</si>
  <si>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</si>
  <si>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</si>
  <si>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</si>
  <si>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</si>
  <si>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</si>
  <si>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</si>
  <si>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</si>
  <si>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</si>
  <si>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</si>
  <si>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</si>
  <si>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</si>
  <si>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</si>
  <si>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</si>
  <si>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</si>
  <si>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</si>
  <si>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</si>
  <si>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</si>
  <si>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</si>
  <si>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</si>
  <si>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</si>
  <si>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</si>
  <si>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</si>
  <si>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</si>
  <si>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</si>
  <si>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</si>
  <si>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</si>
  <si>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</si>
  <si>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</si>
  <si>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</si>
  <si>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</si>
  <si>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</si>
  <si>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</si>
  <si>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</si>
  <si>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</si>
  <si>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</si>
  <si>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</si>
  <si>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</si>
  <si>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</si>
  <si>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</si>
  <si>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</si>
  <si>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</si>
  <si>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</si>
  <si>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</si>
  <si>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</si>
  <si>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</si>
  <si>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</si>
  <si>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</si>
  <si>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</si>
  <si>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</si>
  <si>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</si>
  <si>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</si>
  <si>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</si>
  <si>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</si>
  <si>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</si>
  <si>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</si>
  <si>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</si>
  <si>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</si>
  <si>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</si>
  <si>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</si>
  <si>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</si>
  <si>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</si>
  <si>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</si>
  <si>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</si>
  <si>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</si>
  <si>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</si>
  <si>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</si>
  <si>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</si>
  <si>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</si>
  <si>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</si>
  <si>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</si>
  <si>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</si>
  <si>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</si>
  <si>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</si>
  <si>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</si>
  <si>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</si>
  <si>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</si>
  <si>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</si>
  <si>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</si>
  <si>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</si>
  <si>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</si>
  <si>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</si>
  <si>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</si>
  <si>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</si>
  <si>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</si>
  <si>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</si>
  <si>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</si>
  <si>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</si>
  <si>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</si>
  <si>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</si>
  <si>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</si>
  <si>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</si>
  <si>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</si>
  <si>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</si>
  <si>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</si>
  <si>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</si>
  <si>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</si>
  <si>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</si>
  <si>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</si>
  <si>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</si>
  <si>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</si>
  <si>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</si>
  <si>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</si>
  <si>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</si>
  <si>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</si>
  <si>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</si>
  <si>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</si>
  <si>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</si>
  <si>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</si>
  <si>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</si>
  <si>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</si>
  <si>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</si>
  <si>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</si>
  <si>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</si>
  <si>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</si>
  <si>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</si>
  <si>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</si>
  <si>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</si>
  <si>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</si>
  <si>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</si>
  <si>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</si>
  <si>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</si>
  <si>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</si>
  <si>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</si>
  <si>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</si>
  <si>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</si>
  <si>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</si>
  <si>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</si>
  <si>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</si>
  <si>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</si>
  <si>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</si>
  <si>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</si>
  <si>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</si>
  <si>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</si>
  <si>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</si>
  <si>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</si>
  <si>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</si>
  <si>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</si>
  <si>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</si>
  <si>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</si>
  <si>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</si>
  <si>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</si>
  <si>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</si>
  <si>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</si>
  <si>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</si>
  <si>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</si>
  <si>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</si>
  <si>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</si>
  <si>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</si>
  <si>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</si>
  <si>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</si>
  <si>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</si>
  <si>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</si>
  <si>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</si>
  <si>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</si>
  <si>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</si>
  <si>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</si>
  <si>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</si>
  <si>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</si>
  <si>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</si>
  <si>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</si>
  <si>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</si>
  <si>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</si>
  <si>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</si>
  <si>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</si>
  <si>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</si>
  <si>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</si>
  <si>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</si>
  <si>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</si>
  <si>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</si>
  <si>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</si>
  <si>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</si>
  <si>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</si>
  <si>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</si>
  <si>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</si>
  <si>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</si>
  <si>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</si>
  <si>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</si>
  <si>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</si>
  <si>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</si>
  <si>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</si>
  <si>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</si>
  <si>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</si>
  <si>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</si>
  <si>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</si>
  <si>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</si>
  <si>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</si>
  <si>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</si>
  <si>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</si>
  <si>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</si>
  <si>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</si>
  <si>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</si>
  <si>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</si>
  <si>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</si>
  <si>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</si>
  <si>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</si>
  <si>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</si>
  <si>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</si>
  <si>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</si>
  <si>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</si>
  <si>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</si>
  <si>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</si>
  <si>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</si>
  <si>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</si>
  <si>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</si>
  <si>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</si>
  <si>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</si>
  <si>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</si>
  <si>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</si>
  <si>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</si>
  <si>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</si>
  <si>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</si>
  <si>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</si>
  <si>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</si>
  <si>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</si>
  <si>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</si>
  <si>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</si>
  <si>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</si>
  <si>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</si>
  <si>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</si>
  <si>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</si>
  <si>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</si>
  <si>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</si>
  <si>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</si>
  <si>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</si>
  <si>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</si>
  <si>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</si>
  <si>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</si>
  <si>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</si>
  <si>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</si>
  <si>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</si>
  <si>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</si>
  <si>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</si>
  <si>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</si>
  <si>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</si>
  <si>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</si>
  <si>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</si>
  <si>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</si>
  <si>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</si>
  <si>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</si>
  <si>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</si>
  <si>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</si>
  <si>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</si>
  <si>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</si>
  <si>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</si>
  <si>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</si>
  <si>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</si>
  <si>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</si>
  <si>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</si>
  <si>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</si>
  <si>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</si>
  <si>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</si>
  <si>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</si>
  <si>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</si>
  <si>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</si>
  <si>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</si>
  <si>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</si>
  <si>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</si>
  <si>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</si>
  <si>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</si>
  <si>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</si>
  <si>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</si>
  <si>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</si>
  <si>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</si>
  <si>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</si>
  <si>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</si>
  <si>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</si>
  <si>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</si>
  <si>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</si>
  <si>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</si>
  <si>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</si>
  <si>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</si>
  <si>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</si>
  <si>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</si>
  <si>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</si>
  <si>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</si>
  <si>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</si>
  <si>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</si>
  <si>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</si>
  <si>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</si>
  <si>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</si>
  <si>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</si>
  <si>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</si>
  <si>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</si>
  <si>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</si>
  <si>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</si>
  <si>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</si>
  <si>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</si>
  <si>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</si>
  <si>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</si>
  <si>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</si>
  <si>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</si>
  <si>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</si>
  <si>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</si>
  <si>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</si>
  <si>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</si>
  <si>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</si>
  <si>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</si>
  <si>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</si>
  <si>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</si>
  <si>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</si>
  <si>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</si>
  <si>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</si>
  <si>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</si>
  <si>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</si>
  <si>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</si>
  <si>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</si>
  <si>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</si>
  <si>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</si>
  <si>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</si>
  <si>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</si>
  <si>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</si>
  <si>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</si>
  <si>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</si>
  <si>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</si>
  <si>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</si>
  <si>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</si>
  <si>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</si>
  <si>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</si>
  <si>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</si>
  <si>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</si>
  <si>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</si>
  <si>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</si>
  <si>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</si>
  <si>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</si>
  <si>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</si>
  <si>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</si>
  <si>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</si>
  <si>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</si>
  <si>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</si>
  <si>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</si>
  <si>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</si>
  <si>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</si>
  <si>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</si>
  <si>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</si>
  <si>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</si>
  <si>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</si>
  <si>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</si>
  <si>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</si>
  <si>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</si>
  <si>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</si>
  <si>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</si>
  <si>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</si>
  <si>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</si>
  <si>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</si>
  <si>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</si>
  <si>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</si>
  <si>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</si>
  <si>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</si>
  <si>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</si>
  <si>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</si>
  <si>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</si>
  <si>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</si>
  <si>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</si>
  <si>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</si>
  <si>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</si>
  <si>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</si>
  <si>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</si>
  <si>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</si>
  <si>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</si>
  <si>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</si>
  <si>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</si>
  <si>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</si>
  <si>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</si>
  <si>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</si>
  <si>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</si>
  <si>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</si>
  <si>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</si>
  <si>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</si>
  <si>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</si>
  <si>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</si>
  <si>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</si>
  <si>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</si>
  <si>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</si>
  <si>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</si>
  <si>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</si>
  <si>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</si>
  <si>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</si>
  <si>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</si>
  <si>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</si>
  <si>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</si>
  <si>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</si>
  <si>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</si>
  <si>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</si>
  <si>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</si>
  <si>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</si>
  <si>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</si>
  <si>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</si>
  <si>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</si>
  <si>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</si>
  <si>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</si>
  <si>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</si>
  <si>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</si>
  <si>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</si>
  <si>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</si>
  <si>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</si>
  <si>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</si>
  <si>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</si>
  <si>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</si>
  <si>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</si>
  <si>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</si>
  <si>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</si>
  <si>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</si>
  <si>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</si>
  <si>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</si>
  <si>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</si>
  <si>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</si>
  <si>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</si>
  <si>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</si>
  <si>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</si>
  <si>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</si>
  <si>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</si>
  <si>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</si>
  <si>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</si>
  <si>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</si>
  <si>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</si>
  <si>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</si>
  <si>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</si>
  <si>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</si>
  <si>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</si>
  <si>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</si>
  <si>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</si>
  <si>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</si>
  <si>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</si>
  <si>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</si>
  <si>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</si>
  <si>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</si>
  <si>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</si>
  <si>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</si>
  <si>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</si>
  <si>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</si>
  <si>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</si>
  <si>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</si>
  <si>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</si>
  <si>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</si>
  <si>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</si>
  <si>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</si>
  <si>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</si>
  <si>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</si>
  <si>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</si>
  <si>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</si>
  <si>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</si>
  <si>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</si>
  <si>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</si>
  <si>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</si>
  <si>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</si>
  <si>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</si>
  <si>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</si>
  <si>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</si>
  <si>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</si>
  <si>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</si>
  <si>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</si>
  <si>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</si>
  <si>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</si>
  <si>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</si>
  <si>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</si>
  <si>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</si>
  <si>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</si>
  <si>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</si>
  <si>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</si>
  <si>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</si>
  <si>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</si>
  <si>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</si>
  <si>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</si>
  <si>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</si>
  <si>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</si>
  <si>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</si>
  <si>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</si>
  <si>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</si>
  <si>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</si>
  <si>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</si>
  <si>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</si>
  <si>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</si>
  <si>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</si>
  <si>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</si>
  <si>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</si>
  <si>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</si>
  <si>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</si>
  <si>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</si>
  <si>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</si>
  <si>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</si>
  <si>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</si>
  <si>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</si>
  <si>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</si>
  <si>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</si>
  <si>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</si>
  <si>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</si>
  <si>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</si>
  <si>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</si>
  <si>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</si>
  <si>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</si>
  <si>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</si>
  <si>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</si>
  <si>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</si>
  <si>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</si>
  <si>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</si>
  <si>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</si>
  <si>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</si>
  <si>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</si>
  <si>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</si>
  <si>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</si>
  <si>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</si>
  <si>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</si>
  <si>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</si>
  <si>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</si>
  <si>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</si>
  <si>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</si>
  <si>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</si>
  <si>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</si>
  <si>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</si>
  <si>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</si>
  <si>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</si>
  <si>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</si>
  <si>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</si>
  <si>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</si>
  <si>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</si>
  <si>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</si>
  <si>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</si>
  <si>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</si>
  <si>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</si>
  <si>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</si>
  <si>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</si>
  <si>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</si>
  <si>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</si>
  <si>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</si>
  <si>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</si>
  <si>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</si>
  <si>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</si>
  <si>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</si>
  <si>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</si>
  <si>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</si>
  <si>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</si>
  <si>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</si>
  <si>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</si>
  <si>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</si>
  <si>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</si>
  <si>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</si>
  <si>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</si>
  <si>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</si>
  <si>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</si>
  <si>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</si>
  <si>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</si>
  <si>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</si>
  <si>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</si>
  <si>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</si>
  <si>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</si>
  <si>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</si>
  <si>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</si>
  <si>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</si>
  <si>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</si>
  <si>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</si>
  <si>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</si>
  <si>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</si>
  <si>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</si>
  <si>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</si>
  <si>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</si>
  <si>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</si>
  <si>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</si>
  <si>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</si>
  <si>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</si>
  <si>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</si>
  <si>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</si>
  <si>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</si>
  <si>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</si>
  <si>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</si>
  <si>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</si>
  <si>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</si>
  <si>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</si>
  <si>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</si>
  <si>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</si>
  <si>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</si>
  <si>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</si>
  <si>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</si>
  <si>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</si>
  <si>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</si>
  <si>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</si>
  <si>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</si>
  <si>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</si>
  <si>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</si>
  <si>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</si>
  <si>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</si>
  <si>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</si>
  <si>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</si>
  <si>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</si>
  <si>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</si>
  <si>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</si>
  <si>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</si>
  <si>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</si>
  <si>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</si>
  <si>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</si>
  <si>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</si>
  <si>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</si>
  <si>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</si>
  <si>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</si>
  <si>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</si>
  <si>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</si>
  <si>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</si>
  <si>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</si>
  <si>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</si>
  <si>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</si>
  <si>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</si>
  <si>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</si>
  <si>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</si>
  <si>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</si>
  <si>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</si>
  <si>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</si>
  <si>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</si>
  <si>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</si>
  <si>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</si>
  <si>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</si>
  <si>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</si>
  <si>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</si>
  <si>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</si>
  <si>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</si>
  <si>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</si>
  <si>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</si>
  <si>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</si>
  <si>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</si>
  <si>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</si>
  <si>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</si>
  <si>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</si>
  <si>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</si>
  <si>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</si>
  <si>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</si>
  <si>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</si>
  <si>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</si>
  <si>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</si>
  <si>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</si>
  <si>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</si>
  <si>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</si>
  <si>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</si>
  <si>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</si>
  <si>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</si>
  <si>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</si>
  <si>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</si>
  <si>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</si>
  <si>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</si>
  <si>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</si>
  <si>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</si>
  <si>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</si>
  <si>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</si>
  <si>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</si>
  <si>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</si>
  <si>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</si>
  <si>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</si>
  <si>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</si>
  <si>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</si>
  <si>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</si>
  <si>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</si>
  <si>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</si>
  <si>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</si>
  <si>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</si>
  <si>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</si>
  <si>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</si>
  <si>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</si>
  <si>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</si>
  <si>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</si>
  <si>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</si>
  <si>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</si>
  <si>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</si>
  <si>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</si>
  <si>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</si>
  <si>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</si>
  <si>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</si>
  <si>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</si>
  <si>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</si>
  <si>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</si>
  <si>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</si>
  <si>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</si>
  <si>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</si>
  <si>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</si>
  <si>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</si>
  <si>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</si>
  <si>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</si>
  <si>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</si>
  <si>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</si>
  <si>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</si>
  <si>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</si>
  <si>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</si>
  <si>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</si>
  <si>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</si>
  <si>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</si>
  <si>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</si>
  <si>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</si>
  <si>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</si>
  <si>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</si>
  <si>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</si>
  <si>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</si>
  <si>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</si>
  <si>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</si>
  <si>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</si>
  <si>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</si>
  <si>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</si>
  <si>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</si>
  <si>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</si>
  <si>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</si>
  <si>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</si>
  <si>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</si>
  <si>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</si>
  <si>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</si>
  <si>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</si>
  <si>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</si>
  <si>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</si>
  <si>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</si>
  <si>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</si>
  <si>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</si>
  <si>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</si>
  <si>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</si>
  <si>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</si>
  <si>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</si>
  <si>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</si>
  <si>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</si>
  <si>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</si>
  <si>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</si>
  <si>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</si>
  <si>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</si>
  <si>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</si>
  <si>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</si>
  <si>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</si>
  <si>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</si>
  <si>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</si>
  <si>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</si>
  <si>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</si>
  <si>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</si>
  <si>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</si>
  <si>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</si>
  <si>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</si>
  <si>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</si>
  <si>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</si>
  <si>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</si>
  <si>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</si>
  <si>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</si>
  <si>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</si>
  <si>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</si>
  <si>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</si>
  <si>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</si>
  <si>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</si>
  <si>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</si>
  <si>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</si>
  <si>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</si>
  <si>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</si>
  <si>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</si>
  <si>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</si>
  <si>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</si>
  <si>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</si>
  <si>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</si>
  <si>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</si>
  <si>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</si>
  <si>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</si>
  <si>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</si>
  <si>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</si>
  <si>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</si>
  <si>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</si>
  <si>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</si>
  <si>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</si>
  <si>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</si>
  <si>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</si>
  <si>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</si>
  <si>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</si>
  <si>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</si>
  <si>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</si>
  <si>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</si>
  <si>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</si>
  <si>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</si>
  <si>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</si>
  <si>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</si>
  <si>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</si>
  <si>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</si>
  <si>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</si>
  <si>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</si>
  <si>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</si>
  <si>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</si>
  <si>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</si>
  <si>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</si>
  <si>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</si>
  <si>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</si>
  <si>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</si>
  <si>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</si>
  <si>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</si>
  <si>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</si>
  <si>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</si>
  <si>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</si>
  <si>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</si>
  <si>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</si>
  <si>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</si>
  <si>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</si>
  <si>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</si>
  <si>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</si>
  <si>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</si>
  <si>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</si>
  <si>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</si>
  <si>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</si>
  <si>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</si>
  <si>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</si>
  <si>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</si>
  <si>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</si>
  <si>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</si>
  <si>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</si>
  <si>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</si>
  <si>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</si>
  <si>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</si>
  <si>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</si>
  <si>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</si>
  <si>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</si>
  <si>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</si>
  <si>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</si>
  <si>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</si>
  <si>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</si>
  <si>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</si>
  <si>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</si>
  <si>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</si>
  <si>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</si>
  <si>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</si>
  <si>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</si>
  <si>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</si>
  <si>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</si>
  <si>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</si>
  <si>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</si>
  <si>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</si>
  <si>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</si>
  <si>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</si>
  <si>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</si>
  <si>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</si>
  <si>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</si>
  <si>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</si>
  <si>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</si>
  <si>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</si>
  <si>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</si>
  <si>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</si>
  <si>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</si>
  <si>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</si>
  <si>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</si>
  <si>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</si>
  <si>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</si>
  <si>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</si>
  <si>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</si>
  <si>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</si>
  <si>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</si>
  <si>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</si>
  <si>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</si>
  <si>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</si>
  <si>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</si>
  <si>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</si>
  <si>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</si>
  <si>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</si>
  <si>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</si>
  <si>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</si>
  <si>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</si>
  <si>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</si>
  <si>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</si>
  <si>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</si>
  <si>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</si>
  <si>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</si>
  <si>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</si>
  <si>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</si>
  <si>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</si>
  <si>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</si>
  <si>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</si>
  <si>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</si>
  <si>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</si>
  <si>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</si>
  <si>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</si>
  <si>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</si>
  <si>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</si>
  <si>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</si>
  <si>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</si>
  <si>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</si>
  <si>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</si>
  <si>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</si>
  <si>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</si>
  <si>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</si>
  <si>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</si>
  <si>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</si>
  <si>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</si>
  <si>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</si>
  <si>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</si>
  <si>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</si>
  <si>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</si>
  <si>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</si>
  <si>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</si>
  <si>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</si>
  <si>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</si>
  <si>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</si>
  <si>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</si>
  <si>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</si>
  <si>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</si>
  <si>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</si>
  <si>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</si>
  <si>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</si>
  <si>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</si>
  <si>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</si>
  <si>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</si>
  <si>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</si>
  <si>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</si>
  <si>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</si>
  <si>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</si>
  <si>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</si>
  <si>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</si>
  <si>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</si>
  <si>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</si>
  <si>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</si>
  <si>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</si>
  <si>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</si>
  <si>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</si>
  <si>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</si>
  <si>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</si>
  <si>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</si>
  <si>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</si>
  <si>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</si>
  <si>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</si>
  <si>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</si>
  <si>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</si>
  <si>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</si>
  <si>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</si>
  <si>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</si>
  <si>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</si>
  <si>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</si>
  <si>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</si>
  <si>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</si>
  <si>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</si>
  <si>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</si>
  <si>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</si>
  <si>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</si>
  <si>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</si>
  <si>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</si>
  <si>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</si>
  <si>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</si>
  <si>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</si>
  <si>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</si>
  <si>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</si>
  <si>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</si>
  <si>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</si>
  <si>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</si>
  <si>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</si>
  <si>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</si>
  <si>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</si>
  <si>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</si>
  <si>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</si>
  <si>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</si>
  <si>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</si>
  <si>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</si>
  <si>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</si>
  <si>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</si>
  <si>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</si>
  <si>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</si>
  <si>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</si>
  <si>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</si>
  <si>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</si>
  <si>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</si>
  <si>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</si>
  <si>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</si>
  <si>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</si>
  <si>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</si>
  <si>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</si>
  <si>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</si>
  <si>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</si>
  <si>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</si>
  <si>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</si>
  <si>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</si>
  <si>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</si>
  <si>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</si>
  <si>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</si>
  <si>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</si>
  <si>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</si>
  <si>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</si>
  <si>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</si>
  <si>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</si>
  <si>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</si>
  <si>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</si>
  <si>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</si>
  <si>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</si>
  <si>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</si>
  <si>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</si>
  <si>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</si>
  <si>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</si>
  <si>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</si>
  <si>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</si>
  <si>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</si>
  <si>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</si>
  <si>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</si>
  <si>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</si>
  <si>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</si>
  <si>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</si>
  <si>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</si>
  <si>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</si>
  <si>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</si>
  <si>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</si>
  <si>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</si>
  <si>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</si>
  <si>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</si>
  <si>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</si>
  <si>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</si>
  <si>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</si>
  <si>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</si>
  <si>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</si>
  <si>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</si>
  <si>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</si>
  <si>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</si>
  <si>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</si>
  <si>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</si>
  <si>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</si>
  <si>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</si>
  <si>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</si>
  <si>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</si>
  <si>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</si>
  <si>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</si>
  <si>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</si>
  <si>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</si>
  <si>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</si>
  <si>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</si>
  <si>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</si>
  <si>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</si>
  <si>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</si>
  <si>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</si>
  <si>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</si>
  <si>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</si>
  <si>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</si>
  <si>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</si>
  <si>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</si>
  <si>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</si>
  <si>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</si>
  <si>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</si>
  <si>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</si>
  <si>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</si>
  <si>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</si>
  <si>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</si>
  <si>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</si>
  <si>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</si>
  <si>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</si>
  <si>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</si>
  <si>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</si>
  <si>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</si>
  <si>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</si>
  <si>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</si>
  <si>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</si>
  <si>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</si>
  <si>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</si>
  <si>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</si>
  <si>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</si>
  <si>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</si>
  <si>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</si>
  <si>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</si>
  <si>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</si>
  <si>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</si>
  <si>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</si>
  <si>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</si>
  <si>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</si>
  <si>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</si>
  <si>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</si>
  <si>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</si>
  <si>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</si>
  <si>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</si>
  <si>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</si>
  <si>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</si>
  <si>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</si>
  <si>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</si>
  <si>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</si>
  <si>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</si>
  <si>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</si>
  <si>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</si>
  <si>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</si>
  <si>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</si>
  <si>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</si>
  <si>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</si>
  <si>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</si>
  <si>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</si>
  <si>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</si>
  <si>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</si>
  <si>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</si>
  <si>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</si>
  <si>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</si>
  <si>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</si>
  <si>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</si>
  <si>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</si>
  <si>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</si>
  <si>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</si>
  <si>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</si>
  <si>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</si>
  <si>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</si>
  <si>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</si>
  <si>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</si>
  <si>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</si>
  <si>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</si>
  <si>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</si>
  <si>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</si>
  <si>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</si>
  <si>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</si>
  <si>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</si>
  <si>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</si>
  <si>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</si>
  <si>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</si>
  <si>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</si>
  <si>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</si>
  <si>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</si>
  <si>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</si>
  <si>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</si>
  <si>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</si>
  <si>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</si>
  <si>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</si>
  <si>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</si>
  <si>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</si>
  <si>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</si>
  <si>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</si>
  <si>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</si>
  <si>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</si>
  <si>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</si>
  <si>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</si>
  <si>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</si>
  <si>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</si>
  <si>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</si>
  <si>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</si>
  <si>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</si>
  <si>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</si>
  <si>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</si>
  <si>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</si>
  <si>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</si>
  <si>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</si>
  <si>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</si>
  <si>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</si>
  <si>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</si>
  <si>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</si>
  <si>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</si>
  <si>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</si>
  <si>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</si>
  <si>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</si>
  <si>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</si>
  <si>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</si>
  <si>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</si>
  <si>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</si>
  <si>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</si>
  <si>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</si>
  <si>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</si>
  <si>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</si>
  <si>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</si>
  <si>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</si>
  <si>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</si>
  <si>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</si>
  <si>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</si>
  <si>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</si>
  <si>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</si>
  <si>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</si>
  <si>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</si>
  <si>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</si>
  <si>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</si>
  <si>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</si>
  <si>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</si>
  <si>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</si>
  <si>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</si>
  <si>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</si>
  <si>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</si>
  <si>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</si>
  <si>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</si>
  <si>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</si>
  <si>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</si>
  <si>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</si>
  <si>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</si>
  <si>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</si>
  <si>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</si>
  <si>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</si>
  <si>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</si>
  <si>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</si>
  <si>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</si>
  <si>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</si>
  <si>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</si>
  <si>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</si>
  <si>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</si>
  <si>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</si>
  <si>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</si>
  <si>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</si>
  <si>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</si>
  <si>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</si>
  <si>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</si>
  <si>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</si>
  <si>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</si>
  <si>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</si>
  <si>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</si>
  <si>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</si>
  <si>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</si>
  <si>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</si>
  <si>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</si>
  <si>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</si>
  <si>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</si>
  <si>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</si>
  <si>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</si>
  <si>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</si>
  <si>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</si>
  <si>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</si>
  <si>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</si>
  <si>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</si>
  <si>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</si>
  <si>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</si>
  <si>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</si>
  <si>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</si>
  <si>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</si>
  <si>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</si>
  <si>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</si>
  <si>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</si>
  <si>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</si>
  <si>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</si>
  <si>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</si>
  <si>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</si>
  <si>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</si>
  <si>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</si>
  <si>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</si>
  <si>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</si>
  <si>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</si>
  <si>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</si>
  <si>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</si>
  <si>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</si>
  <si>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</si>
  <si>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</si>
  <si>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</si>
  <si>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</si>
  <si>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</si>
  <si>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</si>
  <si>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</si>
  <si>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</si>
  <si>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</si>
  <si>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</si>
  <si>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</si>
  <si>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</si>
  <si>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</si>
  <si>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</si>
  <si>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</si>
  <si>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</si>
  <si>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</si>
  <si>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</si>
  <si>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</si>
  <si>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</si>
  <si>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</si>
  <si>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</si>
  <si>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</si>
  <si>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</si>
  <si>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</si>
  <si>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</si>
  <si>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</si>
  <si>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</si>
  <si>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</si>
  <si>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</si>
  <si>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</si>
  <si>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</si>
  <si>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</si>
  <si>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</si>
  <si>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</si>
  <si>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</si>
  <si>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</si>
  <si>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</si>
  <si>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</si>
  <si>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</si>
  <si>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</si>
  <si>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</si>
  <si>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</si>
  <si>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</si>
  <si>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</si>
  <si>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</si>
  <si>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</si>
  <si>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</si>
  <si>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</si>
  <si>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</si>
  <si>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</si>
  <si>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</si>
  <si>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</si>
  <si>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</si>
  <si>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</si>
  <si>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</si>
  <si>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</si>
  <si>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</si>
  <si>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</si>
  <si>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</si>
  <si>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</si>
  <si>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</si>
  <si>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</si>
  <si>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</si>
  <si>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</si>
  <si>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</si>
  <si>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</si>
  <si>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</si>
  <si>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</si>
  <si>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</si>
  <si>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</si>
  <si>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</si>
  <si>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</si>
  <si>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</si>
  <si>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</si>
  <si>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</si>
  <si>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</si>
  <si>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</si>
  <si>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</si>
  <si>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</si>
  <si>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</si>
  <si>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</si>
  <si>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</si>
  <si>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</si>
  <si>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</si>
  <si>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</si>
  <si>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</si>
  <si>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</si>
  <si>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</si>
  <si>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</si>
  <si>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</si>
  <si>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</si>
  <si>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</si>
  <si>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</si>
  <si>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</si>
  <si>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</si>
  <si>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</si>
  <si>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</si>
  <si>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</si>
  <si>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</si>
  <si>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</si>
  <si>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</si>
  <si>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</si>
  <si>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</si>
  <si>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</si>
  <si>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</si>
  <si>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</si>
  <si>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</si>
  <si>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</si>
  <si>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</si>
  <si>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</si>
  <si>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</si>
  <si>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</si>
  <si>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</si>
  <si>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</si>
  <si>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</si>
  <si>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</si>
  <si>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</si>
  <si>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</si>
  <si>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</si>
  <si>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</si>
  <si>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</si>
  <si>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</si>
  <si>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</si>
  <si>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</si>
  <si>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</si>
  <si>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</si>
  <si>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</si>
  <si>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</si>
  <si>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</si>
  <si>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</si>
  <si>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</si>
  <si>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</si>
  <si>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</si>
  <si>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</si>
  <si>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</si>
  <si>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</si>
  <si>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</si>
  <si>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</si>
  <si>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</si>
  <si>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</si>
  <si>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</si>
  <si>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</si>
  <si>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</si>
  <si>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</si>
  <si>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</si>
  <si>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</si>
  <si>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</si>
  <si>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</si>
  <si>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</si>
  <si>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</si>
  <si>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</si>
  <si>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</si>
  <si>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</si>
  <si>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</si>
  <si>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</si>
  <si>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</si>
  <si>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</si>
  <si>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</si>
  <si>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</si>
  <si>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</si>
  <si>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</si>
  <si>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</si>
  <si>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</si>
  <si>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</si>
  <si>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</si>
  <si>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</si>
  <si>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</si>
  <si>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</si>
  <si>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</si>
  <si>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</si>
  <si>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</si>
  <si>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</si>
  <si>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</si>
  <si>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</si>
  <si>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</si>
  <si>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</si>
  <si>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</si>
  <si>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</si>
  <si>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</si>
  <si>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</si>
  <si>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</si>
  <si>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</si>
  <si>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</si>
  <si>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</si>
  <si>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</si>
  <si>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</si>
  <si>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</si>
  <si>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</si>
  <si>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</si>
  <si>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</si>
  <si>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</si>
  <si>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</si>
  <si>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</si>
  <si>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</si>
  <si>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</si>
  <si>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</si>
  <si>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</si>
  <si>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</si>
  <si>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</si>
  <si>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</si>
  <si>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</si>
  <si>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</si>
  <si>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</si>
  <si>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</si>
  <si>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</si>
  <si>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</si>
  <si>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</si>
  <si>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</si>
  <si>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</si>
  <si>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</si>
  <si>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</si>
  <si>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</si>
  <si>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</si>
  <si>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</si>
  <si>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</si>
  <si>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</si>
  <si>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</si>
  <si>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</si>
  <si>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</si>
  <si>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</si>
  <si>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</si>
  <si>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</si>
  <si>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</si>
  <si>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</si>
  <si>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</si>
  <si>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</si>
  <si>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</si>
  <si>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</si>
  <si>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</si>
  <si>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</si>
  <si>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</si>
  <si>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</si>
  <si>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</si>
  <si>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</si>
  <si>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</si>
  <si>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</si>
  <si>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</si>
  <si>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</si>
  <si>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</si>
  <si>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</si>
  <si>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</si>
  <si>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</si>
  <si>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</si>
  <si>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</si>
  <si>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</si>
  <si>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</si>
  <si>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</si>
  <si>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</si>
  <si>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</si>
  <si>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</si>
  <si>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</si>
  <si>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</si>
  <si>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</si>
  <si>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</si>
  <si>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</si>
  <si>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</si>
  <si>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</si>
  <si>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</si>
  <si>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</si>
  <si>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</si>
  <si>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</si>
  <si>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</si>
  <si>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</si>
  <si>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</si>
  <si>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</si>
  <si>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</si>
  <si>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</si>
  <si>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</si>
  <si>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</si>
  <si>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</si>
  <si>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</si>
  <si>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</si>
  <si>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</si>
  <si>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</si>
  <si>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</si>
  <si>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</si>
  <si>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</si>
  <si>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</si>
  <si>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</si>
  <si>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</si>
  <si>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</si>
  <si>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</si>
  <si>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</si>
  <si>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</si>
  <si>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</si>
  <si>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</si>
  <si>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</si>
  <si>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</si>
  <si>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</si>
  <si>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</si>
  <si>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</si>
  <si>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</si>
  <si>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</si>
  <si>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</si>
  <si>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</si>
  <si>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</si>
  <si>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</si>
  <si>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</si>
  <si>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</si>
  <si>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</si>
  <si>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</si>
  <si>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</si>
  <si>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</si>
  <si>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</si>
  <si>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</si>
  <si>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</si>
  <si>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</si>
  <si>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</si>
  <si>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</si>
  <si>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</si>
  <si>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</si>
  <si>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</si>
  <si>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</si>
  <si>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</si>
  <si>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</si>
  <si>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</si>
  <si>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</si>
  <si>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</si>
  <si>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</si>
  <si>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</si>
  <si>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</si>
  <si>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</si>
  <si>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</si>
  <si>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</si>
  <si>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</si>
  <si>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</si>
  <si>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</si>
  <si>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</si>
  <si>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</si>
  <si>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</si>
  <si>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</si>
  <si>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</si>
  <si>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</si>
  <si>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</si>
  <si>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</si>
  <si>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</si>
  <si>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</si>
  <si>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</si>
  <si>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</si>
  <si>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</si>
  <si>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</si>
  <si>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</si>
  <si>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</si>
  <si>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</si>
  <si>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</si>
  <si>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</si>
  <si>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</si>
  <si>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</si>
  <si>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</si>
  <si>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</si>
  <si>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</si>
  <si>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</si>
  <si>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</si>
  <si>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</si>
  <si>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</si>
  <si>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</si>
  <si>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</si>
  <si>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</si>
  <si>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</si>
  <si>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</si>
  <si>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</si>
  <si>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</si>
  <si>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</si>
  <si>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</si>
  <si>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</si>
  <si>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</si>
  <si>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</si>
  <si>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</si>
  <si>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</si>
  <si>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</si>
  <si>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</si>
  <si>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</si>
  <si>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</si>
  <si>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</si>
  <si>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</si>
  <si>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</si>
  <si>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</si>
  <si>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</si>
  <si>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</si>
  <si>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</si>
  <si>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</si>
  <si>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</si>
  <si>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</si>
  <si>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</si>
  <si>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</si>
  <si>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</si>
  <si>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</si>
  <si>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</si>
  <si>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</si>
  <si>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</si>
  <si>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</si>
  <si>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</si>
  <si>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</si>
  <si>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</si>
  <si>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</si>
  <si>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</si>
  <si>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</si>
  <si>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</si>
  <si>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</si>
  <si>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</si>
  <si>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</si>
  <si>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</si>
  <si>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</si>
  <si>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</si>
  <si>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</si>
  <si>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</si>
  <si>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</si>
  <si>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</si>
  <si>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</si>
  <si>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</si>
  <si>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</si>
  <si>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</si>
  <si>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</si>
  <si>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</si>
  <si>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</si>
  <si>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</si>
  <si>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</si>
  <si>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</si>
  <si>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</si>
  <si>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</si>
  <si>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</si>
  <si>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</si>
  <si>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</si>
  <si>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</si>
  <si>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</si>
  <si>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</si>
  <si>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</si>
  <si>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</si>
  <si>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</si>
  <si>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</si>
  <si>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</si>
  <si>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</si>
  <si>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</si>
  <si>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</si>
  <si>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</si>
  <si>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</si>
  <si>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</si>
  <si>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</si>
  <si>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</si>
  <si>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</si>
  <si>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</si>
  <si>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</si>
  <si>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</si>
  <si>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</si>
  <si>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</si>
  <si>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</si>
  <si>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</si>
  <si>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</si>
  <si>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</si>
  <si>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</si>
  <si>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</si>
  <si>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</si>
  <si>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</si>
  <si>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</si>
  <si>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</si>
  <si>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</si>
  <si>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</si>
  <si>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</si>
  <si>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</si>
  <si>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</si>
  <si>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</si>
  <si>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</si>
  <si>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</si>
  <si>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</si>
  <si>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</si>
  <si>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</si>
  <si>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</si>
  <si>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</si>
  <si>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</si>
  <si>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</si>
  <si>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</si>
  <si>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</si>
  <si>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</si>
  <si>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</si>
  <si>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</si>
  <si>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</si>
  <si>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</si>
  <si>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</si>
  <si>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</si>
  <si>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</si>
  <si>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</si>
  <si>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</si>
  <si>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</si>
  <si>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</si>
  <si>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</si>
  <si>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</si>
  <si>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</si>
  <si>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</si>
  <si>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</si>
  <si>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</si>
  <si>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</si>
  <si>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</si>
  <si>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</si>
  <si>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</si>
  <si>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</si>
  <si>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</si>
  <si>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</si>
  <si>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</si>
  <si>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</si>
  <si>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</si>
  <si>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</si>
  <si>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</si>
  <si>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</si>
  <si>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</si>
  <si>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</si>
  <si>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</si>
  <si>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</si>
  <si>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</si>
  <si>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</si>
  <si>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</si>
  <si>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</si>
  <si>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</si>
  <si>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</si>
  <si>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</si>
  <si>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</si>
  <si>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</si>
  <si>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</si>
  <si>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</si>
  <si>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</si>
  <si>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</si>
  <si>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</si>
  <si>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</si>
  <si>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</si>
  <si>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</si>
  <si>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</si>
  <si>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</si>
  <si>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</si>
  <si>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</si>
  <si>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</si>
  <si>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</si>
  <si>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</si>
  <si>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</si>
  <si>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</si>
  <si>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</si>
  <si>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</si>
  <si>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</si>
  <si>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</si>
  <si>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</si>
  <si>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</si>
  <si>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</si>
  <si>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</si>
  <si>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</si>
  <si>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</si>
  <si>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</si>
  <si>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</si>
  <si>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</si>
  <si>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</si>
  <si>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</si>
  <si>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</si>
  <si>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</si>
  <si>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</si>
  <si>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</si>
  <si>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</si>
  <si>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</si>
  <si>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</si>
  <si>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</si>
  <si>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</si>
  <si>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</si>
  <si>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</si>
  <si>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</si>
  <si>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</si>
  <si>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</si>
  <si>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</si>
  <si>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</si>
  <si>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</si>
  <si>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</si>
  <si>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</si>
  <si>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</si>
  <si>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</si>
  <si>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</si>
  <si>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</si>
  <si>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</si>
  <si>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</si>
  <si>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</si>
  <si>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</si>
  <si>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</si>
  <si>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</si>
  <si>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</si>
  <si>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</si>
  <si>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</si>
  <si>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</si>
  <si>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</si>
  <si>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</si>
  <si>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</si>
  <si>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</si>
  <si>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</si>
  <si>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</si>
  <si>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</si>
  <si>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</si>
  <si>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</si>
  <si>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</si>
  <si>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</si>
  <si>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</si>
  <si>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</si>
  <si>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</si>
  <si>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</si>
  <si>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</si>
  <si>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</si>
  <si>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</si>
  <si>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</si>
  <si>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</si>
  <si>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</si>
  <si>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</si>
  <si>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</si>
  <si>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</si>
  <si>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</si>
  <si>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</si>
  <si>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</si>
  <si>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</si>
  <si>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</si>
  <si>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</si>
  <si>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</si>
  <si>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</si>
  <si>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</si>
  <si>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</si>
  <si>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</si>
  <si>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</si>
  <si>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</si>
  <si>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</si>
  <si>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</si>
  <si>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</si>
  <si>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</si>
  <si>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</si>
  <si>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</si>
  <si>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</si>
  <si>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</si>
  <si>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</si>
  <si>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</si>
  <si>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</si>
  <si>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</si>
  <si>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</si>
  <si>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</si>
  <si>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</si>
  <si>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</si>
  <si>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</si>
  <si>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</si>
  <si>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</si>
  <si>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</si>
  <si>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</si>
  <si>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</si>
  <si>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</si>
  <si>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</si>
  <si>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</si>
  <si>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</si>
  <si>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</si>
  <si>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</si>
  <si>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</si>
  <si>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</si>
  <si>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</si>
  <si>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</si>
  <si>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</si>
  <si>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</si>
  <si>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</si>
  <si>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</si>
  <si>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</si>
  <si>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</si>
  <si>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</si>
  <si>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</si>
  <si>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</si>
  <si>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</si>
  <si>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</si>
  <si>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</si>
  <si>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</si>
  <si>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</si>
  <si>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</si>
  <si>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</si>
  <si>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</si>
  <si>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</si>
  <si>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</si>
  <si>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</si>
  <si>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</si>
  <si>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</si>
  <si>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</si>
  <si>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</si>
  <si>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</si>
  <si>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</si>
  <si>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</si>
  <si>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</si>
  <si>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</si>
  <si>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</si>
  <si>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</si>
  <si>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</si>
  <si>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</si>
  <si>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</si>
  <si>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</si>
  <si>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</si>
  <si>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</si>
  <si>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</si>
  <si>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</si>
  <si>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</si>
  <si>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</si>
  <si>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</si>
  <si>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</si>
  <si>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</si>
  <si>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</si>
  <si>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</si>
  <si>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</si>
  <si>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</si>
  <si>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</si>
  <si>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</si>
  <si>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</si>
  <si>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</si>
  <si>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</si>
  <si>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</si>
  <si>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</si>
  <si>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</si>
  <si>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</si>
  <si>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</si>
  <si>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</si>
  <si>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</si>
  <si>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</si>
  <si>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</si>
  <si>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</si>
  <si>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</si>
  <si>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</si>
  <si>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</si>
  <si>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</si>
  <si>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</si>
  <si>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</si>
  <si>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</si>
  <si>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</si>
  <si>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</si>
  <si>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</si>
  <si>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</si>
  <si>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</si>
  <si>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</si>
  <si>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</si>
  <si>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</si>
  <si>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</si>
  <si>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</si>
  <si>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</si>
  <si>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</si>
  <si>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</si>
  <si>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</si>
  <si>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</si>
  <si>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</si>
  <si>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</si>
  <si>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</si>
  <si>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</si>
  <si>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</si>
  <si>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</si>
  <si>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</si>
  <si>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</si>
  <si>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</si>
  <si>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</si>
  <si>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</si>
  <si>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</si>
  <si>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</si>
  <si>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</si>
  <si>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</si>
  <si>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</si>
  <si>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</si>
  <si>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</si>
  <si>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</si>
  <si>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</si>
  <si>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</si>
  <si>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</si>
  <si>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</si>
  <si>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</si>
  <si>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</si>
  <si>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</si>
  <si>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</si>
  <si>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</si>
  <si>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</si>
  <si>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</si>
  <si>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</si>
  <si>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</si>
  <si>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</si>
  <si>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</si>
  <si>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</si>
  <si>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</si>
  <si>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</si>
  <si>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</si>
  <si>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</si>
  <si>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</si>
  <si>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</si>
  <si>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</si>
  <si>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</si>
  <si>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</si>
  <si>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</si>
  <si>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</si>
  <si>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</si>
  <si>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</si>
  <si>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</si>
  <si>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</si>
  <si>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</si>
  <si>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</si>
  <si>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</si>
  <si>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</si>
  <si>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</si>
  <si>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</si>
  <si>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</si>
  <si>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</si>
  <si>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</si>
  <si>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</si>
  <si>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</si>
  <si>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</si>
  <si>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</si>
  <si>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</si>
  <si>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</si>
  <si>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</si>
  <si>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</si>
  <si>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</si>
  <si>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</si>
  <si>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</si>
  <si>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</si>
  <si>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</si>
  <si>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</si>
  <si>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</si>
  <si>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</si>
  <si>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</si>
  <si>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</si>
  <si>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</si>
  <si>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</si>
  <si>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</si>
  <si>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</si>
  <si>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</si>
  <si>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</si>
  <si>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</si>
  <si>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</si>
  <si>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</si>
  <si>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</si>
  <si>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</si>
  <si>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</si>
  <si>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</si>
  <si>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</si>
  <si>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</si>
  <si>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</si>
  <si>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</si>
  <si>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</si>
  <si>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</si>
  <si>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</si>
  <si>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</si>
  <si>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</si>
  <si>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</si>
  <si>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</si>
  <si>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</si>
  <si>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</si>
  <si>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</si>
  <si>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</si>
  <si>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</si>
  <si>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</si>
  <si>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</si>
  <si>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</si>
  <si>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</si>
  <si>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</si>
  <si>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</si>
  <si>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</si>
  <si>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</si>
  <si>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</si>
  <si>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</si>
  <si>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</si>
  <si>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</si>
  <si>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</si>
  <si>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</si>
  <si>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</si>
  <si>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</si>
  <si>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</si>
  <si>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</si>
  <si>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</si>
  <si>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</si>
  <si>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</si>
  <si>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</si>
  <si>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</si>
  <si>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</si>
  <si>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</si>
  <si>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</si>
  <si>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</si>
  <si>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</si>
  <si>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</si>
  <si>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</si>
  <si>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</si>
  <si>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</si>
  <si>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</si>
  <si>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</si>
  <si>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</si>
  <si>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</si>
  <si>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</si>
  <si>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</si>
  <si>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</si>
  <si>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</si>
  <si>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</si>
  <si>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</si>
  <si>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</si>
  <si>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</si>
  <si>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</si>
  <si>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</si>
  <si>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</si>
  <si>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</si>
  <si>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</si>
  <si>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</si>
  <si>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</si>
  <si>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</si>
  <si>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</si>
  <si>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</si>
  <si>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</si>
  <si>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</si>
  <si>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</si>
  <si>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</si>
  <si>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</si>
  <si>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</si>
  <si>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</si>
  <si>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</si>
  <si>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</si>
  <si>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</si>
  <si>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</si>
  <si>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</si>
  <si>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</si>
  <si>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</si>
  <si>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</si>
  <si>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</si>
  <si>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</si>
  <si>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</si>
  <si>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</si>
  <si>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</si>
  <si>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</si>
  <si>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</si>
  <si>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</si>
  <si>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</si>
  <si>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</si>
  <si>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</si>
  <si>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</si>
  <si>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</si>
  <si>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</si>
  <si>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</si>
  <si>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</si>
  <si>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</si>
  <si>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</si>
  <si>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</si>
  <si>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</si>
  <si>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</si>
  <si>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</si>
  <si>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</si>
  <si>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</si>
  <si>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</si>
  <si>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</si>
  <si>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</si>
  <si>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</si>
  <si>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</si>
  <si>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</si>
  <si>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</si>
  <si>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</si>
  <si>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</si>
  <si>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</si>
  <si>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</si>
  <si>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</si>
  <si>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</si>
  <si>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</si>
  <si>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</si>
  <si>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</si>
  <si>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</si>
  <si>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</si>
  <si>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</si>
  <si>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</si>
  <si>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</si>
  <si>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</si>
  <si>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</si>
  <si>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</si>
  <si>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</si>
  <si>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</si>
  <si>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</si>
  <si>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</si>
  <si>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</si>
  <si>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</si>
  <si>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</si>
  <si>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</si>
  <si>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</si>
  <si>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</si>
  <si>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</si>
  <si>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</si>
  <si>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</si>
  <si>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</si>
  <si>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</si>
  <si>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</si>
  <si>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</si>
  <si>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</si>
  <si>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</si>
  <si>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</si>
  <si>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</si>
  <si>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</si>
  <si>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</si>
  <si>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</si>
  <si>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</si>
  <si>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</si>
  <si>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</si>
  <si>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</si>
  <si>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</si>
  <si>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</si>
  <si>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</si>
  <si>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</si>
  <si>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</si>
  <si>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</si>
  <si>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</si>
  <si>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</si>
  <si>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</si>
  <si>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</si>
  <si>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</si>
  <si>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</si>
  <si>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</si>
  <si>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</si>
  <si>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</si>
  <si>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</si>
  <si>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</si>
  <si>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</si>
  <si>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</si>
  <si>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</si>
  <si>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</si>
  <si>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</si>
  <si>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</si>
  <si>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</si>
  <si>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</si>
  <si>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</si>
  <si>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</si>
  <si>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</si>
  <si>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</si>
  <si>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</si>
  <si>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</si>
  <si>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</si>
  <si>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</si>
  <si>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</si>
  <si>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</si>
  <si>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</si>
  <si>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</si>
  <si>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</si>
  <si>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</si>
  <si>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</si>
  <si>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</si>
  <si>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</si>
  <si>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</si>
  <si>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</si>
  <si>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</si>
  <si>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</si>
  <si>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</si>
  <si>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</si>
  <si>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</si>
  <si>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</si>
  <si>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</si>
  <si>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</si>
  <si>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</si>
  <si>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</si>
  <si>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</si>
  <si>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</si>
  <si>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</si>
  <si>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</si>
  <si>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</si>
  <si>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</si>
  <si>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</si>
  <si>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</si>
  <si>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</si>
  <si>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</si>
  <si>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</si>
  <si>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</si>
  <si>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</si>
  <si>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</si>
  <si>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</si>
  <si>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</si>
  <si>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</si>
  <si>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</si>
  <si>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</si>
  <si>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</si>
  <si>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</si>
  <si>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</si>
  <si>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</si>
  <si>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</si>
  <si>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</si>
  <si>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</si>
  <si>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</si>
  <si>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</si>
  <si>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</si>
  <si>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</si>
  <si>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</si>
  <si>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</si>
  <si>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</si>
  <si>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</si>
  <si>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</si>
  <si>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</si>
  <si>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</si>
  <si>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</si>
  <si>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</si>
  <si>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</si>
  <si>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</si>
  <si>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</si>
  <si>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</si>
  <si>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</si>
  <si>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</si>
  <si>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</si>
  <si>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</si>
  <si>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</si>
  <si>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</si>
  <si>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</si>
  <si>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</si>
  <si>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</si>
  <si>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</si>
  <si>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</si>
  <si>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</si>
  <si>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</si>
  <si>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</si>
  <si>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</si>
  <si>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</si>
  <si>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</si>
  <si>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</si>
  <si>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</si>
  <si>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</si>
  <si>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</si>
  <si>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</si>
  <si>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</si>
  <si>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</si>
  <si>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</si>
  <si>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</si>
  <si>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</si>
  <si>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</si>
  <si>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</si>
  <si>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</si>
  <si>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</si>
  <si>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</si>
  <si>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</si>
  <si>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</si>
  <si>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</si>
  <si>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Revenue</t>
  </si>
  <si>
    <t>Row Labels</t>
  </si>
  <si>
    <t>Grand Total</t>
  </si>
  <si>
    <t>Sum of Sales</t>
  </si>
  <si>
    <t>Column Labels</t>
  </si>
  <si>
    <t>(All)</t>
  </si>
  <si>
    <t>Furniture Total</t>
  </si>
  <si>
    <t>Office Supplies Total</t>
  </si>
  <si>
    <t>Technology Total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</si>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</sst>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[SuperStoreUS-2015(Orders).xlsx]Dashboard!PivotTable1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 Catagory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Dashboard!$A$5:$A$25</c:f>
              <c:multiLvlStrCache>
                <c:ptCount val="1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Dashboard!$B$5:$B$25</c:f>
              <c:numCache>
                <c:formatCode>General</c:formatCode>
                <c:ptCount val="17"/>
                <c:pt idx="0">
                  <c:v>107796.09</c:v>
                </c:pt>
                <c:pt idx="1">
                  <c:v>261072.73</c:v>
                </c:pt>
                <c:pt idx="2">
                  <c:v>98070.91</c:v>
                </c:pt>
                <c:pt idx="3">
                  <c:v>193764.58000000005</c:v>
                </c:pt>
                <c:pt idx="4">
                  <c:v>82201.149999999965</c:v>
                </c:pt>
                <c:pt idx="5">
                  <c:v>185928.13999999987</c:v>
                </c:pt>
                <c:pt idx="6">
                  <c:v>10479.769999999999</c:v>
                </c:pt>
                <c:pt idx="7">
                  <c:v>4914.8199999999988</c:v>
                </c:pt>
                <c:pt idx="8">
                  <c:v>55813.920000000042</c:v>
                </c:pt>
                <c:pt idx="9">
                  <c:v>26071.61</c:v>
                </c:pt>
                <c:pt idx="10">
                  <c:v>1789.43</c:v>
                </c:pt>
                <c:pt idx="11">
                  <c:v>6752.1800000000021</c:v>
                </c:pt>
                <c:pt idx="12">
                  <c:v>177417.59999999992</c:v>
                </c:pt>
                <c:pt idx="13">
                  <c:v>96261.300000000032</c:v>
                </c:pt>
                <c:pt idx="14">
                  <c:v>99069.479999999981</c:v>
                </c:pt>
                <c:pt idx="15">
                  <c:v>318169.67999999993</c:v>
                </c:pt>
                <c:pt idx="16">
                  <c:v>198764.49000000008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443744"/>
        <c:axId val="116704408"/>
      </c:barChart>
      <c:catAx>
        <c:axId val="2054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4408"/>
        <c:crosses val="autoZero"/>
        <c:auto val="1"/>
        <c:lblAlgn val="ctr"/>
        <c:lblOffset val="100"/>
        <c:noMultiLvlLbl val="0"/>
      </c:catAx>
      <c:valAx>
        <c:axId val="11670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[SuperStoreUS-2015(Orders).xlsx]Dashboard!PivotTable2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Dashboard!$M$11:$M$12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Dashboard!$L$13:$L$192</c:f>
              <c:strCache>
                <c:ptCount val="179"/>
                <c:pt idx="0">
                  <c:v>1/1/2015</c:v>
                </c:pt>
                <c:pt idx="1">
                  <c:v>1/2/2015</c:v>
                </c:pt>
                <c:pt idx="2">
                  <c:v>1/3/2015</c:v>
                </c:pt>
                <c:pt idx="3">
                  <c:v>1/4/2015</c:v>
                </c:pt>
                <c:pt idx="4">
                  <c:v>1/5/2015</c:v>
                </c:pt>
                <c:pt idx="5">
                  <c:v>1/6/2015</c:v>
                </c:pt>
                <c:pt idx="6">
                  <c:v>1/7/2015</c:v>
                </c:pt>
                <c:pt idx="7">
                  <c:v>1/8/2015</c:v>
                </c:pt>
                <c:pt idx="8">
                  <c:v>1/9/2015</c:v>
                </c:pt>
                <c:pt idx="9">
                  <c:v>1/10/2015</c:v>
                </c:pt>
                <c:pt idx="10">
                  <c:v>1/11/2015</c:v>
                </c:pt>
                <c:pt idx="11">
                  <c:v>1/12/2015</c:v>
                </c:pt>
                <c:pt idx="12">
                  <c:v>1/13/2015</c:v>
                </c:pt>
                <c:pt idx="13">
                  <c:v>1/14/2015</c:v>
                </c:pt>
                <c:pt idx="14">
                  <c:v>1/15/2015</c:v>
                </c:pt>
                <c:pt idx="15">
                  <c:v>1/16/2015</c:v>
                </c:pt>
                <c:pt idx="16">
                  <c:v>1/17/2015</c:v>
                </c:pt>
                <c:pt idx="17">
                  <c:v>1/18/2015</c:v>
                </c:pt>
                <c:pt idx="18">
                  <c:v>1/19/2015</c:v>
                </c:pt>
                <c:pt idx="19">
                  <c:v>1/20/2015</c:v>
                </c:pt>
                <c:pt idx="20">
                  <c:v>1/21/2015</c:v>
                </c:pt>
                <c:pt idx="21">
                  <c:v>1/22/2015</c:v>
                </c:pt>
                <c:pt idx="22">
                  <c:v>1/23/2015</c:v>
                </c:pt>
                <c:pt idx="23">
                  <c:v>1/24/2015</c:v>
                </c:pt>
                <c:pt idx="24">
                  <c:v>1/25/2015</c:v>
                </c:pt>
                <c:pt idx="25">
                  <c:v>1/26/2015</c:v>
                </c:pt>
                <c:pt idx="26">
                  <c:v>1/27/2015</c:v>
                </c:pt>
                <c:pt idx="27">
                  <c:v>1/28/2015</c:v>
                </c:pt>
                <c:pt idx="28">
                  <c:v>1/29/2015</c:v>
                </c:pt>
                <c:pt idx="29">
                  <c:v>1/30/2015</c:v>
                </c:pt>
                <c:pt idx="30">
                  <c:v>1/31/2015</c:v>
                </c:pt>
                <c:pt idx="31">
                  <c:v>2/1/2015</c:v>
                </c:pt>
                <c:pt idx="32">
                  <c:v>2/2/2015</c:v>
                </c:pt>
                <c:pt idx="33">
                  <c:v>2/3/2015</c:v>
                </c:pt>
                <c:pt idx="34">
                  <c:v>2/4/2015</c:v>
                </c:pt>
                <c:pt idx="35">
                  <c:v>2/5/2015</c:v>
                </c:pt>
                <c:pt idx="36">
                  <c:v>2/6/2015</c:v>
                </c:pt>
                <c:pt idx="37">
                  <c:v>2/7/2015</c:v>
                </c:pt>
                <c:pt idx="38">
                  <c:v>2/8/2015</c:v>
                </c:pt>
                <c:pt idx="39">
                  <c:v>2/9/2015</c:v>
                </c:pt>
                <c:pt idx="40">
                  <c:v>2/10/2015</c:v>
                </c:pt>
                <c:pt idx="41">
                  <c:v>2/11/2015</c:v>
                </c:pt>
                <c:pt idx="42">
                  <c:v>2/12/2015</c:v>
                </c:pt>
                <c:pt idx="43">
                  <c:v>2/13/2015</c:v>
                </c:pt>
                <c:pt idx="44">
                  <c:v>2/14/2015</c:v>
                </c:pt>
                <c:pt idx="45">
                  <c:v>2/15/2015</c:v>
                </c:pt>
                <c:pt idx="46">
                  <c:v>2/16/2015</c:v>
                </c:pt>
                <c:pt idx="47">
                  <c:v>2/17/2015</c:v>
                </c:pt>
                <c:pt idx="48">
                  <c:v>2/18/2015</c:v>
                </c:pt>
                <c:pt idx="49">
                  <c:v>2/19/2015</c:v>
                </c:pt>
                <c:pt idx="50">
                  <c:v>2/20/2015</c:v>
                </c:pt>
                <c:pt idx="51">
                  <c:v>2/21/2015</c:v>
                </c:pt>
                <c:pt idx="52">
                  <c:v>2/22/2015</c:v>
                </c:pt>
                <c:pt idx="53">
                  <c:v>2/23/2015</c:v>
                </c:pt>
                <c:pt idx="54">
                  <c:v>2/24/2015</c:v>
                </c:pt>
                <c:pt idx="55">
                  <c:v>2/25/2015</c:v>
                </c:pt>
                <c:pt idx="56">
                  <c:v>2/26/2015</c:v>
                </c:pt>
                <c:pt idx="57">
                  <c:v>2/27/2015</c:v>
                </c:pt>
                <c:pt idx="58">
                  <c:v>2/28/2015</c:v>
                </c:pt>
                <c:pt idx="59">
                  <c:v>3/1/2015</c:v>
                </c:pt>
                <c:pt idx="60">
                  <c:v>3/2/2015</c:v>
                </c:pt>
                <c:pt idx="61">
                  <c:v>3/3/2015</c:v>
                </c:pt>
                <c:pt idx="62">
                  <c:v>3/4/2015</c:v>
                </c:pt>
                <c:pt idx="63">
                  <c:v>3/5/2015</c:v>
                </c:pt>
                <c:pt idx="64">
                  <c:v>3/6/2015</c:v>
                </c:pt>
                <c:pt idx="65">
                  <c:v>3/7/2015</c:v>
                </c:pt>
                <c:pt idx="66">
                  <c:v>3/8/2015</c:v>
                </c:pt>
                <c:pt idx="67">
                  <c:v>3/9/2015</c:v>
                </c:pt>
                <c:pt idx="68">
                  <c:v>3/10/2015</c:v>
                </c:pt>
                <c:pt idx="69">
                  <c:v>3/11/2015</c:v>
                </c:pt>
                <c:pt idx="70">
                  <c:v>3/12/2015</c:v>
                </c:pt>
                <c:pt idx="71">
                  <c:v>3/13/2015</c:v>
                </c:pt>
                <c:pt idx="72">
                  <c:v>3/14/2015</c:v>
                </c:pt>
                <c:pt idx="73">
                  <c:v>3/15/2015</c:v>
                </c:pt>
                <c:pt idx="74">
                  <c:v>3/16/2015</c:v>
                </c:pt>
                <c:pt idx="75">
                  <c:v>3/17/2015</c:v>
                </c:pt>
                <c:pt idx="76">
                  <c:v>3/18/2015</c:v>
                </c:pt>
                <c:pt idx="77">
                  <c:v>3/19/2015</c:v>
                </c:pt>
                <c:pt idx="78">
                  <c:v>3/20/2015</c:v>
                </c:pt>
                <c:pt idx="79">
                  <c:v>3/21/2015</c:v>
                </c:pt>
                <c:pt idx="80">
                  <c:v>3/22/2015</c:v>
                </c:pt>
                <c:pt idx="81">
                  <c:v>3/23/2015</c:v>
                </c:pt>
                <c:pt idx="82">
                  <c:v>3/24/2015</c:v>
                </c:pt>
                <c:pt idx="83">
                  <c:v>3/25/2015</c:v>
                </c:pt>
                <c:pt idx="84">
                  <c:v>3/26/2015</c:v>
                </c:pt>
                <c:pt idx="85">
                  <c:v>3/27/2015</c:v>
                </c:pt>
                <c:pt idx="86">
                  <c:v>3/28/2015</c:v>
                </c:pt>
                <c:pt idx="87">
                  <c:v>3/29/2015</c:v>
                </c:pt>
                <c:pt idx="88">
                  <c:v>3/30/2015</c:v>
                </c:pt>
                <c:pt idx="89">
                  <c:v>3/31/2015</c:v>
                </c:pt>
                <c:pt idx="90">
                  <c:v>4/1/2015</c:v>
                </c:pt>
                <c:pt idx="91">
                  <c:v>4/2/2015</c:v>
                </c:pt>
                <c:pt idx="92">
                  <c:v>4/4/2015</c:v>
                </c:pt>
                <c:pt idx="93">
                  <c:v>4/5/2015</c:v>
                </c:pt>
                <c:pt idx="94">
                  <c:v>4/6/2015</c:v>
                </c:pt>
                <c:pt idx="95">
                  <c:v>4/7/2015</c:v>
                </c:pt>
                <c:pt idx="96">
                  <c:v>4/8/2015</c:v>
                </c:pt>
                <c:pt idx="97">
                  <c:v>4/9/2015</c:v>
                </c:pt>
                <c:pt idx="98">
                  <c:v>4/10/2015</c:v>
                </c:pt>
                <c:pt idx="99">
                  <c:v>4/11/2015</c:v>
                </c:pt>
                <c:pt idx="100">
                  <c:v>4/12/2015</c:v>
                </c:pt>
                <c:pt idx="101">
                  <c:v>4/13/2015</c:v>
                </c:pt>
                <c:pt idx="102">
                  <c:v>4/14/2015</c:v>
                </c:pt>
                <c:pt idx="103">
                  <c:v>4/15/2015</c:v>
                </c:pt>
                <c:pt idx="104">
                  <c:v>4/16/2015</c:v>
                </c:pt>
                <c:pt idx="105">
                  <c:v>4/17/2015</c:v>
                </c:pt>
                <c:pt idx="106">
                  <c:v>4/18/2015</c:v>
                </c:pt>
                <c:pt idx="107">
                  <c:v>4/19/2015</c:v>
                </c:pt>
                <c:pt idx="108">
                  <c:v>4/20/2015</c:v>
                </c:pt>
                <c:pt idx="109">
                  <c:v>4/21/2015</c:v>
                </c:pt>
                <c:pt idx="110">
                  <c:v>4/22/2015</c:v>
                </c:pt>
                <c:pt idx="111">
                  <c:v>4/23/2015</c:v>
                </c:pt>
                <c:pt idx="112">
                  <c:v>4/24/2015</c:v>
                </c:pt>
                <c:pt idx="113">
                  <c:v>4/25/2015</c:v>
                </c:pt>
                <c:pt idx="114">
                  <c:v>4/26/2015</c:v>
                </c:pt>
                <c:pt idx="115">
                  <c:v>4/27/2015</c:v>
                </c:pt>
                <c:pt idx="116">
                  <c:v>4/28/2015</c:v>
                </c:pt>
                <c:pt idx="117">
                  <c:v>4/29/2015</c:v>
                </c:pt>
                <c:pt idx="118">
                  <c:v>4/30/2015</c:v>
                </c:pt>
                <c:pt idx="119">
                  <c:v>5/1/2015</c:v>
                </c:pt>
                <c:pt idx="120">
                  <c:v>5/2/2015</c:v>
                </c:pt>
                <c:pt idx="121">
                  <c:v>5/3/2015</c:v>
                </c:pt>
                <c:pt idx="122">
                  <c:v>5/4/2015</c:v>
                </c:pt>
                <c:pt idx="123">
                  <c:v>5/5/2015</c:v>
                </c:pt>
                <c:pt idx="124">
                  <c:v>5/6/2015</c:v>
                </c:pt>
                <c:pt idx="125">
                  <c:v>5/7/2015</c:v>
                </c:pt>
                <c:pt idx="126">
                  <c:v>5/8/2015</c:v>
                </c:pt>
                <c:pt idx="127">
                  <c:v>5/9/2015</c:v>
                </c:pt>
                <c:pt idx="128">
                  <c:v>5/10/2015</c:v>
                </c:pt>
                <c:pt idx="129">
                  <c:v>5/11/2015</c:v>
                </c:pt>
                <c:pt idx="130">
                  <c:v>5/12/2015</c:v>
                </c:pt>
                <c:pt idx="131">
                  <c:v>5/13/2015</c:v>
                </c:pt>
                <c:pt idx="132">
                  <c:v>5/14/2015</c:v>
                </c:pt>
                <c:pt idx="133">
                  <c:v>5/15/2015</c:v>
                </c:pt>
                <c:pt idx="134">
                  <c:v>5/16/2015</c:v>
                </c:pt>
                <c:pt idx="135">
                  <c:v>5/17/2015</c:v>
                </c:pt>
                <c:pt idx="136">
                  <c:v>5/18/2015</c:v>
                </c:pt>
                <c:pt idx="137">
                  <c:v>5/19/2015</c:v>
                </c:pt>
                <c:pt idx="138">
                  <c:v>5/20/2015</c:v>
                </c:pt>
                <c:pt idx="139">
                  <c:v>5/21/2015</c:v>
                </c:pt>
                <c:pt idx="140">
                  <c:v>5/22/2015</c:v>
                </c:pt>
                <c:pt idx="141">
                  <c:v>5/23/2015</c:v>
                </c:pt>
                <c:pt idx="142">
                  <c:v>5/24/2015</c:v>
                </c:pt>
                <c:pt idx="143">
                  <c:v>5/25/2015</c:v>
                </c:pt>
                <c:pt idx="144">
                  <c:v>5/26/2015</c:v>
                </c:pt>
                <c:pt idx="145">
                  <c:v>5/27/2015</c:v>
                </c:pt>
                <c:pt idx="146">
                  <c:v>5/28/2015</c:v>
                </c:pt>
                <c:pt idx="147">
                  <c:v>5/29/2015</c:v>
                </c:pt>
                <c:pt idx="148">
                  <c:v>5/30/2015</c:v>
                </c:pt>
                <c:pt idx="149">
                  <c:v>6/1/2015</c:v>
                </c:pt>
                <c:pt idx="150">
                  <c:v>6/2/2015</c:v>
                </c:pt>
                <c:pt idx="151">
                  <c:v>6/3/2015</c:v>
                </c:pt>
                <c:pt idx="152">
                  <c:v>6/4/2015</c:v>
                </c:pt>
                <c:pt idx="153">
                  <c:v>6/5/2015</c:v>
                </c:pt>
                <c:pt idx="154">
                  <c:v>6/6/2015</c:v>
                </c:pt>
                <c:pt idx="155">
                  <c:v>6/7/2015</c:v>
                </c:pt>
                <c:pt idx="156">
                  <c:v>6/8/2015</c:v>
                </c:pt>
                <c:pt idx="157">
                  <c:v>6/9/2015</c:v>
                </c:pt>
                <c:pt idx="158">
                  <c:v>6/10/2015</c:v>
                </c:pt>
                <c:pt idx="159">
                  <c:v>6/11/2015</c:v>
                </c:pt>
                <c:pt idx="160">
                  <c:v>6/12/2015</c:v>
                </c:pt>
                <c:pt idx="161">
                  <c:v>6/13/2015</c:v>
                </c:pt>
                <c:pt idx="162">
                  <c:v>6/14/2015</c:v>
                </c:pt>
                <c:pt idx="163">
                  <c:v>6/15/2015</c:v>
                </c:pt>
                <c:pt idx="164">
                  <c:v>6/16/2015</c:v>
                </c:pt>
                <c:pt idx="165">
                  <c:v>6/17/2015</c:v>
                </c:pt>
                <c:pt idx="166">
                  <c:v>6/18/2015</c:v>
                </c:pt>
                <c:pt idx="167">
                  <c:v>6/19/2015</c:v>
                </c:pt>
                <c:pt idx="168">
                  <c:v>6/20/2015</c:v>
                </c:pt>
                <c:pt idx="169">
                  <c:v>6/21/2015</c:v>
                </c:pt>
                <c:pt idx="170">
                  <c:v>6/22/2015</c:v>
                </c:pt>
                <c:pt idx="171">
                  <c:v>6/23/2015</c:v>
                </c:pt>
                <c:pt idx="172">
                  <c:v>6/24/2015</c:v>
                </c:pt>
                <c:pt idx="173">
                  <c:v>6/25/2015</c:v>
                </c:pt>
                <c:pt idx="174">
                  <c:v>6/26/2015</c:v>
                </c:pt>
                <c:pt idx="175">
                  <c:v>6/27/2015</c:v>
                </c:pt>
                <c:pt idx="176">
                  <c:v>6/28/2015</c:v>
                </c:pt>
                <c:pt idx="177">
                  <c:v>6/29/2015</c:v>
                </c:pt>
                <c:pt idx="178">
                  <c:v>6/30/2015</c:v>
                </c:pt>
              </c:strCache>
            </c:strRef>
          </c:cat>
          <c:val>
            <c:numRef>
              <c:f>Dashboard!$M$13:$M$192</c:f>
              <c:numCache>
                <c:formatCode>General</c:formatCode>
                <c:ptCount val="179"/>
                <c:pt idx="0">
                  <c:v>723.54</c:v>
                </c:pt>
                <c:pt idx="1">
                  <c:v>13033.740000000002</c:v>
                </c:pt>
                <c:pt idx="2">
                  <c:v>1676.7199999999998</c:v>
                </c:pt>
                <c:pt idx="3">
                  <c:v>1549.18</c:v>
                </c:pt>
                <c:pt idx="4">
                  <c:v>3454.0599999999995</c:v>
                </c:pt>
                <c:pt idx="5">
                  <c:v>8576.52</c:v>
                </c:pt>
                <c:pt idx="6">
                  <c:v>2008.45</c:v>
                </c:pt>
                <c:pt idx="7">
                  <c:v>25.26</c:v>
                </c:pt>
                <c:pt idx="9">
                  <c:v>800.41</c:v>
                </c:pt>
                <c:pt idx="10">
                  <c:v>249.08999999999997</c:v>
                </c:pt>
                <c:pt idx="11">
                  <c:v>8681.43</c:v>
                </c:pt>
                <c:pt idx="12">
                  <c:v>9.23</c:v>
                </c:pt>
                <c:pt idx="13">
                  <c:v>2104.8200000000002</c:v>
                </c:pt>
                <c:pt idx="14">
                  <c:v>48.25</c:v>
                </c:pt>
                <c:pt idx="15">
                  <c:v>1515.3600000000001</c:v>
                </c:pt>
                <c:pt idx="16">
                  <c:v>26.01</c:v>
                </c:pt>
                <c:pt idx="17">
                  <c:v>2130.04</c:v>
                </c:pt>
                <c:pt idx="20">
                  <c:v>4090.6900000000005</c:v>
                </c:pt>
                <c:pt idx="21">
                  <c:v>10534.09</c:v>
                </c:pt>
                <c:pt idx="23">
                  <c:v>8428.89</c:v>
                </c:pt>
                <c:pt idx="24">
                  <c:v>2.77</c:v>
                </c:pt>
                <c:pt idx="25">
                  <c:v>1899.7299999999998</c:v>
                </c:pt>
                <c:pt idx="26">
                  <c:v>10.23</c:v>
                </c:pt>
                <c:pt idx="27">
                  <c:v>1794.88</c:v>
                </c:pt>
                <c:pt idx="28">
                  <c:v>6760.53</c:v>
                </c:pt>
                <c:pt idx="29">
                  <c:v>620.34999999999991</c:v>
                </c:pt>
                <c:pt idx="30">
                  <c:v>6812.92</c:v>
                </c:pt>
                <c:pt idx="31">
                  <c:v>4935.22</c:v>
                </c:pt>
                <c:pt idx="32">
                  <c:v>8870.93</c:v>
                </c:pt>
                <c:pt idx="33">
                  <c:v>2084.16</c:v>
                </c:pt>
                <c:pt idx="34">
                  <c:v>1727.1200000000001</c:v>
                </c:pt>
                <c:pt idx="35">
                  <c:v>7990.28</c:v>
                </c:pt>
                <c:pt idx="36">
                  <c:v>3840</c:v>
                </c:pt>
                <c:pt idx="38">
                  <c:v>506.5</c:v>
                </c:pt>
                <c:pt idx="40">
                  <c:v>6005.95</c:v>
                </c:pt>
                <c:pt idx="41">
                  <c:v>15697.84</c:v>
                </c:pt>
                <c:pt idx="42">
                  <c:v>251.06</c:v>
                </c:pt>
                <c:pt idx="43">
                  <c:v>13053.94</c:v>
                </c:pt>
                <c:pt idx="44">
                  <c:v>12448.470000000001</c:v>
                </c:pt>
                <c:pt idx="45">
                  <c:v>14656.359999999999</c:v>
                </c:pt>
                <c:pt idx="46">
                  <c:v>2152.37</c:v>
                </c:pt>
                <c:pt idx="47">
                  <c:v>182.33</c:v>
                </c:pt>
                <c:pt idx="48">
                  <c:v>15118.839999999998</c:v>
                </c:pt>
                <c:pt idx="50">
                  <c:v>681.18000000000006</c:v>
                </c:pt>
                <c:pt idx="51">
                  <c:v>1608.11</c:v>
                </c:pt>
                <c:pt idx="52">
                  <c:v>4719.8600000000006</c:v>
                </c:pt>
                <c:pt idx="53">
                  <c:v>3009.5699999999997</c:v>
                </c:pt>
                <c:pt idx="54">
                  <c:v>3965.47</c:v>
                </c:pt>
                <c:pt idx="55">
                  <c:v>593</c:v>
                </c:pt>
                <c:pt idx="56">
                  <c:v>255.83</c:v>
                </c:pt>
                <c:pt idx="57">
                  <c:v>411.64</c:v>
                </c:pt>
                <c:pt idx="58">
                  <c:v>929.09000000000015</c:v>
                </c:pt>
                <c:pt idx="59">
                  <c:v>2143.8300000000004</c:v>
                </c:pt>
                <c:pt idx="60">
                  <c:v>5285.5599999999995</c:v>
                </c:pt>
                <c:pt idx="61">
                  <c:v>19.670000000000002</c:v>
                </c:pt>
                <c:pt idx="62">
                  <c:v>1282.6100000000001</c:v>
                </c:pt>
                <c:pt idx="63">
                  <c:v>4696.9400000000005</c:v>
                </c:pt>
                <c:pt idx="64">
                  <c:v>5199.92</c:v>
                </c:pt>
                <c:pt idx="66">
                  <c:v>1708.88</c:v>
                </c:pt>
                <c:pt idx="67">
                  <c:v>220.92</c:v>
                </c:pt>
                <c:pt idx="69">
                  <c:v>171.72</c:v>
                </c:pt>
                <c:pt idx="70">
                  <c:v>193.59</c:v>
                </c:pt>
                <c:pt idx="72">
                  <c:v>22917.510000000002</c:v>
                </c:pt>
                <c:pt idx="73">
                  <c:v>2630.34</c:v>
                </c:pt>
                <c:pt idx="74">
                  <c:v>729.97</c:v>
                </c:pt>
                <c:pt idx="75">
                  <c:v>282.2</c:v>
                </c:pt>
                <c:pt idx="76">
                  <c:v>14306.390000000001</c:v>
                </c:pt>
                <c:pt idx="78">
                  <c:v>6226.8600000000006</c:v>
                </c:pt>
                <c:pt idx="80">
                  <c:v>4703.9399999999996</c:v>
                </c:pt>
                <c:pt idx="82">
                  <c:v>4606.2100000000009</c:v>
                </c:pt>
                <c:pt idx="83">
                  <c:v>4417.7</c:v>
                </c:pt>
                <c:pt idx="84">
                  <c:v>2761.94</c:v>
                </c:pt>
                <c:pt idx="85">
                  <c:v>3681.7000000000003</c:v>
                </c:pt>
                <c:pt idx="86">
                  <c:v>130.74</c:v>
                </c:pt>
                <c:pt idx="87">
                  <c:v>123.74</c:v>
                </c:pt>
                <c:pt idx="90">
                  <c:v>125.9</c:v>
                </c:pt>
                <c:pt idx="91">
                  <c:v>4229.92</c:v>
                </c:pt>
                <c:pt idx="92">
                  <c:v>989.51</c:v>
                </c:pt>
                <c:pt idx="93">
                  <c:v>2427.23</c:v>
                </c:pt>
                <c:pt idx="94">
                  <c:v>14239.130000000001</c:v>
                </c:pt>
                <c:pt idx="95">
                  <c:v>2984.37</c:v>
                </c:pt>
                <c:pt idx="96">
                  <c:v>1492.52</c:v>
                </c:pt>
                <c:pt idx="97">
                  <c:v>8409.8700000000008</c:v>
                </c:pt>
                <c:pt idx="98">
                  <c:v>26.66</c:v>
                </c:pt>
                <c:pt idx="99">
                  <c:v>574.70000000000005</c:v>
                </c:pt>
                <c:pt idx="101">
                  <c:v>115.34</c:v>
                </c:pt>
                <c:pt idx="102">
                  <c:v>1566.4</c:v>
                </c:pt>
                <c:pt idx="103">
                  <c:v>1731.9</c:v>
                </c:pt>
                <c:pt idx="105">
                  <c:v>56.24</c:v>
                </c:pt>
                <c:pt idx="106">
                  <c:v>2464.0100000000002</c:v>
                </c:pt>
                <c:pt idx="107">
                  <c:v>1884.3600000000001</c:v>
                </c:pt>
                <c:pt idx="108">
                  <c:v>14326.560000000001</c:v>
                </c:pt>
                <c:pt idx="109">
                  <c:v>9174.2800000000007</c:v>
                </c:pt>
                <c:pt idx="111">
                  <c:v>3974.84</c:v>
                </c:pt>
                <c:pt idx="113">
                  <c:v>37621.130000000005</c:v>
                </c:pt>
                <c:pt idx="114">
                  <c:v>928.92</c:v>
                </c:pt>
                <c:pt idx="116">
                  <c:v>6541.61</c:v>
                </c:pt>
                <c:pt idx="117">
                  <c:v>1377.46</c:v>
                </c:pt>
                <c:pt idx="118">
                  <c:v>283.44</c:v>
                </c:pt>
                <c:pt idx="119">
                  <c:v>248.32</c:v>
                </c:pt>
                <c:pt idx="120">
                  <c:v>10892.189999999999</c:v>
                </c:pt>
                <c:pt idx="121">
                  <c:v>17772.88</c:v>
                </c:pt>
                <c:pt idx="122">
                  <c:v>6904.26</c:v>
                </c:pt>
                <c:pt idx="123">
                  <c:v>9133.09</c:v>
                </c:pt>
                <c:pt idx="124">
                  <c:v>471.21</c:v>
                </c:pt>
                <c:pt idx="126">
                  <c:v>5620.29</c:v>
                </c:pt>
                <c:pt idx="129">
                  <c:v>10309.31</c:v>
                </c:pt>
                <c:pt idx="130">
                  <c:v>1530.89</c:v>
                </c:pt>
                <c:pt idx="131">
                  <c:v>700.41</c:v>
                </c:pt>
                <c:pt idx="133">
                  <c:v>2332.46</c:v>
                </c:pt>
                <c:pt idx="137">
                  <c:v>4285.5600000000004</c:v>
                </c:pt>
                <c:pt idx="138">
                  <c:v>11204.41</c:v>
                </c:pt>
                <c:pt idx="139">
                  <c:v>1488.51</c:v>
                </c:pt>
                <c:pt idx="140">
                  <c:v>2259.9899999999998</c:v>
                </c:pt>
                <c:pt idx="141">
                  <c:v>7284.3499999999995</c:v>
                </c:pt>
                <c:pt idx="142">
                  <c:v>9467.43</c:v>
                </c:pt>
                <c:pt idx="143">
                  <c:v>355.92</c:v>
                </c:pt>
                <c:pt idx="144">
                  <c:v>5419.41</c:v>
                </c:pt>
                <c:pt idx="145">
                  <c:v>267.2</c:v>
                </c:pt>
                <c:pt idx="146">
                  <c:v>1425.71</c:v>
                </c:pt>
                <c:pt idx="147">
                  <c:v>261.33999999999997</c:v>
                </c:pt>
                <c:pt idx="148">
                  <c:v>2716.4300000000003</c:v>
                </c:pt>
                <c:pt idx="149">
                  <c:v>2095.17</c:v>
                </c:pt>
                <c:pt idx="150">
                  <c:v>2693.6000000000004</c:v>
                </c:pt>
                <c:pt idx="151">
                  <c:v>5909.12</c:v>
                </c:pt>
                <c:pt idx="152">
                  <c:v>905.4</c:v>
                </c:pt>
                <c:pt idx="153">
                  <c:v>1486.93</c:v>
                </c:pt>
                <c:pt idx="154">
                  <c:v>11272.77</c:v>
                </c:pt>
                <c:pt idx="155">
                  <c:v>926.3</c:v>
                </c:pt>
                <c:pt idx="157">
                  <c:v>8.83</c:v>
                </c:pt>
                <c:pt idx="158">
                  <c:v>1332.82</c:v>
                </c:pt>
                <c:pt idx="159">
                  <c:v>791.28</c:v>
                </c:pt>
                <c:pt idx="160">
                  <c:v>15857.57</c:v>
                </c:pt>
                <c:pt idx="161">
                  <c:v>6362.85</c:v>
                </c:pt>
                <c:pt idx="162">
                  <c:v>22133.66</c:v>
                </c:pt>
                <c:pt idx="163">
                  <c:v>2329.9499999999998</c:v>
                </c:pt>
                <c:pt idx="164">
                  <c:v>2140.5100000000002</c:v>
                </c:pt>
                <c:pt idx="165">
                  <c:v>3099.6299999999997</c:v>
                </c:pt>
                <c:pt idx="166">
                  <c:v>8641.64</c:v>
                </c:pt>
                <c:pt idx="167">
                  <c:v>10967.52</c:v>
                </c:pt>
                <c:pt idx="168">
                  <c:v>2653.02</c:v>
                </c:pt>
                <c:pt idx="169">
                  <c:v>770.27</c:v>
                </c:pt>
                <c:pt idx="170">
                  <c:v>3631.55</c:v>
                </c:pt>
                <c:pt idx="171">
                  <c:v>3261.3900000000003</c:v>
                </c:pt>
                <c:pt idx="172">
                  <c:v>66.900000000000006</c:v>
                </c:pt>
                <c:pt idx="173">
                  <c:v>5287.87</c:v>
                </c:pt>
                <c:pt idx="174">
                  <c:v>7238.61</c:v>
                </c:pt>
                <c:pt idx="176">
                  <c:v>1700.38</c:v>
                </c:pt>
                <c:pt idx="177">
                  <c:v>108.99</c:v>
                </c:pt>
                <c:pt idx="178">
                  <c:v>5426.72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Dashboard!$N$11:$N$12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Dashboard!$L$13:$L$192</c:f>
              <c:strCache>
                <c:ptCount val="179"/>
                <c:pt idx="0">
                  <c:v>1/1/2015</c:v>
                </c:pt>
                <c:pt idx="1">
                  <c:v>1/2/2015</c:v>
                </c:pt>
                <c:pt idx="2">
                  <c:v>1/3/2015</c:v>
                </c:pt>
                <c:pt idx="3">
                  <c:v>1/4/2015</c:v>
                </c:pt>
                <c:pt idx="4">
                  <c:v>1/5/2015</c:v>
                </c:pt>
                <c:pt idx="5">
                  <c:v>1/6/2015</c:v>
                </c:pt>
                <c:pt idx="6">
                  <c:v>1/7/2015</c:v>
                </c:pt>
                <c:pt idx="7">
                  <c:v>1/8/2015</c:v>
                </c:pt>
                <c:pt idx="8">
                  <c:v>1/9/2015</c:v>
                </c:pt>
                <c:pt idx="9">
                  <c:v>1/10/2015</c:v>
                </c:pt>
                <c:pt idx="10">
                  <c:v>1/11/2015</c:v>
                </c:pt>
                <c:pt idx="11">
                  <c:v>1/12/2015</c:v>
                </c:pt>
                <c:pt idx="12">
                  <c:v>1/13/2015</c:v>
                </c:pt>
                <c:pt idx="13">
                  <c:v>1/14/2015</c:v>
                </c:pt>
                <c:pt idx="14">
                  <c:v>1/15/2015</c:v>
                </c:pt>
                <c:pt idx="15">
                  <c:v>1/16/2015</c:v>
                </c:pt>
                <c:pt idx="16">
                  <c:v>1/17/2015</c:v>
                </c:pt>
                <c:pt idx="17">
                  <c:v>1/18/2015</c:v>
                </c:pt>
                <c:pt idx="18">
                  <c:v>1/19/2015</c:v>
                </c:pt>
                <c:pt idx="19">
                  <c:v>1/20/2015</c:v>
                </c:pt>
                <c:pt idx="20">
                  <c:v>1/21/2015</c:v>
                </c:pt>
                <c:pt idx="21">
                  <c:v>1/22/2015</c:v>
                </c:pt>
                <c:pt idx="22">
                  <c:v>1/23/2015</c:v>
                </c:pt>
                <c:pt idx="23">
                  <c:v>1/24/2015</c:v>
                </c:pt>
                <c:pt idx="24">
                  <c:v>1/25/2015</c:v>
                </c:pt>
                <c:pt idx="25">
                  <c:v>1/26/2015</c:v>
                </c:pt>
                <c:pt idx="26">
                  <c:v>1/27/2015</c:v>
                </c:pt>
                <c:pt idx="27">
                  <c:v>1/28/2015</c:v>
                </c:pt>
                <c:pt idx="28">
                  <c:v>1/29/2015</c:v>
                </c:pt>
                <c:pt idx="29">
                  <c:v>1/30/2015</c:v>
                </c:pt>
                <c:pt idx="30">
                  <c:v>1/31/2015</c:v>
                </c:pt>
                <c:pt idx="31">
                  <c:v>2/1/2015</c:v>
                </c:pt>
                <c:pt idx="32">
                  <c:v>2/2/2015</c:v>
                </c:pt>
                <c:pt idx="33">
                  <c:v>2/3/2015</c:v>
                </c:pt>
                <c:pt idx="34">
                  <c:v>2/4/2015</c:v>
                </c:pt>
                <c:pt idx="35">
                  <c:v>2/5/2015</c:v>
                </c:pt>
                <c:pt idx="36">
                  <c:v>2/6/2015</c:v>
                </c:pt>
                <c:pt idx="37">
                  <c:v>2/7/2015</c:v>
                </c:pt>
                <c:pt idx="38">
                  <c:v>2/8/2015</c:v>
                </c:pt>
                <c:pt idx="39">
                  <c:v>2/9/2015</c:v>
                </c:pt>
                <c:pt idx="40">
                  <c:v>2/10/2015</c:v>
                </c:pt>
                <c:pt idx="41">
                  <c:v>2/11/2015</c:v>
                </c:pt>
                <c:pt idx="42">
                  <c:v>2/12/2015</c:v>
                </c:pt>
                <c:pt idx="43">
                  <c:v>2/13/2015</c:v>
                </c:pt>
                <c:pt idx="44">
                  <c:v>2/14/2015</c:v>
                </c:pt>
                <c:pt idx="45">
                  <c:v>2/15/2015</c:v>
                </c:pt>
                <c:pt idx="46">
                  <c:v>2/16/2015</c:v>
                </c:pt>
                <c:pt idx="47">
                  <c:v>2/17/2015</c:v>
                </c:pt>
                <c:pt idx="48">
                  <c:v>2/18/2015</c:v>
                </c:pt>
                <c:pt idx="49">
                  <c:v>2/19/2015</c:v>
                </c:pt>
                <c:pt idx="50">
                  <c:v>2/20/2015</c:v>
                </c:pt>
                <c:pt idx="51">
                  <c:v>2/21/2015</c:v>
                </c:pt>
                <c:pt idx="52">
                  <c:v>2/22/2015</c:v>
                </c:pt>
                <c:pt idx="53">
                  <c:v>2/23/2015</c:v>
                </c:pt>
                <c:pt idx="54">
                  <c:v>2/24/2015</c:v>
                </c:pt>
                <c:pt idx="55">
                  <c:v>2/25/2015</c:v>
                </c:pt>
                <c:pt idx="56">
                  <c:v>2/26/2015</c:v>
                </c:pt>
                <c:pt idx="57">
                  <c:v>2/27/2015</c:v>
                </c:pt>
                <c:pt idx="58">
                  <c:v>2/28/2015</c:v>
                </c:pt>
                <c:pt idx="59">
                  <c:v>3/1/2015</c:v>
                </c:pt>
                <c:pt idx="60">
                  <c:v>3/2/2015</c:v>
                </c:pt>
                <c:pt idx="61">
                  <c:v>3/3/2015</c:v>
                </c:pt>
                <c:pt idx="62">
                  <c:v>3/4/2015</c:v>
                </c:pt>
                <c:pt idx="63">
                  <c:v>3/5/2015</c:v>
                </c:pt>
                <c:pt idx="64">
                  <c:v>3/6/2015</c:v>
                </c:pt>
                <c:pt idx="65">
                  <c:v>3/7/2015</c:v>
                </c:pt>
                <c:pt idx="66">
                  <c:v>3/8/2015</c:v>
                </c:pt>
                <c:pt idx="67">
                  <c:v>3/9/2015</c:v>
                </c:pt>
                <c:pt idx="68">
                  <c:v>3/10/2015</c:v>
                </c:pt>
                <c:pt idx="69">
                  <c:v>3/11/2015</c:v>
                </c:pt>
                <c:pt idx="70">
                  <c:v>3/12/2015</c:v>
                </c:pt>
                <c:pt idx="71">
                  <c:v>3/13/2015</c:v>
                </c:pt>
                <c:pt idx="72">
                  <c:v>3/14/2015</c:v>
                </c:pt>
                <c:pt idx="73">
                  <c:v>3/15/2015</c:v>
                </c:pt>
                <c:pt idx="74">
                  <c:v>3/16/2015</c:v>
                </c:pt>
                <c:pt idx="75">
                  <c:v>3/17/2015</c:v>
                </c:pt>
                <c:pt idx="76">
                  <c:v>3/18/2015</c:v>
                </c:pt>
                <c:pt idx="77">
                  <c:v>3/19/2015</c:v>
                </c:pt>
                <c:pt idx="78">
                  <c:v>3/20/2015</c:v>
                </c:pt>
                <c:pt idx="79">
                  <c:v>3/21/2015</c:v>
                </c:pt>
                <c:pt idx="80">
                  <c:v>3/22/2015</c:v>
                </c:pt>
                <c:pt idx="81">
                  <c:v>3/23/2015</c:v>
                </c:pt>
                <c:pt idx="82">
                  <c:v>3/24/2015</c:v>
                </c:pt>
                <c:pt idx="83">
                  <c:v>3/25/2015</c:v>
                </c:pt>
                <c:pt idx="84">
                  <c:v>3/26/2015</c:v>
                </c:pt>
                <c:pt idx="85">
                  <c:v>3/27/2015</c:v>
                </c:pt>
                <c:pt idx="86">
                  <c:v>3/28/2015</c:v>
                </c:pt>
                <c:pt idx="87">
                  <c:v>3/29/2015</c:v>
                </c:pt>
                <c:pt idx="88">
                  <c:v>3/30/2015</c:v>
                </c:pt>
                <c:pt idx="89">
                  <c:v>3/31/2015</c:v>
                </c:pt>
                <c:pt idx="90">
                  <c:v>4/1/2015</c:v>
                </c:pt>
                <c:pt idx="91">
                  <c:v>4/2/2015</c:v>
                </c:pt>
                <c:pt idx="92">
                  <c:v>4/4/2015</c:v>
                </c:pt>
                <c:pt idx="93">
                  <c:v>4/5/2015</c:v>
                </c:pt>
                <c:pt idx="94">
                  <c:v>4/6/2015</c:v>
                </c:pt>
                <c:pt idx="95">
                  <c:v>4/7/2015</c:v>
                </c:pt>
                <c:pt idx="96">
                  <c:v>4/8/2015</c:v>
                </c:pt>
                <c:pt idx="97">
                  <c:v>4/9/2015</c:v>
                </c:pt>
                <c:pt idx="98">
                  <c:v>4/10/2015</c:v>
                </c:pt>
                <c:pt idx="99">
                  <c:v>4/11/2015</c:v>
                </c:pt>
                <c:pt idx="100">
                  <c:v>4/12/2015</c:v>
                </c:pt>
                <c:pt idx="101">
                  <c:v>4/13/2015</c:v>
                </c:pt>
                <c:pt idx="102">
                  <c:v>4/14/2015</c:v>
                </c:pt>
                <c:pt idx="103">
                  <c:v>4/15/2015</c:v>
                </c:pt>
                <c:pt idx="104">
                  <c:v>4/16/2015</c:v>
                </c:pt>
                <c:pt idx="105">
                  <c:v>4/17/2015</c:v>
                </c:pt>
                <c:pt idx="106">
                  <c:v>4/18/2015</c:v>
                </c:pt>
                <c:pt idx="107">
                  <c:v>4/19/2015</c:v>
                </c:pt>
                <c:pt idx="108">
                  <c:v>4/20/2015</c:v>
                </c:pt>
                <c:pt idx="109">
                  <c:v>4/21/2015</c:v>
                </c:pt>
                <c:pt idx="110">
                  <c:v>4/22/2015</c:v>
                </c:pt>
                <c:pt idx="111">
                  <c:v>4/23/2015</c:v>
                </c:pt>
                <c:pt idx="112">
                  <c:v>4/24/2015</c:v>
                </c:pt>
                <c:pt idx="113">
                  <c:v>4/25/2015</c:v>
                </c:pt>
                <c:pt idx="114">
                  <c:v>4/26/2015</c:v>
                </c:pt>
                <c:pt idx="115">
                  <c:v>4/27/2015</c:v>
                </c:pt>
                <c:pt idx="116">
                  <c:v>4/28/2015</c:v>
                </c:pt>
                <c:pt idx="117">
                  <c:v>4/29/2015</c:v>
                </c:pt>
                <c:pt idx="118">
                  <c:v>4/30/2015</c:v>
                </c:pt>
                <c:pt idx="119">
                  <c:v>5/1/2015</c:v>
                </c:pt>
                <c:pt idx="120">
                  <c:v>5/2/2015</c:v>
                </c:pt>
                <c:pt idx="121">
                  <c:v>5/3/2015</c:v>
                </c:pt>
                <c:pt idx="122">
                  <c:v>5/4/2015</c:v>
                </c:pt>
                <c:pt idx="123">
                  <c:v>5/5/2015</c:v>
                </c:pt>
                <c:pt idx="124">
                  <c:v>5/6/2015</c:v>
                </c:pt>
                <c:pt idx="125">
                  <c:v>5/7/2015</c:v>
                </c:pt>
                <c:pt idx="126">
                  <c:v>5/8/2015</c:v>
                </c:pt>
                <c:pt idx="127">
                  <c:v>5/9/2015</c:v>
                </c:pt>
                <c:pt idx="128">
                  <c:v>5/10/2015</c:v>
                </c:pt>
                <c:pt idx="129">
                  <c:v>5/11/2015</c:v>
                </c:pt>
                <c:pt idx="130">
                  <c:v>5/12/2015</c:v>
                </c:pt>
                <c:pt idx="131">
                  <c:v>5/13/2015</c:v>
                </c:pt>
                <c:pt idx="132">
                  <c:v>5/14/2015</c:v>
                </c:pt>
                <c:pt idx="133">
                  <c:v>5/15/2015</c:v>
                </c:pt>
                <c:pt idx="134">
                  <c:v>5/16/2015</c:v>
                </c:pt>
                <c:pt idx="135">
                  <c:v>5/17/2015</c:v>
                </c:pt>
                <c:pt idx="136">
                  <c:v>5/18/2015</c:v>
                </c:pt>
                <c:pt idx="137">
                  <c:v>5/19/2015</c:v>
                </c:pt>
                <c:pt idx="138">
                  <c:v>5/20/2015</c:v>
                </c:pt>
                <c:pt idx="139">
                  <c:v>5/21/2015</c:v>
                </c:pt>
                <c:pt idx="140">
                  <c:v>5/22/2015</c:v>
                </c:pt>
                <c:pt idx="141">
                  <c:v>5/23/2015</c:v>
                </c:pt>
                <c:pt idx="142">
                  <c:v>5/24/2015</c:v>
                </c:pt>
                <c:pt idx="143">
                  <c:v>5/25/2015</c:v>
                </c:pt>
                <c:pt idx="144">
                  <c:v>5/26/2015</c:v>
                </c:pt>
                <c:pt idx="145">
                  <c:v>5/27/2015</c:v>
                </c:pt>
                <c:pt idx="146">
                  <c:v>5/28/2015</c:v>
                </c:pt>
                <c:pt idx="147">
                  <c:v>5/29/2015</c:v>
                </c:pt>
                <c:pt idx="148">
                  <c:v>5/30/2015</c:v>
                </c:pt>
                <c:pt idx="149">
                  <c:v>6/1/2015</c:v>
                </c:pt>
                <c:pt idx="150">
                  <c:v>6/2/2015</c:v>
                </c:pt>
                <c:pt idx="151">
                  <c:v>6/3/2015</c:v>
                </c:pt>
                <c:pt idx="152">
                  <c:v>6/4/2015</c:v>
                </c:pt>
                <c:pt idx="153">
                  <c:v>6/5/2015</c:v>
                </c:pt>
                <c:pt idx="154">
                  <c:v>6/6/2015</c:v>
                </c:pt>
                <c:pt idx="155">
                  <c:v>6/7/2015</c:v>
                </c:pt>
                <c:pt idx="156">
                  <c:v>6/8/2015</c:v>
                </c:pt>
                <c:pt idx="157">
                  <c:v>6/9/2015</c:v>
                </c:pt>
                <c:pt idx="158">
                  <c:v>6/10/2015</c:v>
                </c:pt>
                <c:pt idx="159">
                  <c:v>6/11/2015</c:v>
                </c:pt>
                <c:pt idx="160">
                  <c:v>6/12/2015</c:v>
                </c:pt>
                <c:pt idx="161">
                  <c:v>6/13/2015</c:v>
                </c:pt>
                <c:pt idx="162">
                  <c:v>6/14/2015</c:v>
                </c:pt>
                <c:pt idx="163">
                  <c:v>6/15/2015</c:v>
                </c:pt>
                <c:pt idx="164">
                  <c:v>6/16/2015</c:v>
                </c:pt>
                <c:pt idx="165">
                  <c:v>6/17/2015</c:v>
                </c:pt>
                <c:pt idx="166">
                  <c:v>6/18/2015</c:v>
                </c:pt>
                <c:pt idx="167">
                  <c:v>6/19/2015</c:v>
                </c:pt>
                <c:pt idx="168">
                  <c:v>6/20/2015</c:v>
                </c:pt>
                <c:pt idx="169">
                  <c:v>6/21/2015</c:v>
                </c:pt>
                <c:pt idx="170">
                  <c:v>6/22/2015</c:v>
                </c:pt>
                <c:pt idx="171">
                  <c:v>6/23/2015</c:v>
                </c:pt>
                <c:pt idx="172">
                  <c:v>6/24/2015</c:v>
                </c:pt>
                <c:pt idx="173">
                  <c:v>6/25/2015</c:v>
                </c:pt>
                <c:pt idx="174">
                  <c:v>6/26/2015</c:v>
                </c:pt>
                <c:pt idx="175">
                  <c:v>6/27/2015</c:v>
                </c:pt>
                <c:pt idx="176">
                  <c:v>6/28/2015</c:v>
                </c:pt>
                <c:pt idx="177">
                  <c:v>6/29/2015</c:v>
                </c:pt>
                <c:pt idx="178">
                  <c:v>6/30/2015</c:v>
                </c:pt>
              </c:strCache>
            </c:strRef>
          </c:cat>
          <c:val>
            <c:numRef>
              <c:f>Dashboard!$N$13:$N$192</c:f>
              <c:numCache>
                <c:formatCode>General</c:formatCode>
                <c:ptCount val="179"/>
                <c:pt idx="0">
                  <c:v>329.87</c:v>
                </c:pt>
                <c:pt idx="1">
                  <c:v>7378.4300000000012</c:v>
                </c:pt>
                <c:pt idx="2">
                  <c:v>969.14</c:v>
                </c:pt>
                <c:pt idx="3">
                  <c:v>3114.4</c:v>
                </c:pt>
                <c:pt idx="4">
                  <c:v>14015.17</c:v>
                </c:pt>
                <c:pt idx="5">
                  <c:v>2188.5</c:v>
                </c:pt>
                <c:pt idx="6">
                  <c:v>471.01</c:v>
                </c:pt>
                <c:pt idx="7">
                  <c:v>5363.579999999999</c:v>
                </c:pt>
                <c:pt idx="8">
                  <c:v>5485.97</c:v>
                </c:pt>
                <c:pt idx="9">
                  <c:v>278.83999999999997</c:v>
                </c:pt>
                <c:pt idx="10">
                  <c:v>133.28</c:v>
                </c:pt>
                <c:pt idx="11">
                  <c:v>587.62</c:v>
                </c:pt>
                <c:pt idx="12">
                  <c:v>262.56</c:v>
                </c:pt>
                <c:pt idx="13">
                  <c:v>2532.4399999999996</c:v>
                </c:pt>
                <c:pt idx="14">
                  <c:v>798.53</c:v>
                </c:pt>
                <c:pt idx="15">
                  <c:v>741.93000000000006</c:v>
                </c:pt>
                <c:pt idx="16">
                  <c:v>3940.6100000000006</c:v>
                </c:pt>
                <c:pt idx="17">
                  <c:v>774.54</c:v>
                </c:pt>
                <c:pt idx="18">
                  <c:v>1037.3499999999999</c:v>
                </c:pt>
                <c:pt idx="19">
                  <c:v>3431.5300000000007</c:v>
                </c:pt>
                <c:pt idx="20">
                  <c:v>3026.31</c:v>
                </c:pt>
                <c:pt idx="21">
                  <c:v>568.04</c:v>
                </c:pt>
                <c:pt idx="22">
                  <c:v>381.68</c:v>
                </c:pt>
                <c:pt idx="23">
                  <c:v>1848.87</c:v>
                </c:pt>
                <c:pt idx="24">
                  <c:v>33.82</c:v>
                </c:pt>
                <c:pt idx="25">
                  <c:v>1260.6499999999999</c:v>
                </c:pt>
                <c:pt idx="26">
                  <c:v>1693.24</c:v>
                </c:pt>
                <c:pt idx="27">
                  <c:v>1555.2199999999998</c:v>
                </c:pt>
                <c:pt idx="28">
                  <c:v>4375.2299999999996</c:v>
                </c:pt>
                <c:pt idx="29">
                  <c:v>172.96</c:v>
                </c:pt>
                <c:pt idx="30">
                  <c:v>242.39999999999998</c:v>
                </c:pt>
                <c:pt idx="31">
                  <c:v>379.16999999999996</c:v>
                </c:pt>
                <c:pt idx="32">
                  <c:v>387.66</c:v>
                </c:pt>
                <c:pt idx="34">
                  <c:v>1025.44</c:v>
                </c:pt>
                <c:pt idx="35">
                  <c:v>3869.66</c:v>
                </c:pt>
                <c:pt idx="36">
                  <c:v>707.79</c:v>
                </c:pt>
                <c:pt idx="37">
                  <c:v>2879.23</c:v>
                </c:pt>
                <c:pt idx="39">
                  <c:v>178.74</c:v>
                </c:pt>
                <c:pt idx="40">
                  <c:v>2182.29</c:v>
                </c:pt>
                <c:pt idx="41">
                  <c:v>152.26999999999998</c:v>
                </c:pt>
                <c:pt idx="42">
                  <c:v>1106.4100000000001</c:v>
                </c:pt>
                <c:pt idx="43">
                  <c:v>132.20999999999998</c:v>
                </c:pt>
                <c:pt idx="44">
                  <c:v>1105.81</c:v>
                </c:pt>
                <c:pt idx="45">
                  <c:v>1113.23</c:v>
                </c:pt>
                <c:pt idx="46">
                  <c:v>1191.71</c:v>
                </c:pt>
                <c:pt idx="47">
                  <c:v>894.06</c:v>
                </c:pt>
                <c:pt idx="48">
                  <c:v>847.74</c:v>
                </c:pt>
                <c:pt idx="49">
                  <c:v>730.2</c:v>
                </c:pt>
                <c:pt idx="50">
                  <c:v>5297.06</c:v>
                </c:pt>
                <c:pt idx="51">
                  <c:v>129.72</c:v>
                </c:pt>
                <c:pt idx="52">
                  <c:v>1935.48</c:v>
                </c:pt>
                <c:pt idx="53">
                  <c:v>441.39</c:v>
                </c:pt>
                <c:pt idx="54">
                  <c:v>911.58999999999992</c:v>
                </c:pt>
                <c:pt idx="55">
                  <c:v>10150.640000000001</c:v>
                </c:pt>
                <c:pt idx="56">
                  <c:v>1448.37</c:v>
                </c:pt>
                <c:pt idx="57">
                  <c:v>1778.4899999999998</c:v>
                </c:pt>
                <c:pt idx="58">
                  <c:v>1280.3499999999999</c:v>
                </c:pt>
                <c:pt idx="59">
                  <c:v>624.78</c:v>
                </c:pt>
                <c:pt idx="60">
                  <c:v>4</c:v>
                </c:pt>
                <c:pt idx="61">
                  <c:v>243.11</c:v>
                </c:pt>
                <c:pt idx="62">
                  <c:v>6668.81</c:v>
                </c:pt>
                <c:pt idx="63">
                  <c:v>571.20000000000005</c:v>
                </c:pt>
                <c:pt idx="64">
                  <c:v>937.31000000000006</c:v>
                </c:pt>
                <c:pt idx="65">
                  <c:v>356.5</c:v>
                </c:pt>
                <c:pt idx="66">
                  <c:v>912.24</c:v>
                </c:pt>
                <c:pt idx="67">
                  <c:v>73.290000000000006</c:v>
                </c:pt>
                <c:pt idx="68">
                  <c:v>295.77</c:v>
                </c:pt>
                <c:pt idx="69">
                  <c:v>1820.7800000000002</c:v>
                </c:pt>
                <c:pt idx="70">
                  <c:v>660.32999999999993</c:v>
                </c:pt>
                <c:pt idx="71">
                  <c:v>5224.9500000000007</c:v>
                </c:pt>
                <c:pt idx="72">
                  <c:v>421.00999999999993</c:v>
                </c:pt>
                <c:pt idx="73">
                  <c:v>146.77999999999997</c:v>
                </c:pt>
                <c:pt idx="74">
                  <c:v>10118.099999999999</c:v>
                </c:pt>
                <c:pt idx="75">
                  <c:v>267.72000000000003</c:v>
                </c:pt>
                <c:pt idx="76">
                  <c:v>2440.4499999999998</c:v>
                </c:pt>
                <c:pt idx="77">
                  <c:v>894.36</c:v>
                </c:pt>
                <c:pt idx="78">
                  <c:v>4158.0200000000004</c:v>
                </c:pt>
                <c:pt idx="79">
                  <c:v>4657.87</c:v>
                </c:pt>
                <c:pt idx="80">
                  <c:v>1278.93</c:v>
                </c:pt>
                <c:pt idx="81">
                  <c:v>3524.94</c:v>
                </c:pt>
                <c:pt idx="82">
                  <c:v>2773.1800000000003</c:v>
                </c:pt>
                <c:pt idx="83">
                  <c:v>2615.4899999999998</c:v>
                </c:pt>
                <c:pt idx="84">
                  <c:v>1657.1699999999998</c:v>
                </c:pt>
                <c:pt idx="85">
                  <c:v>1219.9500000000003</c:v>
                </c:pt>
                <c:pt idx="86">
                  <c:v>598.6</c:v>
                </c:pt>
                <c:pt idx="87">
                  <c:v>427.34000000000003</c:v>
                </c:pt>
                <c:pt idx="88">
                  <c:v>12418.079999999998</c:v>
                </c:pt>
                <c:pt idx="89">
                  <c:v>8.65</c:v>
                </c:pt>
                <c:pt idx="90">
                  <c:v>4535.03</c:v>
                </c:pt>
                <c:pt idx="91">
                  <c:v>16339.369999999999</c:v>
                </c:pt>
                <c:pt idx="92">
                  <c:v>61068.82</c:v>
                </c:pt>
                <c:pt idx="93">
                  <c:v>3406.3</c:v>
                </c:pt>
                <c:pt idx="94">
                  <c:v>1016.27</c:v>
                </c:pt>
                <c:pt idx="95">
                  <c:v>2807.79</c:v>
                </c:pt>
                <c:pt idx="96">
                  <c:v>1650.0100000000002</c:v>
                </c:pt>
                <c:pt idx="97">
                  <c:v>3371.17</c:v>
                </c:pt>
                <c:pt idx="98">
                  <c:v>12336.589999999998</c:v>
                </c:pt>
                <c:pt idx="99">
                  <c:v>380.24</c:v>
                </c:pt>
                <c:pt idx="100">
                  <c:v>246.14</c:v>
                </c:pt>
                <c:pt idx="101">
                  <c:v>18.079999999999998</c:v>
                </c:pt>
                <c:pt idx="103">
                  <c:v>2229.9700000000003</c:v>
                </c:pt>
                <c:pt idx="104">
                  <c:v>29.92</c:v>
                </c:pt>
                <c:pt idx="105">
                  <c:v>5984.89</c:v>
                </c:pt>
                <c:pt idx="106">
                  <c:v>5983.6500000000005</c:v>
                </c:pt>
                <c:pt idx="107">
                  <c:v>667.20999999999992</c:v>
                </c:pt>
                <c:pt idx="108">
                  <c:v>5799.47</c:v>
                </c:pt>
                <c:pt idx="109">
                  <c:v>13777.660000000003</c:v>
                </c:pt>
                <c:pt idx="110">
                  <c:v>1744.73</c:v>
                </c:pt>
                <c:pt idx="111">
                  <c:v>670.28000000000009</c:v>
                </c:pt>
                <c:pt idx="112">
                  <c:v>1785.01</c:v>
                </c:pt>
                <c:pt idx="113">
                  <c:v>147.07</c:v>
                </c:pt>
                <c:pt idx="114">
                  <c:v>11425.439999999999</c:v>
                </c:pt>
                <c:pt idx="115">
                  <c:v>1086.0500000000002</c:v>
                </c:pt>
                <c:pt idx="116">
                  <c:v>20705.850000000002</c:v>
                </c:pt>
                <c:pt idx="117">
                  <c:v>1344.62</c:v>
                </c:pt>
                <c:pt idx="118">
                  <c:v>1034.52</c:v>
                </c:pt>
                <c:pt idx="119">
                  <c:v>1453.28</c:v>
                </c:pt>
                <c:pt idx="120">
                  <c:v>879.61000000000013</c:v>
                </c:pt>
                <c:pt idx="121">
                  <c:v>932.55000000000007</c:v>
                </c:pt>
                <c:pt idx="122">
                  <c:v>2444.27</c:v>
                </c:pt>
                <c:pt idx="123">
                  <c:v>15728.97</c:v>
                </c:pt>
                <c:pt idx="124">
                  <c:v>477.87</c:v>
                </c:pt>
                <c:pt idx="125">
                  <c:v>269.88</c:v>
                </c:pt>
                <c:pt idx="126">
                  <c:v>1009.76</c:v>
                </c:pt>
                <c:pt idx="127">
                  <c:v>397.35</c:v>
                </c:pt>
                <c:pt idx="128">
                  <c:v>3371.4500000000003</c:v>
                </c:pt>
                <c:pt idx="129">
                  <c:v>1279.03</c:v>
                </c:pt>
                <c:pt idx="130">
                  <c:v>4942.9699999999993</c:v>
                </c:pt>
                <c:pt idx="131">
                  <c:v>1042.2399999999998</c:v>
                </c:pt>
                <c:pt idx="132">
                  <c:v>1268.93</c:v>
                </c:pt>
                <c:pt idx="133">
                  <c:v>2710.23</c:v>
                </c:pt>
                <c:pt idx="134">
                  <c:v>5732.04</c:v>
                </c:pt>
                <c:pt idx="135">
                  <c:v>7586.33</c:v>
                </c:pt>
                <c:pt idx="136">
                  <c:v>255.51</c:v>
                </c:pt>
                <c:pt idx="137">
                  <c:v>3159.4700000000003</c:v>
                </c:pt>
                <c:pt idx="138">
                  <c:v>2223.44</c:v>
                </c:pt>
                <c:pt idx="139">
                  <c:v>2138.4499999999998</c:v>
                </c:pt>
                <c:pt idx="140">
                  <c:v>1304.8600000000001</c:v>
                </c:pt>
                <c:pt idx="141">
                  <c:v>3546.21</c:v>
                </c:pt>
                <c:pt idx="142">
                  <c:v>527.85</c:v>
                </c:pt>
                <c:pt idx="143">
                  <c:v>2181.8399999999997</c:v>
                </c:pt>
                <c:pt idx="144">
                  <c:v>2566.6</c:v>
                </c:pt>
                <c:pt idx="145">
                  <c:v>486.13</c:v>
                </c:pt>
                <c:pt idx="146">
                  <c:v>2409.4499999999998</c:v>
                </c:pt>
                <c:pt idx="147">
                  <c:v>35945.560000000005</c:v>
                </c:pt>
                <c:pt idx="148">
                  <c:v>2066.4</c:v>
                </c:pt>
                <c:pt idx="149">
                  <c:v>4220.0599999999995</c:v>
                </c:pt>
                <c:pt idx="150">
                  <c:v>1020.7900000000001</c:v>
                </c:pt>
                <c:pt idx="151">
                  <c:v>3205.3599999999997</c:v>
                </c:pt>
                <c:pt idx="152">
                  <c:v>651.09999999999991</c:v>
                </c:pt>
                <c:pt idx="153">
                  <c:v>11135.9</c:v>
                </c:pt>
                <c:pt idx="154">
                  <c:v>1264.0000000000002</c:v>
                </c:pt>
                <c:pt idx="155">
                  <c:v>12737.939999999999</c:v>
                </c:pt>
                <c:pt idx="156">
                  <c:v>3860.4400000000005</c:v>
                </c:pt>
                <c:pt idx="157">
                  <c:v>461.41</c:v>
                </c:pt>
                <c:pt idx="158">
                  <c:v>450.46</c:v>
                </c:pt>
                <c:pt idx="159">
                  <c:v>14119.029999999999</c:v>
                </c:pt>
                <c:pt idx="160">
                  <c:v>1806.78</c:v>
                </c:pt>
                <c:pt idx="161">
                  <c:v>1791.81</c:v>
                </c:pt>
                <c:pt idx="162">
                  <c:v>4585.5700000000006</c:v>
                </c:pt>
                <c:pt idx="163">
                  <c:v>284.48</c:v>
                </c:pt>
                <c:pt idx="164">
                  <c:v>75.36</c:v>
                </c:pt>
                <c:pt idx="165">
                  <c:v>868.90000000000009</c:v>
                </c:pt>
                <c:pt idx="166">
                  <c:v>502.23</c:v>
                </c:pt>
                <c:pt idx="167">
                  <c:v>228.83</c:v>
                </c:pt>
                <c:pt idx="168">
                  <c:v>1772.8000000000004</c:v>
                </c:pt>
                <c:pt idx="169">
                  <c:v>1306.74</c:v>
                </c:pt>
                <c:pt idx="170">
                  <c:v>6416.01</c:v>
                </c:pt>
                <c:pt idx="171">
                  <c:v>111.19</c:v>
                </c:pt>
                <c:pt idx="172">
                  <c:v>405.27</c:v>
                </c:pt>
                <c:pt idx="173">
                  <c:v>3642.05</c:v>
                </c:pt>
                <c:pt idx="175">
                  <c:v>171.82</c:v>
                </c:pt>
                <c:pt idx="176">
                  <c:v>1274.25</c:v>
                </c:pt>
                <c:pt idx="177">
                  <c:v>224.04999999999998</c:v>
                </c:pt>
                <c:pt idx="178">
                  <c:v>1573.1699999999996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Dashboard!$O$11:$O$12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Dashboard!$L$13:$L$192</c:f>
              <c:strCache>
                <c:ptCount val="179"/>
                <c:pt idx="0">
                  <c:v>1/1/2015</c:v>
                </c:pt>
                <c:pt idx="1">
                  <c:v>1/2/2015</c:v>
                </c:pt>
                <c:pt idx="2">
                  <c:v>1/3/2015</c:v>
                </c:pt>
                <c:pt idx="3">
                  <c:v>1/4/2015</c:v>
                </c:pt>
                <c:pt idx="4">
                  <c:v>1/5/2015</c:v>
                </c:pt>
                <c:pt idx="5">
                  <c:v>1/6/2015</c:v>
                </c:pt>
                <c:pt idx="6">
                  <c:v>1/7/2015</c:v>
                </c:pt>
                <c:pt idx="7">
                  <c:v>1/8/2015</c:v>
                </c:pt>
                <c:pt idx="8">
                  <c:v>1/9/2015</c:v>
                </c:pt>
                <c:pt idx="9">
                  <c:v>1/10/2015</c:v>
                </c:pt>
                <c:pt idx="10">
                  <c:v>1/11/2015</c:v>
                </c:pt>
                <c:pt idx="11">
                  <c:v>1/12/2015</c:v>
                </c:pt>
                <c:pt idx="12">
                  <c:v>1/13/2015</c:v>
                </c:pt>
                <c:pt idx="13">
                  <c:v>1/14/2015</c:v>
                </c:pt>
                <c:pt idx="14">
                  <c:v>1/15/2015</c:v>
                </c:pt>
                <c:pt idx="15">
                  <c:v>1/16/2015</c:v>
                </c:pt>
                <c:pt idx="16">
                  <c:v>1/17/2015</c:v>
                </c:pt>
                <c:pt idx="17">
                  <c:v>1/18/2015</c:v>
                </c:pt>
                <c:pt idx="18">
                  <c:v>1/19/2015</c:v>
                </c:pt>
                <c:pt idx="19">
                  <c:v>1/20/2015</c:v>
                </c:pt>
                <c:pt idx="20">
                  <c:v>1/21/2015</c:v>
                </c:pt>
                <c:pt idx="21">
                  <c:v>1/22/2015</c:v>
                </c:pt>
                <c:pt idx="22">
                  <c:v>1/23/2015</c:v>
                </c:pt>
                <c:pt idx="23">
                  <c:v>1/24/2015</c:v>
                </c:pt>
                <c:pt idx="24">
                  <c:v>1/25/2015</c:v>
                </c:pt>
                <c:pt idx="25">
                  <c:v>1/26/2015</c:v>
                </c:pt>
                <c:pt idx="26">
                  <c:v>1/27/2015</c:v>
                </c:pt>
                <c:pt idx="27">
                  <c:v>1/28/2015</c:v>
                </c:pt>
                <c:pt idx="28">
                  <c:v>1/29/2015</c:v>
                </c:pt>
                <c:pt idx="29">
                  <c:v>1/30/2015</c:v>
                </c:pt>
                <c:pt idx="30">
                  <c:v>1/31/2015</c:v>
                </c:pt>
                <c:pt idx="31">
                  <c:v>2/1/2015</c:v>
                </c:pt>
                <c:pt idx="32">
                  <c:v>2/2/2015</c:v>
                </c:pt>
                <c:pt idx="33">
                  <c:v>2/3/2015</c:v>
                </c:pt>
                <c:pt idx="34">
                  <c:v>2/4/2015</c:v>
                </c:pt>
                <c:pt idx="35">
                  <c:v>2/5/2015</c:v>
                </c:pt>
                <c:pt idx="36">
                  <c:v>2/6/2015</c:v>
                </c:pt>
                <c:pt idx="37">
                  <c:v>2/7/2015</c:v>
                </c:pt>
                <c:pt idx="38">
                  <c:v>2/8/2015</c:v>
                </c:pt>
                <c:pt idx="39">
                  <c:v>2/9/2015</c:v>
                </c:pt>
                <c:pt idx="40">
                  <c:v>2/10/2015</c:v>
                </c:pt>
                <c:pt idx="41">
                  <c:v>2/11/2015</c:v>
                </c:pt>
                <c:pt idx="42">
                  <c:v>2/12/2015</c:v>
                </c:pt>
                <c:pt idx="43">
                  <c:v>2/13/2015</c:v>
                </c:pt>
                <c:pt idx="44">
                  <c:v>2/14/2015</c:v>
                </c:pt>
                <c:pt idx="45">
                  <c:v>2/15/2015</c:v>
                </c:pt>
                <c:pt idx="46">
                  <c:v>2/16/2015</c:v>
                </c:pt>
                <c:pt idx="47">
                  <c:v>2/17/2015</c:v>
                </c:pt>
                <c:pt idx="48">
                  <c:v>2/18/2015</c:v>
                </c:pt>
                <c:pt idx="49">
                  <c:v>2/19/2015</c:v>
                </c:pt>
                <c:pt idx="50">
                  <c:v>2/20/2015</c:v>
                </c:pt>
                <c:pt idx="51">
                  <c:v>2/21/2015</c:v>
                </c:pt>
                <c:pt idx="52">
                  <c:v>2/22/2015</c:v>
                </c:pt>
                <c:pt idx="53">
                  <c:v>2/23/2015</c:v>
                </c:pt>
                <c:pt idx="54">
                  <c:v>2/24/2015</c:v>
                </c:pt>
                <c:pt idx="55">
                  <c:v>2/25/2015</c:v>
                </c:pt>
                <c:pt idx="56">
                  <c:v>2/26/2015</c:v>
                </c:pt>
                <c:pt idx="57">
                  <c:v>2/27/2015</c:v>
                </c:pt>
                <c:pt idx="58">
                  <c:v>2/28/2015</c:v>
                </c:pt>
                <c:pt idx="59">
                  <c:v>3/1/2015</c:v>
                </c:pt>
                <c:pt idx="60">
                  <c:v>3/2/2015</c:v>
                </c:pt>
                <c:pt idx="61">
                  <c:v>3/3/2015</c:v>
                </c:pt>
                <c:pt idx="62">
                  <c:v>3/4/2015</c:v>
                </c:pt>
                <c:pt idx="63">
                  <c:v>3/5/2015</c:v>
                </c:pt>
                <c:pt idx="64">
                  <c:v>3/6/2015</c:v>
                </c:pt>
                <c:pt idx="65">
                  <c:v>3/7/2015</c:v>
                </c:pt>
                <c:pt idx="66">
                  <c:v>3/8/2015</c:v>
                </c:pt>
                <c:pt idx="67">
                  <c:v>3/9/2015</c:v>
                </c:pt>
                <c:pt idx="68">
                  <c:v>3/10/2015</c:v>
                </c:pt>
                <c:pt idx="69">
                  <c:v>3/11/2015</c:v>
                </c:pt>
                <c:pt idx="70">
                  <c:v>3/12/2015</c:v>
                </c:pt>
                <c:pt idx="71">
                  <c:v>3/13/2015</c:v>
                </c:pt>
                <c:pt idx="72">
                  <c:v>3/14/2015</c:v>
                </c:pt>
                <c:pt idx="73">
                  <c:v>3/15/2015</c:v>
                </c:pt>
                <c:pt idx="74">
                  <c:v>3/16/2015</c:v>
                </c:pt>
                <c:pt idx="75">
                  <c:v>3/17/2015</c:v>
                </c:pt>
                <c:pt idx="76">
                  <c:v>3/18/2015</c:v>
                </c:pt>
                <c:pt idx="77">
                  <c:v>3/19/2015</c:v>
                </c:pt>
                <c:pt idx="78">
                  <c:v>3/20/2015</c:v>
                </c:pt>
                <c:pt idx="79">
                  <c:v>3/21/2015</c:v>
                </c:pt>
                <c:pt idx="80">
                  <c:v>3/22/2015</c:v>
                </c:pt>
                <c:pt idx="81">
                  <c:v>3/23/2015</c:v>
                </c:pt>
                <c:pt idx="82">
                  <c:v>3/24/2015</c:v>
                </c:pt>
                <c:pt idx="83">
                  <c:v>3/25/2015</c:v>
                </c:pt>
                <c:pt idx="84">
                  <c:v>3/26/2015</c:v>
                </c:pt>
                <c:pt idx="85">
                  <c:v>3/27/2015</c:v>
                </c:pt>
                <c:pt idx="86">
                  <c:v>3/28/2015</c:v>
                </c:pt>
                <c:pt idx="87">
                  <c:v>3/29/2015</c:v>
                </c:pt>
                <c:pt idx="88">
                  <c:v>3/30/2015</c:v>
                </c:pt>
                <c:pt idx="89">
                  <c:v>3/31/2015</c:v>
                </c:pt>
                <c:pt idx="90">
                  <c:v>4/1/2015</c:v>
                </c:pt>
                <c:pt idx="91">
                  <c:v>4/2/2015</c:v>
                </c:pt>
                <c:pt idx="92">
                  <c:v>4/4/2015</c:v>
                </c:pt>
                <c:pt idx="93">
                  <c:v>4/5/2015</c:v>
                </c:pt>
                <c:pt idx="94">
                  <c:v>4/6/2015</c:v>
                </c:pt>
                <c:pt idx="95">
                  <c:v>4/7/2015</c:v>
                </c:pt>
                <c:pt idx="96">
                  <c:v>4/8/2015</c:v>
                </c:pt>
                <c:pt idx="97">
                  <c:v>4/9/2015</c:v>
                </c:pt>
                <c:pt idx="98">
                  <c:v>4/10/2015</c:v>
                </c:pt>
                <c:pt idx="99">
                  <c:v>4/11/2015</c:v>
                </c:pt>
                <c:pt idx="100">
                  <c:v>4/12/2015</c:v>
                </c:pt>
                <c:pt idx="101">
                  <c:v>4/13/2015</c:v>
                </c:pt>
                <c:pt idx="102">
                  <c:v>4/14/2015</c:v>
                </c:pt>
                <c:pt idx="103">
                  <c:v>4/15/2015</c:v>
                </c:pt>
                <c:pt idx="104">
                  <c:v>4/16/2015</c:v>
                </c:pt>
                <c:pt idx="105">
                  <c:v>4/17/2015</c:v>
                </c:pt>
                <c:pt idx="106">
                  <c:v>4/18/2015</c:v>
                </c:pt>
                <c:pt idx="107">
                  <c:v>4/19/2015</c:v>
                </c:pt>
                <c:pt idx="108">
                  <c:v>4/20/2015</c:v>
                </c:pt>
                <c:pt idx="109">
                  <c:v>4/21/2015</c:v>
                </c:pt>
                <c:pt idx="110">
                  <c:v>4/22/2015</c:v>
                </c:pt>
                <c:pt idx="111">
                  <c:v>4/23/2015</c:v>
                </c:pt>
                <c:pt idx="112">
                  <c:v>4/24/2015</c:v>
                </c:pt>
                <c:pt idx="113">
                  <c:v>4/25/2015</c:v>
                </c:pt>
                <c:pt idx="114">
                  <c:v>4/26/2015</c:v>
                </c:pt>
                <c:pt idx="115">
                  <c:v>4/27/2015</c:v>
                </c:pt>
                <c:pt idx="116">
                  <c:v>4/28/2015</c:v>
                </c:pt>
                <c:pt idx="117">
                  <c:v>4/29/2015</c:v>
                </c:pt>
                <c:pt idx="118">
                  <c:v>4/30/2015</c:v>
                </c:pt>
                <c:pt idx="119">
                  <c:v>5/1/2015</c:v>
                </c:pt>
                <c:pt idx="120">
                  <c:v>5/2/2015</c:v>
                </c:pt>
                <c:pt idx="121">
                  <c:v>5/3/2015</c:v>
                </c:pt>
                <c:pt idx="122">
                  <c:v>5/4/2015</c:v>
                </c:pt>
                <c:pt idx="123">
                  <c:v>5/5/2015</c:v>
                </c:pt>
                <c:pt idx="124">
                  <c:v>5/6/2015</c:v>
                </c:pt>
                <c:pt idx="125">
                  <c:v>5/7/2015</c:v>
                </c:pt>
                <c:pt idx="126">
                  <c:v>5/8/2015</c:v>
                </c:pt>
                <c:pt idx="127">
                  <c:v>5/9/2015</c:v>
                </c:pt>
                <c:pt idx="128">
                  <c:v>5/10/2015</c:v>
                </c:pt>
                <c:pt idx="129">
                  <c:v>5/11/2015</c:v>
                </c:pt>
                <c:pt idx="130">
                  <c:v>5/12/2015</c:v>
                </c:pt>
                <c:pt idx="131">
                  <c:v>5/13/2015</c:v>
                </c:pt>
                <c:pt idx="132">
                  <c:v>5/14/2015</c:v>
                </c:pt>
                <c:pt idx="133">
                  <c:v>5/15/2015</c:v>
                </c:pt>
                <c:pt idx="134">
                  <c:v>5/16/2015</c:v>
                </c:pt>
                <c:pt idx="135">
                  <c:v>5/17/2015</c:v>
                </c:pt>
                <c:pt idx="136">
                  <c:v>5/18/2015</c:v>
                </c:pt>
                <c:pt idx="137">
                  <c:v>5/19/2015</c:v>
                </c:pt>
                <c:pt idx="138">
                  <c:v>5/20/2015</c:v>
                </c:pt>
                <c:pt idx="139">
                  <c:v>5/21/2015</c:v>
                </c:pt>
                <c:pt idx="140">
                  <c:v>5/22/2015</c:v>
                </c:pt>
                <c:pt idx="141">
                  <c:v>5/23/2015</c:v>
                </c:pt>
                <c:pt idx="142">
                  <c:v>5/24/2015</c:v>
                </c:pt>
                <c:pt idx="143">
                  <c:v>5/25/2015</c:v>
                </c:pt>
                <c:pt idx="144">
                  <c:v>5/26/2015</c:v>
                </c:pt>
                <c:pt idx="145">
                  <c:v>5/27/2015</c:v>
                </c:pt>
                <c:pt idx="146">
                  <c:v>5/28/2015</c:v>
                </c:pt>
                <c:pt idx="147">
                  <c:v>5/29/2015</c:v>
                </c:pt>
                <c:pt idx="148">
                  <c:v>5/30/2015</c:v>
                </c:pt>
                <c:pt idx="149">
                  <c:v>6/1/2015</c:v>
                </c:pt>
                <c:pt idx="150">
                  <c:v>6/2/2015</c:v>
                </c:pt>
                <c:pt idx="151">
                  <c:v>6/3/2015</c:v>
                </c:pt>
                <c:pt idx="152">
                  <c:v>6/4/2015</c:v>
                </c:pt>
                <c:pt idx="153">
                  <c:v>6/5/2015</c:v>
                </c:pt>
                <c:pt idx="154">
                  <c:v>6/6/2015</c:v>
                </c:pt>
                <c:pt idx="155">
                  <c:v>6/7/2015</c:v>
                </c:pt>
                <c:pt idx="156">
                  <c:v>6/8/2015</c:v>
                </c:pt>
                <c:pt idx="157">
                  <c:v>6/9/2015</c:v>
                </c:pt>
                <c:pt idx="158">
                  <c:v>6/10/2015</c:v>
                </c:pt>
                <c:pt idx="159">
                  <c:v>6/11/2015</c:v>
                </c:pt>
                <c:pt idx="160">
                  <c:v>6/12/2015</c:v>
                </c:pt>
                <c:pt idx="161">
                  <c:v>6/13/2015</c:v>
                </c:pt>
                <c:pt idx="162">
                  <c:v>6/14/2015</c:v>
                </c:pt>
                <c:pt idx="163">
                  <c:v>6/15/2015</c:v>
                </c:pt>
                <c:pt idx="164">
                  <c:v>6/16/2015</c:v>
                </c:pt>
                <c:pt idx="165">
                  <c:v>6/17/2015</c:v>
                </c:pt>
                <c:pt idx="166">
                  <c:v>6/18/2015</c:v>
                </c:pt>
                <c:pt idx="167">
                  <c:v>6/19/2015</c:v>
                </c:pt>
                <c:pt idx="168">
                  <c:v>6/20/2015</c:v>
                </c:pt>
                <c:pt idx="169">
                  <c:v>6/21/2015</c:v>
                </c:pt>
                <c:pt idx="170">
                  <c:v>6/22/2015</c:v>
                </c:pt>
                <c:pt idx="171">
                  <c:v>6/23/2015</c:v>
                </c:pt>
                <c:pt idx="172">
                  <c:v>6/24/2015</c:v>
                </c:pt>
                <c:pt idx="173">
                  <c:v>6/25/2015</c:v>
                </c:pt>
                <c:pt idx="174">
                  <c:v>6/26/2015</c:v>
                </c:pt>
                <c:pt idx="175">
                  <c:v>6/27/2015</c:v>
                </c:pt>
                <c:pt idx="176">
                  <c:v>6/28/2015</c:v>
                </c:pt>
                <c:pt idx="177">
                  <c:v>6/29/2015</c:v>
                </c:pt>
                <c:pt idx="178">
                  <c:v>6/30/2015</c:v>
                </c:pt>
              </c:strCache>
            </c:strRef>
          </c:cat>
          <c:val>
            <c:numRef>
              <c:f>Dashboard!$O$13:$O$192</c:f>
              <c:numCache>
                <c:formatCode>General</c:formatCode>
                <c:ptCount val="179"/>
                <c:pt idx="0">
                  <c:v>7806.6500000000005</c:v>
                </c:pt>
                <c:pt idx="1">
                  <c:v>3907.75</c:v>
                </c:pt>
                <c:pt idx="2">
                  <c:v>7488.5599999999995</c:v>
                </c:pt>
                <c:pt idx="3">
                  <c:v>807</c:v>
                </c:pt>
                <c:pt idx="4">
                  <c:v>2691.2799999999997</c:v>
                </c:pt>
                <c:pt idx="5">
                  <c:v>358.39</c:v>
                </c:pt>
                <c:pt idx="6">
                  <c:v>14072.359999999999</c:v>
                </c:pt>
                <c:pt idx="8">
                  <c:v>8440.86</c:v>
                </c:pt>
                <c:pt idx="9">
                  <c:v>10441.120000000001</c:v>
                </c:pt>
                <c:pt idx="10">
                  <c:v>2972.75</c:v>
                </c:pt>
                <c:pt idx="11">
                  <c:v>5613.62</c:v>
                </c:pt>
                <c:pt idx="12">
                  <c:v>1500.25</c:v>
                </c:pt>
                <c:pt idx="13">
                  <c:v>562.92999999999995</c:v>
                </c:pt>
                <c:pt idx="14">
                  <c:v>3983.17</c:v>
                </c:pt>
                <c:pt idx="15">
                  <c:v>1706.8400000000001</c:v>
                </c:pt>
                <c:pt idx="16">
                  <c:v>2701.07</c:v>
                </c:pt>
                <c:pt idx="17">
                  <c:v>82.8</c:v>
                </c:pt>
                <c:pt idx="18">
                  <c:v>615.54</c:v>
                </c:pt>
                <c:pt idx="19">
                  <c:v>2677.48</c:v>
                </c:pt>
                <c:pt idx="20">
                  <c:v>5164.51</c:v>
                </c:pt>
                <c:pt idx="21">
                  <c:v>2411.5100000000002</c:v>
                </c:pt>
                <c:pt idx="22">
                  <c:v>384.22</c:v>
                </c:pt>
                <c:pt idx="23">
                  <c:v>6527.7099999999991</c:v>
                </c:pt>
                <c:pt idx="24">
                  <c:v>408.66</c:v>
                </c:pt>
                <c:pt idx="25">
                  <c:v>3875.3499999999995</c:v>
                </c:pt>
                <c:pt idx="26">
                  <c:v>2332.92</c:v>
                </c:pt>
                <c:pt idx="27">
                  <c:v>3267.55</c:v>
                </c:pt>
                <c:pt idx="28">
                  <c:v>530.85</c:v>
                </c:pt>
                <c:pt idx="29">
                  <c:v>4482.92</c:v>
                </c:pt>
                <c:pt idx="30">
                  <c:v>10389.39</c:v>
                </c:pt>
                <c:pt idx="31">
                  <c:v>2214.6400000000003</c:v>
                </c:pt>
                <c:pt idx="32">
                  <c:v>11432.43</c:v>
                </c:pt>
                <c:pt idx="33">
                  <c:v>1401.55</c:v>
                </c:pt>
                <c:pt idx="34">
                  <c:v>6141.35</c:v>
                </c:pt>
                <c:pt idx="35">
                  <c:v>6046.21</c:v>
                </c:pt>
                <c:pt idx="36">
                  <c:v>4601.4799999999996</c:v>
                </c:pt>
                <c:pt idx="37">
                  <c:v>1841.06</c:v>
                </c:pt>
                <c:pt idx="38">
                  <c:v>897.54</c:v>
                </c:pt>
                <c:pt idx="39">
                  <c:v>391.4</c:v>
                </c:pt>
                <c:pt idx="40">
                  <c:v>4972.34</c:v>
                </c:pt>
                <c:pt idx="41">
                  <c:v>8006.8200000000006</c:v>
                </c:pt>
                <c:pt idx="42">
                  <c:v>1876.4299999999998</c:v>
                </c:pt>
                <c:pt idx="43">
                  <c:v>904.25</c:v>
                </c:pt>
                <c:pt idx="44">
                  <c:v>8847.2000000000007</c:v>
                </c:pt>
                <c:pt idx="45">
                  <c:v>763.58999999999992</c:v>
                </c:pt>
                <c:pt idx="46">
                  <c:v>12776.49</c:v>
                </c:pt>
                <c:pt idx="48">
                  <c:v>12297.75</c:v>
                </c:pt>
                <c:pt idx="49">
                  <c:v>1946.0300000000002</c:v>
                </c:pt>
                <c:pt idx="51">
                  <c:v>55026.709999999992</c:v>
                </c:pt>
                <c:pt idx="52">
                  <c:v>4809.4299999999994</c:v>
                </c:pt>
                <c:pt idx="53">
                  <c:v>3361.6800000000003</c:v>
                </c:pt>
                <c:pt idx="54">
                  <c:v>882.93</c:v>
                </c:pt>
                <c:pt idx="55">
                  <c:v>8.49</c:v>
                </c:pt>
                <c:pt idx="56">
                  <c:v>3721.2999999999997</c:v>
                </c:pt>
                <c:pt idx="57">
                  <c:v>1347.37</c:v>
                </c:pt>
                <c:pt idx="58">
                  <c:v>1633.17</c:v>
                </c:pt>
                <c:pt idx="59">
                  <c:v>11370.36</c:v>
                </c:pt>
                <c:pt idx="60">
                  <c:v>1118.3899999999999</c:v>
                </c:pt>
                <c:pt idx="62">
                  <c:v>6787.2900000000009</c:v>
                </c:pt>
                <c:pt idx="63">
                  <c:v>3883.55</c:v>
                </c:pt>
                <c:pt idx="65">
                  <c:v>2354.54</c:v>
                </c:pt>
                <c:pt idx="66">
                  <c:v>2752.3999999999996</c:v>
                </c:pt>
                <c:pt idx="67">
                  <c:v>2961.32</c:v>
                </c:pt>
                <c:pt idx="68">
                  <c:v>7126.02</c:v>
                </c:pt>
                <c:pt idx="69">
                  <c:v>626.87</c:v>
                </c:pt>
                <c:pt idx="70">
                  <c:v>5825.74</c:v>
                </c:pt>
                <c:pt idx="71">
                  <c:v>1423.54</c:v>
                </c:pt>
                <c:pt idx="72">
                  <c:v>2444.5700000000002</c:v>
                </c:pt>
                <c:pt idx="73">
                  <c:v>166.7</c:v>
                </c:pt>
                <c:pt idx="74">
                  <c:v>5880.46</c:v>
                </c:pt>
                <c:pt idx="75">
                  <c:v>4694.6000000000004</c:v>
                </c:pt>
                <c:pt idx="76">
                  <c:v>93.81</c:v>
                </c:pt>
                <c:pt idx="77">
                  <c:v>4508.12</c:v>
                </c:pt>
                <c:pt idx="78">
                  <c:v>6290.7</c:v>
                </c:pt>
                <c:pt idx="79">
                  <c:v>21199.43</c:v>
                </c:pt>
                <c:pt idx="80">
                  <c:v>3420.69</c:v>
                </c:pt>
                <c:pt idx="81">
                  <c:v>326.02999999999997</c:v>
                </c:pt>
                <c:pt idx="82">
                  <c:v>70.06</c:v>
                </c:pt>
                <c:pt idx="83">
                  <c:v>2652.88</c:v>
                </c:pt>
                <c:pt idx="84">
                  <c:v>818.49</c:v>
                </c:pt>
                <c:pt idx="85">
                  <c:v>10566.84</c:v>
                </c:pt>
                <c:pt idx="86">
                  <c:v>2054.59</c:v>
                </c:pt>
                <c:pt idx="87">
                  <c:v>965.41</c:v>
                </c:pt>
                <c:pt idx="88">
                  <c:v>2757.6200000000003</c:v>
                </c:pt>
                <c:pt idx="89">
                  <c:v>93.06</c:v>
                </c:pt>
                <c:pt idx="90">
                  <c:v>542.59</c:v>
                </c:pt>
                <c:pt idx="91">
                  <c:v>4698.21</c:v>
                </c:pt>
                <c:pt idx="92">
                  <c:v>5209.4399999999996</c:v>
                </c:pt>
                <c:pt idx="93">
                  <c:v>4942.1399999999994</c:v>
                </c:pt>
                <c:pt idx="94">
                  <c:v>1634.8200000000002</c:v>
                </c:pt>
                <c:pt idx="95">
                  <c:v>7563.6900000000005</c:v>
                </c:pt>
                <c:pt idx="96">
                  <c:v>494.49</c:v>
                </c:pt>
                <c:pt idx="97">
                  <c:v>10235.73</c:v>
                </c:pt>
                <c:pt idx="98">
                  <c:v>1272.8800000000001</c:v>
                </c:pt>
                <c:pt idx="100">
                  <c:v>243.86</c:v>
                </c:pt>
                <c:pt idx="101">
                  <c:v>3185.5099999999998</c:v>
                </c:pt>
                <c:pt idx="102">
                  <c:v>243.32</c:v>
                </c:pt>
                <c:pt idx="103">
                  <c:v>2591.38</c:v>
                </c:pt>
                <c:pt idx="104">
                  <c:v>5856.7100000000009</c:v>
                </c:pt>
                <c:pt idx="105">
                  <c:v>7232.16</c:v>
                </c:pt>
                <c:pt idx="106">
                  <c:v>2423.4699999999998</c:v>
                </c:pt>
                <c:pt idx="107">
                  <c:v>5266.73</c:v>
                </c:pt>
                <c:pt idx="108">
                  <c:v>2610.88</c:v>
                </c:pt>
                <c:pt idx="109">
                  <c:v>461.24</c:v>
                </c:pt>
                <c:pt idx="110">
                  <c:v>821.17</c:v>
                </c:pt>
                <c:pt idx="111">
                  <c:v>5976.09</c:v>
                </c:pt>
                <c:pt idx="112">
                  <c:v>367.52</c:v>
                </c:pt>
                <c:pt idx="115">
                  <c:v>4210.58</c:v>
                </c:pt>
                <c:pt idx="116">
                  <c:v>4071.54</c:v>
                </c:pt>
                <c:pt idx="117">
                  <c:v>839.51</c:v>
                </c:pt>
                <c:pt idx="118">
                  <c:v>7697.84</c:v>
                </c:pt>
                <c:pt idx="120">
                  <c:v>758.97</c:v>
                </c:pt>
                <c:pt idx="121">
                  <c:v>8692.14</c:v>
                </c:pt>
                <c:pt idx="122">
                  <c:v>1852.01</c:v>
                </c:pt>
                <c:pt idx="123">
                  <c:v>274.07</c:v>
                </c:pt>
                <c:pt idx="124">
                  <c:v>42.99</c:v>
                </c:pt>
                <c:pt idx="125">
                  <c:v>3382.61</c:v>
                </c:pt>
                <c:pt idx="126">
                  <c:v>1961.73</c:v>
                </c:pt>
                <c:pt idx="127">
                  <c:v>511.74</c:v>
                </c:pt>
                <c:pt idx="128">
                  <c:v>1586.54</c:v>
                </c:pt>
                <c:pt idx="130">
                  <c:v>69.75</c:v>
                </c:pt>
                <c:pt idx="131">
                  <c:v>887.29</c:v>
                </c:pt>
                <c:pt idx="132">
                  <c:v>6667.0199999999995</c:v>
                </c:pt>
                <c:pt idx="133">
                  <c:v>1646.3000000000002</c:v>
                </c:pt>
                <c:pt idx="134">
                  <c:v>5103.2700000000004</c:v>
                </c:pt>
                <c:pt idx="135">
                  <c:v>344.57</c:v>
                </c:pt>
                <c:pt idx="136">
                  <c:v>1661.29</c:v>
                </c:pt>
                <c:pt idx="138">
                  <c:v>10633.48</c:v>
                </c:pt>
                <c:pt idx="139">
                  <c:v>2958.44</c:v>
                </c:pt>
                <c:pt idx="140">
                  <c:v>10099.59</c:v>
                </c:pt>
                <c:pt idx="141">
                  <c:v>9886.2099999999991</c:v>
                </c:pt>
                <c:pt idx="142">
                  <c:v>1567.65</c:v>
                </c:pt>
                <c:pt idx="143">
                  <c:v>10030.459999999999</c:v>
                </c:pt>
                <c:pt idx="144">
                  <c:v>873.18</c:v>
                </c:pt>
                <c:pt idx="145">
                  <c:v>318.21999999999997</c:v>
                </c:pt>
                <c:pt idx="146">
                  <c:v>1543.55</c:v>
                </c:pt>
                <c:pt idx="147">
                  <c:v>528.9</c:v>
                </c:pt>
                <c:pt idx="149">
                  <c:v>614.58999999999992</c:v>
                </c:pt>
                <c:pt idx="150">
                  <c:v>1076.3</c:v>
                </c:pt>
                <c:pt idx="151">
                  <c:v>981.65</c:v>
                </c:pt>
                <c:pt idx="152">
                  <c:v>2622.07</c:v>
                </c:pt>
                <c:pt idx="153">
                  <c:v>17483.060000000001</c:v>
                </c:pt>
                <c:pt idx="154">
                  <c:v>10584.249999999998</c:v>
                </c:pt>
                <c:pt idx="155">
                  <c:v>2596.5699999999997</c:v>
                </c:pt>
                <c:pt idx="156">
                  <c:v>1277.49</c:v>
                </c:pt>
                <c:pt idx="157">
                  <c:v>758.83</c:v>
                </c:pt>
                <c:pt idx="158">
                  <c:v>24.44</c:v>
                </c:pt>
                <c:pt idx="159">
                  <c:v>4318.42</c:v>
                </c:pt>
                <c:pt idx="160">
                  <c:v>9024.74</c:v>
                </c:pt>
                <c:pt idx="161">
                  <c:v>2129.9699999999998</c:v>
                </c:pt>
                <c:pt idx="163">
                  <c:v>397.17</c:v>
                </c:pt>
                <c:pt idx="164">
                  <c:v>1004.02</c:v>
                </c:pt>
                <c:pt idx="166">
                  <c:v>1041.49</c:v>
                </c:pt>
                <c:pt idx="167">
                  <c:v>1488.33</c:v>
                </c:pt>
                <c:pt idx="168">
                  <c:v>44602.400000000001</c:v>
                </c:pt>
                <c:pt idx="169">
                  <c:v>290.98</c:v>
                </c:pt>
                <c:pt idx="170">
                  <c:v>3603.39</c:v>
                </c:pt>
                <c:pt idx="171">
                  <c:v>11824.26</c:v>
                </c:pt>
                <c:pt idx="172">
                  <c:v>100.11</c:v>
                </c:pt>
                <c:pt idx="173">
                  <c:v>1838.85</c:v>
                </c:pt>
                <c:pt idx="174">
                  <c:v>650.25</c:v>
                </c:pt>
                <c:pt idx="175">
                  <c:v>166.59</c:v>
                </c:pt>
                <c:pt idx="176">
                  <c:v>5015.46</c:v>
                </c:pt>
                <c:pt idx="177">
                  <c:v>3302.87</c:v>
                </c:pt>
                <c:pt idx="178">
                  <c:v>17281.2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929568"/>
        <c:axId val="245924080"/>
      </c:lineChart>
      <c:catAx>
        <c:axId val="24592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24080"/>
        <c:crosses val="autoZero"/>
        <c:auto val="1"/>
        <c:lblAlgn val="ctr"/>
        <c:lblOffset val="100"/>
        <c:noMultiLvlLbl val="0"/>
      </c:catAx>
      <c:valAx>
        <c:axId val="2459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[SuperStoreUS-2015(Orders).xlsx]Dashboard!PivotTable3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Dashboard!$S$8:$S$10</c:f>
              <c:strCache>
                <c:ptCount val="1"/>
                <c:pt idx="0">
                  <c:v>Furniture - Bookcases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Dashboard!$S$11:$S$15</c:f>
              <c:numCache>
                <c:formatCode>General</c:formatCode>
                <c:ptCount val="4"/>
                <c:pt idx="0">
                  <c:v>35972.909999999996</c:v>
                </c:pt>
                <c:pt idx="1">
                  <c:v>31224.720000000001</c:v>
                </c:pt>
                <c:pt idx="2">
                  <c:v>13093.150000000001</c:v>
                </c:pt>
                <c:pt idx="3">
                  <c:v>27505.31</c:v>
                </c:pt>
              </c:numCache>
            </c:numRef>
          </c:val>
        </c:ser>
        <c:ser>
          <c:idx val="1"/>
          <c:order val="1"/>
          <c:tx>
            <c:strRef>
              <c:f>Dashboard!$T$8:$T$10</c:f>
              <c:strCache>
                <c:ptCount val="1"/>
                <c:pt idx="0">
                  <c:v>Furniture - Chairs &amp; Chairmats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Dashboard!$T$11:$T$15</c:f>
              <c:numCache>
                <c:formatCode>General</c:formatCode>
                <c:ptCount val="4"/>
                <c:pt idx="0">
                  <c:v>62480.869999999995</c:v>
                </c:pt>
                <c:pt idx="1">
                  <c:v>103124.49</c:v>
                </c:pt>
                <c:pt idx="2">
                  <c:v>39970.610000000008</c:v>
                </c:pt>
                <c:pt idx="3">
                  <c:v>55496.759999999995</c:v>
                </c:pt>
              </c:numCache>
            </c:numRef>
          </c:val>
        </c:ser>
        <c:ser>
          <c:idx val="2"/>
          <c:order val="2"/>
          <c:tx>
            <c:strRef>
              <c:f>Dashboard!$U$8:$U$10</c:f>
              <c:strCache>
                <c:ptCount val="1"/>
                <c:pt idx="0">
                  <c:v>Furniture - Office Furnishings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Dashboard!$U$11:$U$15</c:f>
              <c:numCache>
                <c:formatCode>General</c:formatCode>
                <c:ptCount val="4"/>
                <c:pt idx="0">
                  <c:v>20111.059999999998</c:v>
                </c:pt>
                <c:pt idx="1">
                  <c:v>25846.09</c:v>
                </c:pt>
                <c:pt idx="2">
                  <c:v>18583.899999999998</c:v>
                </c:pt>
                <c:pt idx="3">
                  <c:v>33529.86</c:v>
                </c:pt>
              </c:numCache>
            </c:numRef>
          </c:val>
        </c:ser>
        <c:ser>
          <c:idx val="3"/>
          <c:order val="3"/>
          <c:tx>
            <c:strRef>
              <c:f>Dashboard!$V$8:$V$10</c:f>
              <c:strCache>
                <c:ptCount val="1"/>
                <c:pt idx="0">
                  <c:v>Furniture - Tables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Dashboard!$V$11:$V$15</c:f>
              <c:numCache>
                <c:formatCode>General</c:formatCode>
                <c:ptCount val="4"/>
                <c:pt idx="0">
                  <c:v>36729.380000000005</c:v>
                </c:pt>
                <c:pt idx="1">
                  <c:v>36136.469999999994</c:v>
                </c:pt>
                <c:pt idx="2">
                  <c:v>41419.509999999995</c:v>
                </c:pt>
                <c:pt idx="3">
                  <c:v>79479.22</c:v>
                </c:pt>
              </c:numCache>
            </c:numRef>
          </c:val>
        </c:ser>
        <c:ser>
          <c:idx val="4"/>
          <c:order val="4"/>
          <c:tx>
            <c:strRef>
              <c:f>Dashboard!$X$8:$X$10</c:f>
              <c:strCache>
                <c:ptCount val="1"/>
                <c:pt idx="0">
                  <c:v>Office Supplies - Appliances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Dashboard!$X$11:$X$15</c:f>
              <c:numCache>
                <c:formatCode>General</c:formatCode>
                <c:ptCount val="4"/>
                <c:pt idx="0">
                  <c:v>22109.390000000007</c:v>
                </c:pt>
                <c:pt idx="1">
                  <c:v>38173.03</c:v>
                </c:pt>
                <c:pt idx="2">
                  <c:v>18375.390000000003</c:v>
                </c:pt>
                <c:pt idx="3">
                  <c:v>3543.34</c:v>
                </c:pt>
              </c:numCache>
            </c:numRef>
          </c:val>
        </c:ser>
        <c:ser>
          <c:idx val="5"/>
          <c:order val="5"/>
          <c:tx>
            <c:strRef>
              <c:f>Dashboard!$Y$8:$Y$10</c:f>
              <c:strCache>
                <c:ptCount val="1"/>
                <c:pt idx="0">
                  <c:v>Office Supplies - Binders and Binder Accessories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Dashboard!$Y$11:$Y$15</c:f>
              <c:numCache>
                <c:formatCode>General</c:formatCode>
                <c:ptCount val="4"/>
                <c:pt idx="0">
                  <c:v>27021.32</c:v>
                </c:pt>
                <c:pt idx="1">
                  <c:v>96620.900000000009</c:v>
                </c:pt>
                <c:pt idx="2">
                  <c:v>43702.17</c:v>
                </c:pt>
                <c:pt idx="3">
                  <c:v>18583.749999999996</c:v>
                </c:pt>
              </c:numCache>
            </c:numRef>
          </c:val>
        </c:ser>
        <c:ser>
          <c:idx val="6"/>
          <c:order val="6"/>
          <c:tx>
            <c:strRef>
              <c:f>Dashboard!$Z$8:$Z$10</c:f>
              <c:strCache>
                <c:ptCount val="1"/>
                <c:pt idx="0">
                  <c:v>Office Supplies - Envelopes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Dashboard!$Z$11:$Z$15</c:f>
              <c:numCache>
                <c:formatCode>General</c:formatCode>
                <c:ptCount val="4"/>
                <c:pt idx="0">
                  <c:v>3038.6000000000004</c:v>
                </c:pt>
                <c:pt idx="1">
                  <c:v>3673.9399999999996</c:v>
                </c:pt>
                <c:pt idx="2">
                  <c:v>2903.26</c:v>
                </c:pt>
                <c:pt idx="3">
                  <c:v>863.97</c:v>
                </c:pt>
              </c:numCache>
            </c:numRef>
          </c:val>
        </c:ser>
        <c:ser>
          <c:idx val="7"/>
          <c:order val="7"/>
          <c:tx>
            <c:strRef>
              <c:f>Dashboard!$AA$8:$AA$10</c:f>
              <c:strCache>
                <c:ptCount val="1"/>
                <c:pt idx="0">
                  <c:v>Office Supplies - Labels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Dashboard!$AA$11:$AA$15</c:f>
              <c:numCache>
                <c:formatCode>General</c:formatCode>
                <c:ptCount val="4"/>
                <c:pt idx="0">
                  <c:v>1539.2300000000002</c:v>
                </c:pt>
                <c:pt idx="1">
                  <c:v>1175.8800000000001</c:v>
                </c:pt>
                <c:pt idx="2">
                  <c:v>1309.1600000000001</c:v>
                </c:pt>
                <c:pt idx="3">
                  <c:v>890.55000000000007</c:v>
                </c:pt>
              </c:numCache>
            </c:numRef>
          </c:val>
        </c:ser>
        <c:ser>
          <c:idx val="8"/>
          <c:order val="8"/>
          <c:tx>
            <c:strRef>
              <c:f>Dashboard!$AB$8:$AB$10</c:f>
              <c:strCache>
                <c:ptCount val="1"/>
                <c:pt idx="0">
                  <c:v>Office Supplies - Paper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Dashboard!$AB$11:$AB$15</c:f>
              <c:numCache>
                <c:formatCode>General</c:formatCode>
                <c:ptCount val="4"/>
                <c:pt idx="0">
                  <c:v>14866.09</c:v>
                </c:pt>
                <c:pt idx="1">
                  <c:v>18985.720000000005</c:v>
                </c:pt>
                <c:pt idx="2">
                  <c:v>11666.739999999998</c:v>
                </c:pt>
                <c:pt idx="3">
                  <c:v>10295.369999999999</c:v>
                </c:pt>
              </c:numCache>
            </c:numRef>
          </c:val>
        </c:ser>
        <c:ser>
          <c:idx val="9"/>
          <c:order val="9"/>
          <c:tx>
            <c:strRef>
              <c:f>Dashboard!$AC$8:$AC$10</c:f>
              <c:strCache>
                <c:ptCount val="1"/>
                <c:pt idx="0">
                  <c:v>Office Supplies - Pens &amp; Art Supplies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Dashboard!$AC$11:$AC$15</c:f>
              <c:numCache>
                <c:formatCode>General</c:formatCode>
                <c:ptCount val="4"/>
                <c:pt idx="0">
                  <c:v>3195.9899999999993</c:v>
                </c:pt>
                <c:pt idx="1">
                  <c:v>8616.8400000000038</c:v>
                </c:pt>
                <c:pt idx="2">
                  <c:v>6536.1499999999987</c:v>
                </c:pt>
                <c:pt idx="3">
                  <c:v>7722.6300000000019</c:v>
                </c:pt>
              </c:numCache>
            </c:numRef>
          </c:val>
        </c:ser>
        <c:ser>
          <c:idx val="10"/>
          <c:order val="10"/>
          <c:tx>
            <c:strRef>
              <c:f>Dashboard!$AD$8:$AD$10</c:f>
              <c:strCache>
                <c:ptCount val="1"/>
                <c:pt idx="0">
                  <c:v>Office Supplies - Rubber Bands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Dashboard!$AD$11:$AD$15</c:f>
              <c:numCache>
                <c:formatCode>General</c:formatCode>
                <c:ptCount val="4"/>
                <c:pt idx="0">
                  <c:v>498.58</c:v>
                </c:pt>
                <c:pt idx="1">
                  <c:v>510.49000000000007</c:v>
                </c:pt>
                <c:pt idx="2">
                  <c:v>306.57</c:v>
                </c:pt>
                <c:pt idx="3">
                  <c:v>473.78999999999996</c:v>
                </c:pt>
              </c:numCache>
            </c:numRef>
          </c:val>
        </c:ser>
        <c:ser>
          <c:idx val="11"/>
          <c:order val="11"/>
          <c:tx>
            <c:strRef>
              <c:f>Dashboard!$AE$8:$AE$10</c:f>
              <c:strCache>
                <c:ptCount val="1"/>
                <c:pt idx="0">
                  <c:v>Office Supplies - Scissors, Rulers and Trimmers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Dashboard!$AE$11:$AE$15</c:f>
              <c:numCache>
                <c:formatCode>General</c:formatCode>
                <c:ptCount val="4"/>
                <c:pt idx="0">
                  <c:v>5034.3000000000011</c:v>
                </c:pt>
                <c:pt idx="1">
                  <c:v>621.95999999999992</c:v>
                </c:pt>
                <c:pt idx="2">
                  <c:v>665.33999999999992</c:v>
                </c:pt>
                <c:pt idx="3">
                  <c:v>430.58000000000004</c:v>
                </c:pt>
              </c:numCache>
            </c:numRef>
          </c:val>
        </c:ser>
        <c:ser>
          <c:idx val="12"/>
          <c:order val="12"/>
          <c:tx>
            <c:strRef>
              <c:f>Dashboard!$AF$8:$AF$10</c:f>
              <c:strCache>
                <c:ptCount val="1"/>
                <c:pt idx="0">
                  <c:v>Office Supplies - Storage &amp; Organization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Dashboard!$AF$11:$AF$15</c:f>
              <c:numCache>
                <c:formatCode>General</c:formatCode>
                <c:ptCount val="4"/>
                <c:pt idx="0">
                  <c:v>37816.469999999994</c:v>
                </c:pt>
                <c:pt idx="1">
                  <c:v>43405.650000000009</c:v>
                </c:pt>
                <c:pt idx="2">
                  <c:v>27101.56</c:v>
                </c:pt>
                <c:pt idx="3">
                  <c:v>69093.919999999998</c:v>
                </c:pt>
              </c:numCache>
            </c:numRef>
          </c:val>
        </c:ser>
        <c:ser>
          <c:idx val="13"/>
          <c:order val="13"/>
          <c:tx>
            <c:strRef>
              <c:f>Dashboard!$AH$8:$AH$10</c:f>
              <c:strCache>
                <c:ptCount val="1"/>
                <c:pt idx="0">
                  <c:v>Technology - Computer Peripherals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Dashboard!$AH$11:$AH$15</c:f>
              <c:numCache>
                <c:formatCode>General</c:formatCode>
                <c:ptCount val="4"/>
                <c:pt idx="0">
                  <c:v>17039.97</c:v>
                </c:pt>
                <c:pt idx="1">
                  <c:v>35562.94</c:v>
                </c:pt>
                <c:pt idx="2">
                  <c:v>28010.850000000002</c:v>
                </c:pt>
                <c:pt idx="3">
                  <c:v>15647.539999999997</c:v>
                </c:pt>
              </c:numCache>
            </c:numRef>
          </c:val>
        </c:ser>
        <c:ser>
          <c:idx val="14"/>
          <c:order val="14"/>
          <c:tx>
            <c:strRef>
              <c:f>Dashboard!$AI$8:$AI$10</c:f>
              <c:strCache>
                <c:ptCount val="1"/>
                <c:pt idx="0">
                  <c:v>Technology - Copiers and Fax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Dashboard!$AI$11:$AI$15</c:f>
              <c:numCache>
                <c:formatCode>General</c:formatCode>
                <c:ptCount val="4"/>
                <c:pt idx="0">
                  <c:v>31070.37</c:v>
                </c:pt>
                <c:pt idx="1">
                  <c:v>38920.01</c:v>
                </c:pt>
                <c:pt idx="2">
                  <c:v>9905.9699999999993</c:v>
                </c:pt>
                <c:pt idx="3">
                  <c:v>19173.13</c:v>
                </c:pt>
              </c:numCache>
            </c:numRef>
          </c:val>
        </c:ser>
        <c:ser>
          <c:idx val="15"/>
          <c:order val="15"/>
          <c:tx>
            <c:strRef>
              <c:f>Dashboard!$AJ$8:$AJ$10</c:f>
              <c:strCache>
                <c:ptCount val="1"/>
                <c:pt idx="0">
                  <c:v>Technology - Office Machines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Dashboard!$AJ$11:$AJ$15</c:f>
              <c:numCache>
                <c:formatCode>General</c:formatCode>
                <c:ptCount val="4"/>
                <c:pt idx="0">
                  <c:v>72485.45</c:v>
                </c:pt>
                <c:pt idx="1">
                  <c:v>69840</c:v>
                </c:pt>
                <c:pt idx="2">
                  <c:v>48510.400000000009</c:v>
                </c:pt>
                <c:pt idx="3">
                  <c:v>127333.83</c:v>
                </c:pt>
              </c:numCache>
            </c:numRef>
          </c:val>
        </c:ser>
        <c:ser>
          <c:idx val="16"/>
          <c:order val="16"/>
          <c:tx>
            <c:strRef>
              <c:f>Dashboard!$AK$8:$AK$10</c:f>
              <c:strCache>
                <c:ptCount val="1"/>
                <c:pt idx="0">
                  <c:v>Technology - Telephones and Communication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Dashboard!$R$11:$R$15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Dashboard!$AK$11:$AK$15</c:f>
              <c:numCache>
                <c:formatCode>General</c:formatCode>
                <c:ptCount val="4"/>
                <c:pt idx="0">
                  <c:v>57274.720000000001</c:v>
                </c:pt>
                <c:pt idx="1">
                  <c:v>39732.359999999986</c:v>
                </c:pt>
                <c:pt idx="2">
                  <c:v>45044.39</c:v>
                </c:pt>
                <c:pt idx="3">
                  <c:v>56713.02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71120"/>
        <c:axId val="333269552"/>
      </c:barChart>
      <c:catAx>
        <c:axId val="33327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69552"/>
        <c:crosses val="autoZero"/>
        <c:auto val="1"/>
        <c:lblAlgn val="ctr"/>
        <c:lblOffset val="100"/>
        <c:noMultiLvlLbl val="0"/>
      </c:catAx>
      <c:valAx>
        <c:axId val="33326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7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119061</xdr:rowOff>
    </xdr:from>
    <xdr:to>
      <xdr:col>10</xdr:col>
      <xdr:colOff>28575</xdr:colOff>
      <xdr:row>25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27</xdr:row>
      <xdr:rowOff>166687</xdr:rowOff>
    </xdr:from>
    <xdr:to>
      <xdr:col>10</xdr:col>
      <xdr:colOff>23812</xdr:colOff>
      <xdr:row>53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619126</xdr:colOff>
      <xdr:row>60</xdr:row>
      <xdr:rowOff>147637</xdr:rowOff>
    </xdr:from>
    <xdr:to>
      <xdr:col>10</xdr:col>
      <xdr:colOff>190501</xdr:colOff>
      <xdr:row>89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123825</xdr:rowOff>
    </xdr:from>
    <xdr:to>
      <xdr:col>11</xdr:col>
      <xdr:colOff>66675</xdr:colOff>
      <xdr:row>13</xdr:row>
      <xdr:rowOff>123825</xdr:rowOff>
    </xdr:to>
    <xdr:sp macro="" textlink="">
      <xdr:nvSpPr>
        <xdr:cNvPr id="2" name="TextBox 1"/>
        <xdr:cNvSpPr txBox="1"/>
      </xdr:nvSpPr>
      <xdr:spPr>
        <a:xfrm>
          <a:off x="219075" y="123825"/>
          <a:ext cx="6553200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ID - A unique identifier for each order.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ID - A unique identifier for each customer.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Date - The date of the order placement.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Ship Date - The date the order was shipped.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Ship Mode - The shipping mode for the order (e.g. standard, same-day).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Segment - The customer segment (e.g. Consumer, Corporate, Home Office).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 - The region where the customer is located (e.g. West, Central, East).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Category - The category of the product purchased (e.g. Furniture, Technology, Office Supplies).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Sub-Category - The sub-category of the product purchased (e.g. Chairs, Desktops, Paper).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Name - The name of the product purchased.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- The sales revenue for the product purchased.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Quantity - The number of units of the product purchased.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 - The discount applied to the product purchased.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 -The profit generated by the product purchased.</a:t>
          </a:r>
        </a:p>
        <a:p>
          <a:r>
            <a:rPr lang="en-US"/>
            <a:t/>
          </a:r>
          <a:br>
            <a:rPr lang="en-US"/>
          </a:br>
          <a:endParaRPr lang="en-US" sz="1100"/>
        </a:p>
      </xdr:txBody>
    </xdr:sp>
    <xdr:clientData/>
  </xdr:twoCellAnchor>
  <xdr:twoCellAnchor>
    <xdr:from>
      <xdr:col>11</xdr:col>
      <xdr:colOff>180975</xdr:colOff>
      <xdr:row>0</xdr:row>
      <xdr:rowOff>180975</xdr:rowOff>
    </xdr:from>
    <xdr:to>
      <xdr:col>20</xdr:col>
      <xdr:colOff>161925</xdr:colOff>
      <xdr:row>7</xdr:row>
      <xdr:rowOff>85725</xdr:rowOff>
    </xdr:to>
    <xdr:sp macro="" textlink="">
      <xdr:nvSpPr>
        <xdr:cNvPr id="3" name="TextBox 2"/>
        <xdr:cNvSpPr txBox="1"/>
      </xdr:nvSpPr>
      <xdr:spPr>
        <a:xfrm>
          <a:off x="6886575" y="180975"/>
          <a:ext cx="5467350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total revenue generated by the store?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category of products contributes the most to sales?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has the sales trend been for the past year?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region has the highest sales and which one has the lowest?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profit margin of the store?</a:t>
          </a: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tik chandra pathak" refreshedDate="46027.680712847221" createdVersion="5" refreshedVersion="5" minRefreshableVersion="3" recordCount="1952">
  <cacheSource type="worksheet">
    <worksheetSource ref="D1:Z1953" sheet="SuperStoreUS-2015(Orders)"/>
  </cacheSource>
  <cacheFields count="23">
    <cacheField name="Unit Price" numFmtId="164">
      <sharedItems containsSemiMixedTypes="0" containsString="0" containsNumber="1" minValue="1.1399999999999999" maxValue="6783.02"/>
    </cacheField>
    <cacheField name="Shipping Cost" numFmtId="164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Pens &amp; Art Supplies"/>
        <s v="Chairs &amp; Chairmats"/>
        <s v="Office Furnishings"/>
        <s v="Rubber Bands"/>
        <s v="Envelopes"/>
        <s v="Telephones and Communication"/>
        <s v="Office Machines"/>
        <s v="Paper"/>
        <s v="Binders and Binder Accessories"/>
        <s v="Labels"/>
        <s v="Storage &amp; Organization"/>
        <s v="Tables"/>
        <s v="Scissors, Rulers and Trimmers"/>
        <s v="Computer Peripherals"/>
        <s v="Bookcases"/>
        <s v="Appliances"/>
        <s v="Copiers and Fax"/>
      </sharedItems>
    </cacheField>
    <cacheField name="Product Container" numFmtId="0">
      <sharedItems/>
    </cacheField>
    <cacheField name="Product Name" numFmtId="0">
      <sharedItems containsMixedTypes="1" containsNumber="1" containsInteger="1" minValue="232" maxValue="8890"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164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164">
      <sharedItems containsSemiMixedTypes="0" containsString="0" containsNumber="1" minValue="2.25" maxValue="45737.33" count="1922">
        <n v="13.01"/>
        <n v="6362.85"/>
        <n v="211.15"/>
        <n v="1164.45"/>
        <n v="22.23"/>
        <n v="13.99"/>
        <n v="14.26"/>
        <n v="33.47"/>
        <n v="379.53"/>
        <n v="18.8"/>
        <n v="945.99"/>
        <n v="455.77"/>
        <n v="231.79"/>
        <n v="1876.69"/>
        <n v="293.06"/>
        <n v="914.29"/>
        <n v="67.489999999999995"/>
        <n v="2.25"/>
        <n v="54.78"/>
        <n v="424.68"/>
        <n v="40.17"/>
        <n v="783.55"/>
        <n v="3838.14"/>
        <n v="58.68"/>
        <n v="53.1"/>
        <n v="647.07000000000005"/>
        <n v="627.04"/>
        <n v="3267.55"/>
        <n v="110.19"/>
        <n v="73.55"/>
        <n v="29.57"/>
        <n v="22.85"/>
        <n v="506.39"/>
        <n v="4"/>
        <n v="589.79999999999995"/>
        <n v="1225.5999999999999"/>
        <n v="1239.06"/>
        <n v="4083.19"/>
        <n v="4902.38"/>
        <n v="5718.85"/>
        <n v="1400.53"/>
        <n v="1821.89"/>
        <n v="90.98"/>
        <n v="10728"/>
        <n v="3127.69"/>
        <n v="41.82"/>
        <n v="2875.72"/>
        <n v="170.8"/>
        <n v="53.54"/>
        <n v="3363.53"/>
        <n v="132.08000000000001"/>
        <n v="45.34"/>
        <n v="216.04"/>
        <n v="6276.34"/>
        <n v="2664.4"/>
        <n v="1526.68"/>
        <n v="1952.56"/>
        <n v="303.58999999999997"/>
        <n v="9459.94"/>
        <n v="1233.32"/>
        <n v="47.31"/>
        <n v="2441.27"/>
        <n v="11.13"/>
        <n v="29.5"/>
        <n v="58.33"/>
        <n v="20.420000000000002"/>
        <n v="26.07"/>
        <n v="122.23"/>
        <n v="228.46"/>
        <n v="77.61"/>
        <n v="99.94"/>
        <n v="59.85"/>
        <n v="1708.73"/>
        <n v="94.97"/>
        <n v="10.23"/>
        <n v="217.23"/>
        <n v="101.74"/>
        <n v="84.52"/>
        <n v="312.58999999999997"/>
        <n v="64.400000000000006"/>
        <n v="14.65"/>
        <n v="453.62"/>
        <n v="193.59"/>
        <n v="929.57"/>
        <n v="62.46"/>
        <n v="28.11"/>
        <n v="5.5"/>
        <n v="667.84"/>
        <n v="292.23"/>
        <n v="772.56"/>
        <n v="1050.08"/>
        <n v="33.82"/>
        <n v="715.55"/>
        <n v="45.63"/>
        <n v="1839.91"/>
        <n v="130.62"/>
        <n v="6945.16"/>
        <n v="30.94"/>
        <n v="3.42"/>
        <n v="901.81"/>
        <n v="186.59"/>
        <n v="250.5"/>
        <n v="221.24"/>
        <n v="46.65"/>
        <n v="164.71"/>
        <n v="79.680000000000007"/>
        <n v="53.26"/>
        <n v="203.49"/>
        <n v="2356.0100000000002"/>
        <n v="224.12"/>
        <n v="140.30000000000001"/>
        <n v="28.2"/>
        <n v="71.55"/>
        <n v="3108.98"/>
        <n v="12599.55"/>
        <n v="34.65"/>
        <n v="85.79"/>
        <n v="17.61"/>
        <n v="27.3"/>
        <n v="64.75"/>
        <n v="62.98"/>
        <n v="21.2"/>
        <n v="173.32"/>
        <n v="42.29"/>
        <n v="730.37"/>
        <n v="450.49"/>
        <n v="58.8"/>
        <n v="120.47"/>
        <n v="1599.96"/>
        <n v="197.59"/>
        <n v="33.04"/>
        <n v="27.45"/>
        <n v="4775.1099999999997"/>
        <n v="57.41"/>
        <n v="2809.87"/>
        <n v="79.930000000000007"/>
        <n v="873.18"/>
        <n v="798.69"/>
        <n v="792.11"/>
        <n v="28.73"/>
        <n v="109.74"/>
        <n v="1543.55"/>
        <n v="1332.82"/>
        <n v="34.64"/>
        <n v="52.47"/>
        <n v="26.38"/>
        <n v="304.33999999999997"/>
        <n v="1300.81"/>
        <n v="67.86"/>
        <n v="747.28"/>
        <n v="18.670000000000002"/>
        <n v="210.77"/>
        <n v="209.12"/>
        <n v="1287.17"/>
        <n v="46.17"/>
        <n v="899.81"/>
        <n v="68.459999999999994"/>
        <n v="885.23"/>
        <n v="836.47"/>
        <n v="189.83"/>
        <n v="61.52"/>
        <n v="8.3000000000000007"/>
        <n v="416.95"/>
        <n v="18.71"/>
        <n v="40.950000000000003"/>
        <n v="1155.73"/>
        <n v="192.3"/>
        <n v="748.1"/>
        <n v="102.54"/>
        <n v="70.16"/>
        <n v="1240.57"/>
        <n v="280.62"/>
        <n v="3206.94"/>
        <n v="43.08"/>
        <n v="66.55"/>
        <n v="103.49"/>
        <n v="192.18"/>
        <n v="89.76"/>
        <n v="28.46"/>
        <n v="1170.21"/>
        <n v="243.32"/>
        <n v="3825.32"/>
        <n v="8.5299999999999994"/>
        <n v="40.299999999999997"/>
        <n v="111.88"/>
        <n v="73.97"/>
        <n v="111.86"/>
        <n v="18.489999999999998"/>
        <n v="212.89"/>
        <n v="5555.6"/>
        <n v="55.54"/>
        <n v="1440.34"/>
        <n v="84.76"/>
        <n v="104.84"/>
        <n v="1714.93"/>
        <n v="107.95"/>
        <n v="1967.98"/>
        <n v="394.1"/>
        <n v="266.39"/>
        <n v="51.82"/>
        <n v="9539.6"/>
        <n v="109.86"/>
        <n v="1426.51"/>
        <n v="2331.9"/>
        <n v="27.47"/>
        <n v="460.87"/>
        <n v="394.51"/>
        <n v="38.65"/>
        <n v="279.83"/>
        <n v="126.9"/>
        <n v="22.82"/>
        <n v="188.66"/>
        <n v="1845.23"/>
        <n v="37.159999999999997"/>
        <n v="43.65"/>
        <n v="31.44"/>
        <n v="64.59"/>
        <n v="461.94"/>
        <n v="1216.32"/>
        <n v="1989.32"/>
        <n v="72.760000000000005"/>
        <n v="400.47"/>
        <n v="1531.31"/>
        <n v="919.09"/>
        <n v="236.46"/>
        <n v="73.819999999999993"/>
        <n v="243.11"/>
        <n v="952.26"/>
        <n v="355.92"/>
        <n v="101.71"/>
        <n v="1766.68"/>
        <n v="29.02"/>
        <n v="159.51"/>
        <n v="1838.85"/>
        <n v="35.479999999999997"/>
        <n v="434.31"/>
        <n v="19.86"/>
        <n v="23.26"/>
        <n v="51.83"/>
        <n v="32.4"/>
        <n v="492.9"/>
        <n v="1081.54"/>
        <n v="1132.8399999999999"/>
        <n v="143.63"/>
        <n v="73.040000000000006"/>
        <n v="33.35"/>
        <n v="60.24"/>
        <n v="718.03"/>
        <n v="179.51"/>
        <n v="73.180000000000007"/>
        <n v="8.82"/>
        <n v="5976.09"/>
        <n v="8.77"/>
        <n v="20.87"/>
        <n v="25.7"/>
        <n v="229.57"/>
        <n v="66.7"/>
        <n v="217"/>
        <n v="31670.6"/>
        <n v="239.82"/>
        <n v="66.709999999999994"/>
        <n v="87.16"/>
        <n v="101.26"/>
        <n v="17.399999999999999"/>
        <n v="52.93"/>
        <n v="8637.44"/>
        <n v="59.95"/>
        <n v="5062.49"/>
        <n v="646.97"/>
        <n v="946.29"/>
        <n v="123"/>
        <n v="554.08000000000004"/>
        <n v="152.54"/>
        <n v="89.79"/>
        <n v="199.76"/>
        <n v="480.37"/>
        <n v="5.76"/>
        <n v="3112.13"/>
        <n v="2589.0100000000002"/>
        <n v="1893.93"/>
        <n v="211.13"/>
        <n v="25.39"/>
        <n v="87.27"/>
        <n v="403.25"/>
        <n v="414.49"/>
        <n v="469.69"/>
        <n v="8585.67"/>
        <n v="57.37"/>
        <n v="66.319999999999993"/>
        <n v="18.75"/>
        <n v="188.51"/>
        <n v="6720.88"/>
        <n v="102.21"/>
        <n v="31.18"/>
        <n v="267.52999999999997"/>
        <n v="43046.2"/>
        <n v="330.21"/>
        <n v="6831.37"/>
        <n v="10331.09"/>
        <n v="83.86"/>
        <n v="1707.84"/>
        <n v="66.88"/>
        <n v="274.91000000000003"/>
        <n v="1128.74"/>
        <n v="805.99"/>
        <n v="1066.54"/>
        <n v="65.739999999999995"/>
        <n v="5.84"/>
        <n v="405.57"/>
        <n v="32.6"/>
        <n v="515.88"/>
        <n v="25.06"/>
        <n v="578.24"/>
        <n v="116.93"/>
        <n v="170.45"/>
        <n v="285.87"/>
        <n v="20.37"/>
        <n v="17.440000000000001"/>
        <n v="702.68"/>
        <n v="67.239999999999995"/>
        <n v="24.27"/>
        <n v="38.53"/>
        <n v="4910.72"/>
        <n v="116.8"/>
        <n v="32.39"/>
        <n v="227.79"/>
        <n v="5679.59"/>
        <n v="102.32"/>
        <n v="1494.63"/>
        <n v="46.23"/>
        <n v="279.27999999999997"/>
        <n v="70.06"/>
        <n v="81.819999999999993"/>
        <n v="13.16"/>
        <n v="205.98"/>
        <n v="31.46"/>
        <n v="948.97"/>
        <n v="136.99"/>
        <n v="99.36"/>
        <n v="9580"/>
        <n v="28.32"/>
        <n v="2309.4899999999998"/>
        <n v="1232.01"/>
        <n v="506.38"/>
        <n v="1042.72"/>
        <n v="1769.91"/>
        <n v="6686.34"/>
        <n v="4620.05"/>
        <n v="1912.98"/>
        <n v="4170.87"/>
        <n v="818.81"/>
        <n v="34.11"/>
        <n v="154.71"/>
        <n v="192.33"/>
        <n v="6901.25"/>
        <n v="148.94"/>
        <n v="200.68"/>
        <n v="29.92"/>
        <n v="19.73"/>
        <n v="615.54"/>
        <n v="261.33999999999997"/>
        <n v="202.41"/>
        <n v="793.39"/>
        <n v="54.04"/>
        <n v="832.14"/>
        <n v="221.06"/>
        <n v="58.67"/>
        <n v="101.06"/>
        <n v="1429.81"/>
        <n v="34.97"/>
        <n v="308.86"/>
        <n v="485.01"/>
        <n v="81.14"/>
        <n v="10.11"/>
        <n v="6621.17"/>
        <n v="253.78"/>
        <n v="69.959999999999994"/>
        <n v="2716.09"/>
        <n v="21.34"/>
        <n v="17.420000000000002"/>
        <n v="49.81"/>
        <n v="3722.41"/>
        <n v="95.1"/>
        <n v="734.74"/>
        <n v="1882.87"/>
        <n v="8834.58"/>
        <n v="78.540000000000006"/>
        <n v="605.1"/>
        <n v="355.84"/>
        <n v="1346.32"/>
        <n v="292.18"/>
        <n v="322.02999999999997"/>
        <n v="2470.84"/>
        <n v="5250.66"/>
        <n v="1423.35"/>
        <n v="1154.1199999999999"/>
        <n v="32.5"/>
        <n v="193.95"/>
        <n v="158.80000000000001"/>
        <n v="274.26"/>
        <n v="83.16"/>
        <n v="261.93"/>
        <n v="210.1"/>
        <n v="6499.87"/>
        <n v="351.56"/>
        <n v="87.89"/>
        <n v="6.5"/>
        <n v="68.56"/>
        <n v="20.79"/>
        <n v="67.91"/>
        <n v="40.369999999999997"/>
        <n v="122.25"/>
        <n v="206.09"/>
        <n v="66.900000000000006"/>
        <n v="43.13"/>
        <n v="11.21"/>
        <n v="100.38"/>
        <n v="1178.32"/>
        <n v="2016.32"/>
        <n v="612.25"/>
        <n v="313.63"/>
        <n v="397.17"/>
        <n v="63.48"/>
        <n v="47.64"/>
        <n v="1545.58"/>
        <n v="2104.9899999999998"/>
        <n v="353.1"/>
        <n v="257.52"/>
        <n v="411.64"/>
        <n v="17.59"/>
        <n v="141.54"/>
        <n v="905.4"/>
        <n v="243.86"/>
        <n v="39.97"/>
        <n v="92.96"/>
        <n v="1362.2"/>
        <n v="336.64"/>
        <n v="429.33"/>
        <n v="44.66"/>
        <n v="1619.95"/>
        <n v="56.44"/>
        <n v="56.73"/>
        <n v="64.41"/>
        <n v="344.57"/>
        <n v="279.01"/>
        <n v="614.99"/>
        <n v="76.23"/>
        <n v="99.92"/>
        <n v="79.400000000000006"/>
        <n v="15.49"/>
        <n v="18.59"/>
        <n v="834.08"/>
        <n v="50.88"/>
        <n v="958.46"/>
        <n v="368.84"/>
        <n v="30.86"/>
        <n v="568.25"/>
        <n v="126.66"/>
        <n v="93.82"/>
        <n v="8332.91"/>
        <n v="5.9"/>
        <n v="80.23"/>
        <n v="2044.9"/>
        <n v="53.3"/>
        <n v="21.93"/>
        <n v="89.91"/>
        <n v="138.51"/>
        <n v="41.96"/>
        <n v="300.63"/>
        <n v="240.46"/>
        <n v="74.08"/>
        <n v="5.28"/>
        <n v="50.83"/>
        <n v="39.26"/>
        <n v="606.51"/>
        <n v="64.89"/>
        <n v="267.2"/>
        <n v="86.79"/>
        <n v="292.37"/>
        <n v="682.79"/>
        <n v="125.77"/>
        <n v="3918.98"/>
        <n v="31.24"/>
        <n v="74.77"/>
        <n v="127.81"/>
        <n v="78.59"/>
        <n v="497.11"/>
        <n v="27.02"/>
        <n v="27.67"/>
        <n v="1033.56"/>
        <n v="19.97"/>
        <n v="660.03"/>
        <n v="199.12"/>
        <n v="63.14"/>
        <n v="44.85"/>
        <n v="49.78"/>
        <n v="16.62"/>
        <n v="517.67999999999995"/>
        <n v="573.30999999999995"/>
        <n v="140.22999999999999"/>
        <n v="594.44000000000005"/>
        <n v="228.5"/>
        <n v="191.1"/>
        <n v="28.05"/>
        <n v="151.77000000000001"/>
        <n v="57.13"/>
        <n v="116.92"/>
        <n v="151.6"/>
        <n v="31.73"/>
        <n v="85.26"/>
        <n v="16.600000000000001"/>
        <n v="2285.41"/>
        <n v="513.52"/>
        <n v="346.52"/>
        <n v="499.31"/>
        <n v="73.099999999999994"/>
        <n v="2115.06"/>
        <n v="47.95"/>
        <n v="134.38"/>
        <n v="76.77"/>
        <n v="782"/>
        <n v="15.73"/>
        <n v="1719.07"/>
        <n v="8.41"/>
        <n v="104.95"/>
        <n v="166.59"/>
        <n v="396.19"/>
        <n v="98.7"/>
        <n v="1782.44"/>
        <n v="72.11"/>
        <n v="124.81"/>
        <n v="881.32"/>
        <n v="41.6"/>
        <n v="1497.22"/>
        <n v="244.81"/>
        <n v="4.55"/>
        <n v="27.63"/>
        <n v="31.21"/>
        <n v="1214.03"/>
        <n v="3.51"/>
        <n v="120.12"/>
        <n v="7.01"/>
        <n v="1452.18"/>
        <n v="619.38"/>
        <n v="18.690000000000001"/>
        <n v="8.8000000000000007"/>
        <n v="477.2"/>
        <n v="2848.38"/>
        <n v="38.58"/>
        <n v="810.47"/>
        <n v="72.83"/>
        <n v="63.66"/>
        <n v="127.22"/>
        <n v="432.44"/>
        <n v="12.18"/>
        <n v="950.43"/>
        <n v="25.37"/>
        <n v="6963.67"/>
        <n v="160.16999999999999"/>
        <n v="7.47"/>
        <n v="370.81"/>
        <n v="119.99"/>
        <n v="650.70000000000005"/>
        <n v="11.41"/>
        <n v="680.39"/>
        <n v="75.52"/>
        <n v="2354.54"/>
        <n v="79.06"/>
        <n v="65.14"/>
        <n v="640.71"/>
        <n v="659.6"/>
        <n v="1137.5999999999999"/>
        <n v="151.55000000000001"/>
        <n v="57.03"/>
        <n v="347.23"/>
        <n v="478.23"/>
        <n v="1670.33"/>
        <n v="100.59"/>
        <n v="598.38"/>
        <n v="39.36"/>
        <n v="322.77"/>
        <n v="65.09"/>
        <n v="98.96"/>
        <n v="13546.94"/>
        <n v="6401.65"/>
        <n v="617.4"/>
        <n v="157.78"/>
        <n v="26.31"/>
        <n v="209.78"/>
        <n v="17.829999999999998"/>
        <n v="2527.79"/>
        <n v="121.87"/>
        <n v="659.42"/>
        <n v="403.53"/>
        <n v="55.17"/>
        <n v="377.44"/>
        <n v="286.39999999999998"/>
        <n v="664.34"/>
        <n v="473.53"/>
        <n v="220.92"/>
        <n v="196.41"/>
        <n v="54.08"/>
        <n v="47.18"/>
        <n v="30.87"/>
        <n v="309.05"/>
        <n v="299.3"/>
        <n v="45.24"/>
        <n v="51.02"/>
        <n v="2291.39"/>
        <n v="9492.92"/>
        <n v="318.47000000000003"/>
        <n v="586.96"/>
        <n v="11272.77"/>
        <n v="144.33000000000001"/>
        <n v="270.55"/>
        <n v="79.62"/>
        <n v="479.79"/>
        <n v="108.99"/>
        <n v="3527.82"/>
        <n v="4698.21"/>
        <n v="258.93"/>
        <n v="277.60000000000002"/>
        <n v="168.04"/>
        <n v="703.46"/>
        <n v="103.61"/>
        <n v="3144.56"/>
        <n v="2653.02"/>
        <n v="66.81"/>
        <n v="90.52"/>
        <n v="55.97"/>
        <n v="311.66000000000003"/>
        <n v="9862.51"/>
        <n v="177.41"/>
        <n v="406.91"/>
        <n v="1332.09"/>
        <n v="105.5"/>
        <n v="101.73"/>
        <n v="37.700000000000003"/>
        <n v="75.81"/>
        <n v="2630"/>
        <n v="333.02"/>
        <n v="27.76"/>
        <n v="3855.28"/>
        <n v="192.49"/>
        <n v="2560.5500000000002"/>
        <n v="227.67"/>
        <n v="8.83"/>
        <n v="34.409999999999997"/>
        <n v="157.27000000000001"/>
        <n v="1013.84"/>
        <n v="110.75"/>
        <n v="181.46"/>
        <n v="1076.3"/>
        <n v="21.46"/>
        <n v="3506.78"/>
        <n v="267.69"/>
        <n v="2307.2600000000002"/>
        <n v="39.15"/>
        <n v="266.95"/>
        <n v="20552.55"/>
        <n v="87.8"/>
        <n v="3741.39"/>
        <n v="149.32"/>
        <n v="177.01"/>
        <n v="35.159999999999997"/>
        <n v="88.84"/>
        <n v="696.96"/>
        <n v="149.41"/>
        <n v="4556.63"/>
        <n v="2948.61"/>
        <n v="517.85"/>
        <n v="2373.3200000000002"/>
        <n v="325.73"/>
        <n v="127.94"/>
        <n v="1350.94"/>
        <n v="75.17"/>
        <n v="1125.76"/>
        <n v="746.03"/>
        <n v="593.33000000000004"/>
        <n v="13.05"/>
        <n v="58.95"/>
        <n v="3672.89"/>
        <n v="374.81"/>
        <n v="43.27"/>
        <n v="11.74"/>
        <n v="5258.94"/>
        <n v="66.739999999999995"/>
        <n v="1282.67"/>
        <n v="208.83"/>
        <n v="228.3"/>
        <n v="129.53"/>
        <n v="55.68"/>
        <n v="568.24"/>
        <n v="162.91"/>
        <n v="97.65"/>
        <n v="1018.61"/>
        <n v="1145.5999999999999"/>
        <n v="24.52"/>
        <n v="5775.81"/>
        <n v="1878.24"/>
        <n v="1634.67"/>
        <n v="9280.7199999999993"/>
        <n v="1348.83"/>
        <n v="564.98"/>
        <n v="129.47999999999999"/>
        <n v="8216.2800000000007"/>
        <n v="152.11000000000001"/>
        <n v="35.97"/>
        <n v="85.64"/>
        <n v="2508.15"/>
        <n v="225.62"/>
        <n v="610.65"/>
        <n v="699.24"/>
        <n v="2346.0300000000002"/>
        <n v="33.770000000000003"/>
        <n v="172.79"/>
        <n v="19.66"/>
        <n v="604.35"/>
        <n v="3.13"/>
        <n v="378.23"/>
        <n v="7.15"/>
        <n v="29.85"/>
        <n v="366.44"/>
        <n v="69.75"/>
        <n v="852.53"/>
        <n v="219.66"/>
        <n v="81.900000000000006"/>
        <n v="2343.34"/>
        <n v="327.61"/>
        <n v="1774.5"/>
        <n v="1054.69"/>
        <n v="6654.39"/>
        <n v="4429.6899999999996"/>
        <n v="878.34"/>
        <n v="676.57"/>
        <n v="459.55"/>
        <n v="536.9"/>
        <n v="8.74"/>
        <n v="182.33"/>
        <n v="131.26"/>
        <n v="240.6"/>
        <n v="236.88"/>
        <n v="2710.47"/>
        <n v="8354.73"/>
        <n v="48.3"/>
        <n v="58.81"/>
        <n v="47.38"/>
        <n v="637.76"/>
        <n v="2156.06"/>
        <n v="761.16"/>
        <n v="682.68"/>
        <n v="73.44"/>
        <n v="2997.07"/>
        <n v="282.85000000000002"/>
        <n v="20.03"/>
        <n v="84.56"/>
        <n v="70.709999999999994"/>
        <n v="51.86"/>
        <n v="56.24"/>
        <n v="627.78"/>
        <n v="283.44"/>
        <n v="10.039999999999999"/>
        <n v="981.65"/>
        <n v="1748.69"/>
        <n v="119.29"/>
        <n v="3.08"/>
        <n v="69.459999999999994"/>
        <n v="1145.72"/>
        <n v="26.37"/>
        <n v="53.44"/>
        <n v="57.34"/>
        <n v="79.02"/>
        <n v="25.45"/>
        <n v="110.72"/>
        <n v="46.94"/>
        <n v="26.18"/>
        <n v="28.66"/>
        <n v="123.18"/>
        <n v="1533.59"/>
        <n v="2.77"/>
        <n v="31.55"/>
        <n v="42.58"/>
        <n v="145.36000000000001"/>
        <n v="3616.52"/>
        <n v="7.96"/>
        <n v="389.59"/>
        <n v="447.89"/>
        <n v="1420.84"/>
        <n v="111.97"/>
        <n v="355.21"/>
        <n v="536.23"/>
        <n v="38.81"/>
        <n v="2144.92"/>
        <n v="484.56"/>
        <n v="471.21"/>
        <n v="182.61"/>
        <n v="36.58"/>
        <n v="2376.12"/>
        <n v="1020.08"/>
        <n v="65.2"/>
        <n v="22.59"/>
        <n v="121.36"/>
        <n v="2013.67"/>
        <n v="1824.33"/>
        <n v="107.65"/>
        <n v="165.21"/>
        <n v="25.15"/>
        <n v="4285.5600000000004"/>
        <n v="631.37"/>
        <n v="267.83"/>
        <n v="2767.95"/>
        <n v="123.03"/>
        <n v="431.84"/>
        <n v="2366.5100000000002"/>
        <n v="291.64"/>
        <n v="252.36"/>
        <n v="575.07000000000005"/>
        <n v="1781.66"/>
        <n v="940.64"/>
        <n v="439.27"/>
        <n v="4410.1899999999996"/>
        <n v="552.89"/>
        <n v="621.55999999999995"/>
        <n v="88.83"/>
        <n v="307.64999999999998"/>
        <n v="76.91"/>
        <n v="151.34"/>
        <n v="290.24"/>
        <n v="971.4"/>
        <n v="193.51"/>
        <n v="157.81"/>
        <n v="19.440000000000001"/>
        <n v="4636.63"/>
        <n v="739.07"/>
        <n v="157.63999999999999"/>
        <n v="42.16"/>
        <n v="14.08"/>
        <n v="256.73"/>
        <n v="58.83"/>
        <n v="1557.66"/>
        <n v="129.43"/>
        <n v="61.39"/>
        <n v="2435.52"/>
        <n v="464.86"/>
        <n v="288.67"/>
        <n v="1030.51"/>
        <n v="2026.91"/>
        <n v="115.53"/>
        <n v="162.38999999999999"/>
        <n v="1316.03"/>
        <n v="1395.41"/>
        <n v="4920.8100000000004"/>
        <n v="28.22"/>
        <n v="74.010000000000005"/>
        <n v="48.1"/>
        <n v="11015.82"/>
        <n v="300.67"/>
        <n v="723.54"/>
        <n v="87.53"/>
        <n v="172.22"/>
        <n v="894.88"/>
        <n v="16.670000000000002"/>
        <n v="195.16"/>
        <n v="879.62"/>
        <n v="361.19"/>
        <n v="1088.26"/>
        <n v="105.75"/>
        <n v="63.93"/>
        <n v="391.4"/>
        <n v="14.53"/>
        <n v="144.03"/>
        <n v="48.81"/>
        <n v="7360.2"/>
        <n v="89.06"/>
        <n v="134.97"/>
        <n v="19.12"/>
        <n v="186.64"/>
        <n v="3.53"/>
        <n v="706.56"/>
        <n v="13121.07"/>
        <n v="110.93"/>
        <n v="118.35"/>
        <n v="17.309999999999999"/>
        <n v="23.56"/>
        <n v="494.49"/>
        <n v="158.13"/>
        <n v="163.01"/>
        <n v="333.04"/>
        <n v="472.44"/>
        <n v="18.73"/>
        <n v="2427.1799999999998"/>
        <n v="434.85"/>
        <n v="19.16"/>
        <n v="1959.88"/>
        <n v="710.16"/>
        <n v="48.25"/>
        <n v="243.24"/>
        <n v="38.54"/>
        <n v="1483.16"/>
        <n v="562.92999999999995"/>
        <n v="29.18"/>
        <n v="1634.13"/>
        <n v="214.14"/>
        <n v="100.79"/>
        <n v="735.7"/>
        <n v="225.59"/>
        <n v="145.12"/>
        <n v="94.27"/>
        <n v="82.21"/>
        <n v="417.47"/>
        <n v="1104.32"/>
        <n v="149.80000000000001"/>
        <n v="6.97"/>
        <n v="367.52"/>
        <n v="1576.35"/>
        <n v="52.16"/>
        <n v="4881.84"/>
        <n v="926.3"/>
        <n v="942.53"/>
        <n v="276.64"/>
        <n v="514.62"/>
        <n v="817.32"/>
        <n v="284.48"/>
        <n v="225.98"/>
        <n v="72.77"/>
        <n v="57.7"/>
        <n v="19.670000000000002"/>
        <n v="514.79"/>
        <n v="893.53"/>
        <n v="2053.6"/>
        <n v="37.89"/>
        <n v="343.79"/>
        <n v="188.09"/>
        <n v="129.54"/>
        <n v="49.44"/>
        <n v="14.29"/>
        <n v="45.28"/>
        <n v="13.57"/>
        <n v="55.48"/>
        <n v="5319.35"/>
        <n v="30.44"/>
        <n v="3251.76"/>
        <n v="22.48"/>
        <n v="267.32"/>
        <n v="284.39"/>
        <n v="974.14"/>
        <n v="128.13"/>
        <n v="464.94"/>
        <n v="2188.06"/>
        <n v="320.93"/>
        <n v="261.85000000000002"/>
        <n v="1834.61"/>
        <n v="261.56"/>
        <n v="114.81"/>
        <n v="546.21"/>
        <n v="272.86"/>
        <n v="2119.54"/>
        <n v="45737.33"/>
        <n v="438.25"/>
        <n v="561.05999999999995"/>
        <n v="11434.33"/>
        <n v="3229.24"/>
        <n v="101.13"/>
        <n v="451.83"/>
        <n v="20.239999999999998"/>
        <n v="1486.34"/>
        <n v="406.26"/>
        <n v="5835.41"/>
        <n v="52.1"/>
        <n v="45.87"/>
        <n v="256.77"/>
        <n v="605.82000000000005"/>
        <n v="1569"/>
        <n v="151.46"/>
        <n v="10.19"/>
        <n v="64.19"/>
        <n v="118.57"/>
        <n v="79.47"/>
        <n v="627.28"/>
        <n v="1160.42"/>
        <n v="103.37"/>
        <n v="40.22"/>
        <n v="52.43"/>
        <n v="818.49"/>
        <n v="410.17"/>
        <n v="269.54000000000002"/>
        <n v="106.57"/>
        <n v="38.409999999999997"/>
        <n v="131.34"/>
        <n v="251.61"/>
        <n v="287.99"/>
        <n v="46.86"/>
        <n v="658.62"/>
        <n v="21.96"/>
        <n v="24.57"/>
        <n v="1008.53"/>
        <n v="6968.9"/>
        <n v="41.29"/>
        <n v="88.64"/>
        <n v="1300.54"/>
        <n v="38.06"/>
        <n v="1263.3499999999999"/>
        <n v="202.38"/>
        <n v="56.38"/>
        <n v="119.13"/>
        <n v="809.51"/>
        <n v="643.64"/>
        <n v="244.31"/>
        <n v="466.58"/>
        <n v="2290.69"/>
        <n v="337.59"/>
        <n v="10.65"/>
        <n v="55.13"/>
        <n v="215.32"/>
        <n v="382.85"/>
        <n v="44.8"/>
        <n v="100.99"/>
        <n v="142.06"/>
        <n v="58.52"/>
        <n v="363.74"/>
        <n v="15.93"/>
        <n v="21.28"/>
        <n v="675.83"/>
        <n v="28"/>
        <n v="535.08000000000004"/>
        <n v="222.71"/>
        <n v="220.52"/>
        <n v="68.34"/>
        <n v="522.22"/>
        <n v="28.01"/>
        <n v="80.349999999999994"/>
        <n v="99.69"/>
        <n v="152.49"/>
        <n v="320.75"/>
        <n v="11.35"/>
        <n v="7029.1"/>
        <n v="1059.3800000000001"/>
        <n v="2233.46"/>
        <n v="928.92"/>
        <n v="3845.35"/>
        <n v="3.77"/>
        <n v="343.54"/>
        <n v="3627.08"/>
        <n v="8.34"/>
        <n v="63.32"/>
        <n v="83.72"/>
        <n v="1011.44"/>
        <n v="132.22999999999999"/>
        <n v="210.33"/>
        <n v="882.93"/>
        <n v="1757.15"/>
        <n v="1786.04"/>
        <n v="34.76"/>
        <n v="561.65"/>
        <n v="413.73"/>
        <n v="55.6"/>
        <n v="2099.61"/>
        <n v="96.6"/>
        <n v="558.16999999999996"/>
        <n v="8.39"/>
        <n v="559.42999999999995"/>
        <n v="1216.52"/>
        <n v="1058.3599999999999"/>
        <n v="18.309999999999999"/>
        <n v="4935.22"/>
        <n v="51.03"/>
        <n v="746.91"/>
        <n v="77.47"/>
        <n v="204.34"/>
        <n v="206.04"/>
        <n v="475.42"/>
        <n v="3598.82"/>
        <n v="41.22"/>
        <n v="875.39"/>
        <n v="8.24"/>
        <n v="641.11"/>
        <n v="2130.04"/>
        <n v="82.8"/>
        <n v="99.02"/>
        <n v="46.4"/>
        <n v="551.51"/>
        <n v="142.79"/>
        <n v="585.08000000000004"/>
        <n v="72.75"/>
        <n v="269.33"/>
        <n v="377"/>
        <n v="42.99"/>
        <n v="65.69"/>
        <n v="2748.21"/>
        <n v="93.19"/>
        <n v="363.37"/>
        <n v="480.75"/>
        <n v="16.88"/>
        <n v="925.19"/>
        <n v="408.66"/>
        <n v="122.93"/>
        <n v="32.659999999999997"/>
        <n v="14.85"/>
        <n v="45"/>
        <n v="6569.07"/>
        <n v="88.22"/>
        <n v="40.29"/>
        <n v="151.27000000000001"/>
        <n v="10.51"/>
        <n v="74.930000000000007"/>
        <n v="1370.99"/>
        <n v="1913.84"/>
        <n v="2692.12"/>
        <n v="762.38"/>
        <n v="36.72"/>
        <n v="305.70999999999998"/>
        <n v="277.12"/>
        <n v="100.11"/>
        <n v="31.54"/>
        <n v="4634.6899999999996"/>
        <n v="7304.03"/>
        <n v="632.65"/>
        <n v="290.98"/>
        <n v="21.77"/>
        <n v="384.22"/>
        <n v="31.64"/>
        <n v="565.36"/>
        <n v="32.76"/>
        <n v="336.92"/>
        <n v="114.91"/>
        <n v="934.52"/>
        <n v="260.66000000000003"/>
        <n v="4249.37"/>
        <n v="6676.61"/>
        <n v="291.39999999999998"/>
        <n v="146.5"/>
        <n v="38.979999999999997"/>
        <n v="34.159999999999997"/>
        <n v="120.34"/>
        <n v="153.61000000000001"/>
        <n v="1414.88"/>
        <n v="33.630000000000003"/>
        <n v="1063.81"/>
        <n v="242.7"/>
        <n v="3377.06"/>
        <n v="123.93"/>
        <n v="93.96"/>
        <n v="1818.41"/>
        <n v="8.9499999999999993"/>
        <n v="652.84"/>
        <n v="12750.99"/>
        <n v="20.54"/>
        <n v="7840.04"/>
        <n v="1094.33"/>
        <n v="389.97"/>
        <n v="84.59"/>
        <n v="9666.7199999999993"/>
        <n v="134.58000000000001"/>
        <n v="33.65"/>
        <n v="66.12"/>
        <n v="3.07"/>
        <n v="255.83"/>
        <n v="421.18"/>
        <n v="1377.46"/>
        <n v="6600.63"/>
        <n v="1811.99"/>
        <n v="799.76"/>
        <n v="609.09"/>
        <n v="2761.94"/>
        <n v="33.950000000000003"/>
        <n v="302.33999999999997"/>
        <n v="334.44"/>
        <n v="556.61"/>
        <n v="64.48"/>
        <n v="4845.2700000000004"/>
        <n v="19.68"/>
        <n v="9798.84"/>
        <n v="154.11000000000001"/>
        <n v="242.97"/>
        <n v="200.61"/>
        <n v="237.83"/>
        <n v="53.02"/>
        <n v="248.84"/>
        <n v="7.21"/>
        <n v="253.87"/>
        <n v="5880.46"/>
        <n v="577.25"/>
        <n v="4075.18"/>
        <n v="1798.23"/>
        <n v="727.2"/>
        <n v="6173.42"/>
        <n v="1553.7"/>
        <n v="18.68"/>
        <n v="36.299999999999997"/>
        <n v="16.03"/>
        <n v="25.35"/>
        <n v="19.32"/>
        <n v="86.8"/>
        <n v="381.91"/>
        <n v="761.67"/>
        <n v="5014.07"/>
        <n v="186.19"/>
        <n v="1227.94"/>
        <n v="294.97000000000003"/>
        <n v="2458.0500000000002"/>
        <n v="2465.75"/>
        <n v="650.25"/>
        <n v="272.12"/>
        <n v="428.85"/>
        <n v="342.54"/>
        <n v="27.96"/>
        <n v="1635.38"/>
        <n v="58.48"/>
        <n v="40.049999999999997"/>
        <n v="1117.6600000000001"/>
        <n v="807"/>
        <n v="169.46"/>
        <n v="5768.12"/>
        <n v="55.25"/>
        <n v="551.22"/>
        <n v="83.93"/>
        <n v="193.88"/>
        <n v="990.25"/>
        <n v="14.76"/>
        <n v="808.44"/>
        <n v="67.41"/>
        <n v="55.08"/>
        <n v="1608.11"/>
        <n v="99.75"/>
        <n v="51.41"/>
        <n v="68.72"/>
        <n v="618.96"/>
        <n v="77.540000000000006"/>
        <n v="361.72"/>
        <n v="1373.47"/>
        <n v="91.92"/>
        <n v="73.290000000000006"/>
        <n v="2961.32"/>
        <n v="87.11"/>
        <n v="170.46"/>
        <n v="4.95"/>
        <n v="461.24"/>
        <n v="577.75"/>
        <n v="59.4"/>
        <n v="66.459999999999994"/>
        <n v="35.35"/>
        <n v="248.21"/>
        <n v="4086.5"/>
        <n v="375.03"/>
        <n v="22.11"/>
        <n v="2875.35"/>
        <n v="78.08"/>
        <n v="2013.88"/>
        <n v="201.32"/>
        <n v="298.51"/>
        <n v="3846.06"/>
        <n v="35.93"/>
        <n v="1610.84"/>
        <n v="86.12"/>
        <n v="76.87"/>
        <n v="374.6"/>
        <n v="61.87"/>
        <n v="48.88"/>
        <n v="21.56"/>
        <n v="164.67"/>
        <n v="72.739999999999995"/>
        <n v="418.75"/>
        <n v="469.59"/>
        <n v="136.25"/>
        <n v="558.41"/>
        <n v="290.22000000000003"/>
        <n v="1129.67"/>
        <n v="2439.37"/>
        <n v="92.02"/>
        <n v="283.55"/>
        <n v="9757.48"/>
        <n v="850.64"/>
        <n v="1159.79"/>
        <n v="20.22"/>
        <n v="1548.97"/>
        <n v="337.86"/>
        <n v="84.21"/>
        <n v="38.74"/>
        <n v="134.09"/>
        <n v="191.73"/>
        <n v="618.85"/>
        <n v="115.99"/>
        <n v="19.46"/>
        <n v="44.75"/>
        <n v="9.23"/>
        <n v="96.13"/>
        <n v="73.959999999999994"/>
        <n v="1805.9"/>
        <n v="311.41000000000003"/>
        <n v="3707.05"/>
        <n v="2805.18"/>
        <n v="80.86"/>
        <n v="1096.6300000000001"/>
        <n v="632.12"/>
        <n v="1302.98"/>
        <n v="131.79"/>
        <n v="35.33"/>
        <n v="674.55"/>
        <n v="1721.24"/>
        <n v="668.38"/>
        <n v="324.62"/>
        <n v="40.93"/>
        <n v="53.42"/>
        <n v="8.49"/>
        <n v="69.89"/>
        <n v="77.42"/>
        <n v="7.2"/>
        <n v="61.29"/>
        <n v="109.15"/>
        <n v="1477.84"/>
        <n v="29.08"/>
        <n v="1162.46"/>
        <n v="5911.35"/>
        <n v="4649.8500000000004"/>
        <n v="2259.9899999999998"/>
        <n v="42.46"/>
        <n v="314.06"/>
        <n v="1009.99"/>
        <n v="92.16"/>
        <n v="16.5"/>
        <n v="1202.6600000000001"/>
        <n v="196.69"/>
        <n v="40.28"/>
        <n v="904.31"/>
        <n v="96.86"/>
        <n v="765.65"/>
        <n v="8.7200000000000006"/>
        <n v="6355.69"/>
        <n v="28.09"/>
        <n v="1130.1500000000001"/>
        <n v="54.37"/>
        <n v="100.87"/>
        <n v="1857.08"/>
        <n v="42.56"/>
        <n v="414.91"/>
        <n v="91.39"/>
        <n v="202.29"/>
        <n v="168.71"/>
        <n v="885.65"/>
        <n v="152.05000000000001"/>
        <n v="49.1"/>
        <n v="246.44"/>
        <n v="199.08"/>
        <n v="2039.07"/>
        <n v="436.94"/>
        <n v="37.380000000000003"/>
        <n v="47.4"/>
        <n v="260"/>
        <n v="709.7"/>
        <n v="27.42"/>
        <n v="739.06"/>
        <n v="30.47"/>
        <n v="96.96"/>
        <n v="4.21"/>
        <n v="3550.28"/>
        <n v="1188.6300000000001"/>
        <n v="1009.93"/>
        <n v="140.69999999999999"/>
        <n v="15.95"/>
        <n v="42.35"/>
        <n v="63.78"/>
        <n v="451.61"/>
        <n v="10.41"/>
        <n v="2849.64"/>
        <n v="38.04"/>
        <n v="42.53"/>
        <n v="14.77"/>
        <n v="438.33"/>
        <n v="38.11"/>
        <n v="724.57"/>
        <n v="51.13"/>
        <n v="79.61"/>
        <n v="109.99"/>
        <n v="900.12"/>
        <n v="237.62"/>
        <n v="176.42"/>
        <n v="2084.16"/>
        <n v="43.41"/>
        <n v="46.42"/>
        <n v="1140.95"/>
        <n v="42.69"/>
        <n v="327.41000000000003"/>
        <n v="3786.84"/>
        <n v="2012.11"/>
        <n v="471.66"/>
        <n v="662.8"/>
        <n v="119.86"/>
        <n v="2651.21"/>
        <n v="38.96"/>
        <n v="8048.45"/>
        <n v="1939.03"/>
        <n v="457.63"/>
        <n v="170.75"/>
        <n v="1339.42"/>
        <n v="8.66"/>
        <n v="10554.63"/>
        <n v="1749.64"/>
        <n v="355.4"/>
        <n v="148.36000000000001"/>
        <n v="2814.57"/>
        <n v="88.85"/>
        <n v="70.819999999999993"/>
        <n v="90.44"/>
        <n v="10.72"/>
        <n v="10180.01"/>
        <n v="42.44"/>
        <n v="462.57"/>
        <n v="125.37"/>
        <n v="190.85"/>
        <n v="370.68"/>
        <n v="2400.9499999999998"/>
        <n v="7303.05"/>
        <n v="58.05"/>
        <n v="68.64"/>
        <n v="277.07"/>
        <n v="51.99"/>
        <n v="149.66999999999999"/>
        <n v="61.1"/>
        <n v="193.81"/>
        <n v="257.48"/>
        <n v="3194.99"/>
        <n v="202.98"/>
        <n v="10.86"/>
        <n v="1477.57"/>
        <n v="382.29"/>
        <n v="881.74"/>
        <n v="7384.18"/>
        <n v="448.26"/>
        <n v="95.57"/>
        <n v="214.48"/>
        <n v="1790.1"/>
        <n v="110.68"/>
        <n v="385.45"/>
        <n v="30.1"/>
        <n v="261.20999999999998"/>
        <n v="42.79"/>
        <n v="1828.22"/>
        <n v="29.77"/>
        <n v="147.19"/>
        <n v="39.17"/>
        <n v="87.85"/>
        <n v="7429.63"/>
        <n v="224.29"/>
        <n v="51.2"/>
        <n v="29718.53"/>
        <n v="197.48"/>
        <n v="46.85"/>
        <n v="93.57"/>
        <n v="2694.49"/>
        <n v="174.5"/>
        <n v="26.01"/>
        <n v="1527.97"/>
        <n v="110.86"/>
        <n v="97.98"/>
        <n v="127.83"/>
        <n v="289.88"/>
        <n v="4354.55"/>
        <n v="146.16999999999999"/>
        <n v="42.02"/>
        <n v="3705.14"/>
        <n v="945.36"/>
        <n v="49.24"/>
        <n v="68.45"/>
        <n v="40.69"/>
        <n v="130.11000000000001"/>
        <n v="337.34"/>
        <n v="280.43"/>
        <n v="103.39"/>
        <n v="435.39"/>
        <n v="1051.52"/>
        <n v="25.85"/>
        <n v="119.37"/>
        <n v="257.92"/>
        <n v="207.22"/>
        <n v="237.8"/>
        <n v="448.47"/>
        <n v="1000.26"/>
        <n v="2184.9899999999998"/>
        <n v="1191.2"/>
        <n v="165.71"/>
        <n v="1277.49"/>
        <n v="14.2"/>
        <n v="52.21"/>
        <n v="170.32"/>
        <n v="203.29"/>
        <n v="759.88"/>
        <n v="94.2"/>
        <n v="34.32"/>
        <n v="392.45"/>
        <n v="511.25"/>
        <n v="29.88"/>
        <n v="599.03"/>
        <n v="356.92"/>
        <n v="136.16"/>
        <n v="130.74"/>
        <n v="49.87"/>
        <n v="24.18"/>
        <n v="27587.55"/>
        <n v="1191.58"/>
        <n v="6938.19"/>
        <n v="419.27"/>
        <n v="36"/>
        <n v="11.78"/>
        <n v="20.96"/>
        <n v="26.66"/>
        <n v="29.55"/>
        <n v="1237.4000000000001"/>
        <n v="17.64"/>
        <n v="74.23"/>
        <n v="627.19000000000005"/>
        <n v="612.91999999999996"/>
        <n v="2569.5700000000002"/>
        <n v="78.989999999999995"/>
        <n v="1345.33"/>
        <n v="15.19"/>
        <n v="59.49"/>
        <n v="57.84"/>
        <n v="1425.71"/>
        <n v="25.26"/>
        <n v="736.16"/>
        <n v="31.96"/>
        <n v="98.17"/>
        <n v="264.95"/>
        <n v="53.21"/>
        <n v="122.8"/>
        <n v="282.38"/>
        <n v="924.8"/>
        <n v="821.17"/>
        <n v="194.08"/>
        <n v="237.77"/>
        <n v="316.27999999999997"/>
        <n v="2591.09"/>
        <n v="150.24"/>
        <n v="10364.36"/>
        <n v="657.61"/>
        <n v="241.97"/>
        <n v="120.81"/>
        <n v="41.4"/>
        <n v="159.53"/>
        <n v="536.29"/>
        <n v="10.96"/>
        <n v="4146.28"/>
        <n v="3902.09"/>
        <n v="14.18"/>
        <n v="2118.9899999999998"/>
        <n v="837.64"/>
        <n v="345.07"/>
        <n v="5.48"/>
        <n v="8201.33"/>
        <n v="22.67"/>
        <n v="393.98"/>
        <n v="19.29"/>
        <n v="5.21"/>
        <n v="22.92"/>
        <n v="30.9"/>
        <n v="2363.08"/>
        <n v="328.45"/>
        <n v="386.61"/>
        <n v="43.94"/>
        <n v="43.31"/>
        <n v="284.33999999999997"/>
        <n v="3913.02"/>
        <n v="180.14"/>
        <n v="364.92"/>
        <n v="12.16"/>
        <n v="147.56"/>
        <n v="113.68"/>
        <n v="281.75"/>
        <n v="240.05"/>
        <n v="87.21"/>
        <n v="40.15"/>
        <n v="90.46"/>
        <n v="467.03"/>
        <n v="608.80999999999995"/>
        <n v="808.61"/>
        <n v="637.37"/>
        <n v="232.16"/>
        <n v="360.03"/>
        <n v="260.01"/>
        <n v="273.79000000000002"/>
        <n v="44.62"/>
        <n v="268.64"/>
        <n v="87.68"/>
        <n v="37.619999999999997"/>
        <n v="832.97"/>
        <n v="1042.54"/>
        <n v="76.16"/>
        <n v="1038.1400000000001"/>
        <n v="6296"/>
        <n v="8.7899999999999991"/>
        <n v="2051.6799999999998"/>
        <n v="5295.03"/>
        <n v="80.27"/>
        <n v="3292.02"/>
        <n v="199.43"/>
        <n v="110.71"/>
        <n v="56.68"/>
        <n v="273.33999999999997"/>
        <n v="226.88"/>
        <n v="5220.4799999999996"/>
        <n v="113.44"/>
        <n v="66.02"/>
        <n v="33.020000000000003"/>
        <n v="2273.1"/>
        <n v="19.489999999999998"/>
        <n v="5845.81"/>
        <n v="633.85"/>
        <n v="107.51"/>
        <n v="421.08"/>
        <n v="77.2"/>
        <n v="5587.89"/>
        <n v="159.88999999999999"/>
        <n v="180.48"/>
        <n v="350.48"/>
        <n v="936.8"/>
        <n v="232.5"/>
        <n v="7497.05"/>
        <n v="1336.35"/>
        <n v="1724.01"/>
        <n v="59.79"/>
        <n v="240.21"/>
        <n v="1785.01"/>
        <n v="318.18"/>
        <n v="38.89"/>
        <n v="45.12"/>
        <n v="90.45"/>
        <n v="2125.12"/>
        <n v="45.05"/>
        <n v="7045.02"/>
        <n v="370.62"/>
        <n v="904.25"/>
        <n v="16.309999999999999"/>
        <n v="364.26"/>
        <n v="16.07"/>
        <n v="581.08000000000004"/>
        <n v="27.53"/>
        <n v="32.33"/>
        <n v="642.05999999999995"/>
        <n v="1068.5999999999999"/>
        <n v="226.53"/>
        <n v="68.650000000000006"/>
        <n v="236.83"/>
        <n v="1944.87"/>
        <n v="135.77000000000001"/>
        <n v="55.43"/>
        <n v="20.46"/>
        <n v="931.87"/>
        <n v="21.41"/>
        <n v="59.75"/>
        <n v="162.49"/>
        <n v="819.4"/>
        <n v="1809.75"/>
        <n v="70.03"/>
        <n v="102.43"/>
        <n v="137.76"/>
        <n v="326.02999999999997"/>
        <n v="379.72"/>
        <n v="48.33"/>
        <n v="34.909999999999997"/>
        <n v="47.04"/>
        <n v="10.94"/>
        <n v="731.38"/>
        <n v="344.87"/>
        <n v="523.05999999999995"/>
        <n v="2424.6799999999998"/>
        <n v="2411.4299999999998"/>
        <n v="1278.96"/>
        <n v="25.22"/>
        <n v="34.729999999999997"/>
        <n v="247.53"/>
        <n v="23.89"/>
        <n v="454.4"/>
        <n v="15.65"/>
        <n v="111.92"/>
        <n v="1700.38"/>
        <n v="35.96"/>
        <n v="141.59"/>
        <n v="203.05"/>
        <n v="56.19"/>
        <n v="40.799999999999997"/>
        <n v="117.87"/>
        <n v="1503.05"/>
        <n v="382.33"/>
        <n v="356.61"/>
        <n v="1506.89"/>
        <n v="92.29"/>
        <n v="82.29"/>
        <n v="203.37"/>
        <n v="160.66"/>
        <n v="107.08"/>
        <n v="9705.4599999999991"/>
        <n v="3247.54"/>
        <n v="5582.63"/>
        <n v="2426.36"/>
        <n v="824"/>
        <n v="1347.53"/>
        <n v="11.16"/>
        <n v="45.22"/>
        <n v="75.61"/>
        <n v="67.64"/>
        <n v="240.42"/>
        <n v="184.4"/>
        <n v="3802.01"/>
        <n v="1181.67"/>
        <n v="29.93"/>
        <n v="171.33"/>
        <n v="84.04"/>
        <n v="251.06"/>
        <n v="2610.56"/>
        <n v="1173.76"/>
        <n v="50.28"/>
        <n v="2570.4499999999998"/>
        <n v="158.87"/>
        <n v="56.71"/>
        <n v="5086.08"/>
        <n v="1894.45"/>
        <n v="200.72"/>
        <n v="36.82"/>
        <n v="84.6"/>
        <n v="296.75"/>
        <n v="582.20000000000005"/>
        <n v="171.93"/>
        <n v="35.19"/>
        <n v="2037.69"/>
        <n v="722.1"/>
        <n v="140.78"/>
        <n v="129.72"/>
        <n v="12190.98"/>
        <n v="1483.76"/>
        <n v="87.18"/>
        <n v="798.89"/>
        <n v="133.19"/>
        <n v="97.33"/>
        <n v="130.91"/>
        <n v="281.82"/>
        <n v="991.24"/>
        <n v="98.77"/>
        <n v="2495.35"/>
        <n v="200.83"/>
        <n v="348.08"/>
        <n v="131.69"/>
        <n v="13.93"/>
        <n v="31.71"/>
        <n v="60.01"/>
        <n v="1270.7"/>
        <n v="236.87"/>
        <n v="370.91"/>
        <n v="4976.92"/>
        <n v="574.97"/>
        <n v="115.22"/>
        <n v="456.58"/>
        <n v="3772.19"/>
        <n v="2642.48"/>
        <n v="61.5"/>
        <n v="1276.8800000000001"/>
        <n v="233.58"/>
        <n v="31.98"/>
        <n v="519.41999999999996"/>
        <n v="2382.7199999999998"/>
        <n v="64.959999999999994"/>
        <n v="19.14"/>
        <n v="45.03"/>
        <n v="153.87"/>
        <n v="2800.33"/>
        <n v="3596.03"/>
        <n v="2353.5500000000002"/>
        <n v="92.57"/>
        <n v="7974.21"/>
        <n v="87.1"/>
        <n v="736.86"/>
        <n v="33.840000000000003"/>
        <n v="14.9"/>
        <n v="39.64"/>
        <n v="139.49"/>
        <n v="1952.43"/>
        <n v="1370.79"/>
        <n v="3501.79"/>
        <n v="63.04"/>
        <n v="451.35"/>
        <n v="119.6"/>
        <n v="59.9"/>
        <n v="99.22"/>
        <n v="1183.82"/>
        <n v="201.77"/>
        <n v="443.66"/>
        <n v="541.76"/>
        <n v="107.66"/>
        <n v="318.83"/>
        <n v="3600.65"/>
        <n v="3936.61"/>
        <n v="78.31"/>
        <n v="14.66"/>
        <n v="83.14"/>
        <n v="215.25"/>
        <n v="1358.02"/>
        <n v="358.84"/>
        <n v="511.57"/>
        <n v="8.65"/>
        <n v="380"/>
        <n v="199.48"/>
        <n v="93.81"/>
        <n v="312.22000000000003"/>
        <n v="43.84"/>
        <n v="141.74"/>
        <n v="8717.75"/>
        <n v="2230.12"/>
        <n v="56.4"/>
        <n v="1488.51"/>
        <n v="801.93"/>
        <n v="44.24"/>
        <n v="79.739999999999995"/>
        <n v="48.32"/>
        <n v="332.16"/>
        <n v="147.62"/>
        <n v="125.9"/>
        <n v="768.81"/>
        <n v="183.39"/>
        <n v="12.9"/>
        <n v="17.89"/>
        <n v="255.88"/>
        <n v="378.82"/>
        <n v="152.18"/>
        <n v="53.89"/>
        <n v="1001.02"/>
        <n v="495.82"/>
        <n v="24.44"/>
        <n v="21.86"/>
        <n v="47.12"/>
        <n v="670.9"/>
        <n v="412.72"/>
        <n v="14.52"/>
        <n v="103.18"/>
        <n v="97.96"/>
        <n v="5419.41"/>
        <n v="700.41"/>
        <n v="646.88"/>
        <n v="1029.96"/>
        <n v="52.09"/>
        <n v="1794.88"/>
        <n v="765.04"/>
        <n v="127.12"/>
        <n v="5183.8900000000003"/>
        <n v="36.090000000000003"/>
        <n v="366.26"/>
        <n v="157.99"/>
        <n v="1212.8800000000001"/>
        <n v="125.19"/>
        <n v="1867.04"/>
        <n v="537.79999999999995"/>
        <n v="119.78"/>
        <n v="12.15"/>
        <n v="288.42"/>
        <n v="511.42"/>
        <n v="200.64"/>
        <n v="17.62"/>
        <n v="80.58"/>
        <n v="25.31"/>
        <n v="369.78"/>
        <n v="57.14"/>
        <n v="498.31"/>
        <n v="431.43"/>
        <n v="57.24"/>
        <n v="824.7"/>
        <n v="58.5"/>
        <n v="131.62"/>
        <n v="121.46"/>
        <n v="356.14"/>
        <n v="27.08"/>
        <n v="65.849999999999994"/>
        <n v="50.71"/>
        <n v="19.02"/>
        <n v="193.87"/>
        <n v="1434.51"/>
        <n v="8549.0400000000009"/>
        <n v="2239.0300000000002"/>
        <n v="22.13"/>
        <n v="34.17"/>
        <n v="94.3"/>
        <n v="178.68"/>
        <n v="79.39"/>
        <n v="199.53"/>
        <n v="37.049999999999997"/>
        <n v="68.88"/>
        <n v="549.85"/>
        <n v="48.99"/>
        <n v="681.42"/>
        <n v="66.650000000000006"/>
        <n v="2934.16"/>
        <n v="876.88"/>
        <n v="157.33000000000001"/>
        <n v="27.37"/>
        <n v="98.16"/>
        <n v="116.11"/>
        <n v="95"/>
        <n v="837.57"/>
        <n v="56.22"/>
        <n v="758.97"/>
        <n v="84.44"/>
        <n v="29.99"/>
        <n v="1487.9"/>
        <n v="600.4"/>
        <n v="34.25"/>
        <n v="31.45"/>
        <n v="249.07"/>
        <n v="59.22"/>
        <n v="5572.18"/>
        <n v="2941.42"/>
        <n v="522.46"/>
        <n v="513.33000000000004"/>
        <n v="15.7"/>
        <n v="680.65"/>
        <n v="28.34"/>
        <n v="861.3"/>
        <n v="894.64"/>
        <n v="710.36"/>
        <n v="80.2"/>
        <n v="9252.81"/>
        <n v="207.31"/>
        <n v="143.12"/>
        <n v="59.98"/>
        <n v="135.78"/>
        <n v="506.5"/>
      </sharedItems>
    </cacheField>
    <cacheField name="Order ID" numFmtId="0">
      <sharedItems containsSemiMixedTypes="0" containsString="0" containsNumber="1" containsInteger="1" minValue="359" maxValue="91586"/>
    </cacheField>
    <cacheField name="Revenue" numFmtId="0">
      <sharedItems containsSemiMixedTypes="0" containsString="0" containsNumber="1" minValue="2.25" maxValue="4607120.84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rtik chandra pathak" refreshedDate="46027.706359490738" createdVersion="5" refreshedVersion="5" minRefreshableVersion="3" recordCount="1952">
  <cacheSource type="worksheet">
    <worksheetSource ref="A1:Z1953" sheet="SuperStoreUS-2015(Orders)"/>
  </cacheSource>
  <cacheFields count="26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164">
      <sharedItems containsSemiMixedTypes="0" containsString="0" containsNumber="1" minValue="0" maxValue="0.21"/>
    </cacheField>
    <cacheField name="Unit Price" numFmtId="164">
      <sharedItems containsSemiMixedTypes="0" containsString="0" containsNumber="1" minValue="1.1399999999999999" maxValue="6783.02"/>
    </cacheField>
    <cacheField name="Shipping Cost" numFmtId="164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Pens &amp; Art Supplies"/>
        <s v="Chairs &amp; Chairmats"/>
        <s v="Office Furnishings"/>
        <s v="Rubber Bands"/>
        <s v="Envelopes"/>
        <s v="Telephones and Communication"/>
        <s v="Office Machines"/>
        <s v="Paper"/>
        <s v="Binders and Binder Accessories"/>
        <s v="Labels"/>
        <s v="Storage &amp; Organization"/>
        <s v="Tables"/>
        <s v="Scissors, Rulers and Trimmers"/>
        <s v="Computer Peripherals"/>
        <s v="Bookcases"/>
        <s v="Appliances"/>
        <s v="Copiers and Fax"/>
      </sharedItems>
    </cacheField>
    <cacheField name="Product Container" numFmtId="0">
      <sharedItems/>
    </cacheField>
    <cacheField name="Product Name" numFmtId="0">
      <sharedItems containsMixedTypes="1" containsNumber="1" containsInteger="1" minValue="232" maxValue="8890"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 count="4">
        <s v="West"/>
        <s v="East"/>
        <s v="Central"/>
        <s v="South"/>
      </sharedItems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 count="179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</sharedItems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164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164">
      <sharedItems containsSemiMixedTypes="0" containsString="0" containsNumber="1" minValue="2.25" maxValue="45737.33" count="1922">
        <n v="13.01"/>
        <n v="6362.85"/>
        <n v="211.15"/>
        <n v="1164.45"/>
        <n v="22.23"/>
        <n v="13.99"/>
        <n v="14.26"/>
        <n v="33.47"/>
        <n v="379.53"/>
        <n v="18.8"/>
        <n v="945.99"/>
        <n v="455.77"/>
        <n v="231.79"/>
        <n v="1876.69"/>
        <n v="293.06"/>
        <n v="914.29"/>
        <n v="67.489999999999995"/>
        <n v="2.25"/>
        <n v="54.78"/>
        <n v="424.68"/>
        <n v="40.17"/>
        <n v="783.55"/>
        <n v="3838.14"/>
        <n v="58.68"/>
        <n v="53.1"/>
        <n v="647.07000000000005"/>
        <n v="627.04"/>
        <n v="3267.55"/>
        <n v="110.19"/>
        <n v="73.55"/>
        <n v="29.57"/>
        <n v="22.85"/>
        <n v="506.39"/>
        <n v="4"/>
        <n v="589.79999999999995"/>
        <n v="1225.5999999999999"/>
        <n v="1239.06"/>
        <n v="4083.19"/>
        <n v="4902.38"/>
        <n v="5718.85"/>
        <n v="1400.53"/>
        <n v="1821.89"/>
        <n v="90.98"/>
        <n v="10728"/>
        <n v="3127.69"/>
        <n v="41.82"/>
        <n v="2875.72"/>
        <n v="170.8"/>
        <n v="53.54"/>
        <n v="3363.53"/>
        <n v="132.08000000000001"/>
        <n v="45.34"/>
        <n v="216.04"/>
        <n v="6276.34"/>
        <n v="2664.4"/>
        <n v="1526.68"/>
        <n v="1952.56"/>
        <n v="303.58999999999997"/>
        <n v="9459.94"/>
        <n v="1233.32"/>
        <n v="47.31"/>
        <n v="2441.27"/>
        <n v="11.13"/>
        <n v="29.5"/>
        <n v="58.33"/>
        <n v="20.420000000000002"/>
        <n v="26.07"/>
        <n v="122.23"/>
        <n v="228.46"/>
        <n v="77.61"/>
        <n v="99.94"/>
        <n v="59.85"/>
        <n v="1708.73"/>
        <n v="94.97"/>
        <n v="10.23"/>
        <n v="217.23"/>
        <n v="101.74"/>
        <n v="84.52"/>
        <n v="312.58999999999997"/>
        <n v="64.400000000000006"/>
        <n v="14.65"/>
        <n v="453.62"/>
        <n v="193.59"/>
        <n v="929.57"/>
        <n v="62.46"/>
        <n v="28.11"/>
        <n v="5.5"/>
        <n v="667.84"/>
        <n v="292.23"/>
        <n v="772.56"/>
        <n v="1050.08"/>
        <n v="33.82"/>
        <n v="715.55"/>
        <n v="45.63"/>
        <n v="1839.91"/>
        <n v="130.62"/>
        <n v="6945.16"/>
        <n v="30.94"/>
        <n v="3.42"/>
        <n v="901.81"/>
        <n v="186.59"/>
        <n v="250.5"/>
        <n v="221.24"/>
        <n v="46.65"/>
        <n v="164.71"/>
        <n v="79.680000000000007"/>
        <n v="53.26"/>
        <n v="203.49"/>
        <n v="2356.0100000000002"/>
        <n v="224.12"/>
        <n v="140.30000000000001"/>
        <n v="28.2"/>
        <n v="71.55"/>
        <n v="3108.98"/>
        <n v="12599.55"/>
        <n v="34.65"/>
        <n v="85.79"/>
        <n v="17.61"/>
        <n v="27.3"/>
        <n v="64.75"/>
        <n v="62.98"/>
        <n v="21.2"/>
        <n v="173.32"/>
        <n v="42.29"/>
        <n v="730.37"/>
        <n v="450.49"/>
        <n v="58.8"/>
        <n v="120.47"/>
        <n v="1599.96"/>
        <n v="197.59"/>
        <n v="33.04"/>
        <n v="27.45"/>
        <n v="4775.1099999999997"/>
        <n v="57.41"/>
        <n v="2809.87"/>
        <n v="79.930000000000007"/>
        <n v="873.18"/>
        <n v="798.69"/>
        <n v="792.11"/>
        <n v="28.73"/>
        <n v="109.74"/>
        <n v="1543.55"/>
        <n v="1332.82"/>
        <n v="34.64"/>
        <n v="52.47"/>
        <n v="26.38"/>
        <n v="304.33999999999997"/>
        <n v="1300.81"/>
        <n v="67.86"/>
        <n v="747.28"/>
        <n v="18.670000000000002"/>
        <n v="210.77"/>
        <n v="209.12"/>
        <n v="1287.17"/>
        <n v="46.17"/>
        <n v="899.81"/>
        <n v="68.459999999999994"/>
        <n v="885.23"/>
        <n v="836.47"/>
        <n v="189.83"/>
        <n v="61.52"/>
        <n v="8.3000000000000007"/>
        <n v="416.95"/>
        <n v="18.71"/>
        <n v="40.950000000000003"/>
        <n v="1155.73"/>
        <n v="192.3"/>
        <n v="748.1"/>
        <n v="102.54"/>
        <n v="70.16"/>
        <n v="1240.57"/>
        <n v="280.62"/>
        <n v="3206.94"/>
        <n v="43.08"/>
        <n v="66.55"/>
        <n v="103.49"/>
        <n v="192.18"/>
        <n v="89.76"/>
        <n v="28.46"/>
        <n v="1170.21"/>
        <n v="243.32"/>
        <n v="3825.32"/>
        <n v="8.5299999999999994"/>
        <n v="40.299999999999997"/>
        <n v="111.88"/>
        <n v="73.97"/>
        <n v="111.86"/>
        <n v="18.489999999999998"/>
        <n v="212.89"/>
        <n v="5555.6"/>
        <n v="55.54"/>
        <n v="1440.34"/>
        <n v="84.76"/>
        <n v="104.84"/>
        <n v="1714.93"/>
        <n v="107.95"/>
        <n v="1967.98"/>
        <n v="394.1"/>
        <n v="266.39"/>
        <n v="51.82"/>
        <n v="9539.6"/>
        <n v="109.86"/>
        <n v="1426.51"/>
        <n v="2331.9"/>
        <n v="27.47"/>
        <n v="460.87"/>
        <n v="394.51"/>
        <n v="38.65"/>
        <n v="279.83"/>
        <n v="126.9"/>
        <n v="22.82"/>
        <n v="188.66"/>
        <n v="1845.23"/>
        <n v="37.159999999999997"/>
        <n v="43.65"/>
        <n v="31.44"/>
        <n v="64.59"/>
        <n v="461.94"/>
        <n v="1216.32"/>
        <n v="1989.32"/>
        <n v="72.760000000000005"/>
        <n v="400.47"/>
        <n v="1531.31"/>
        <n v="919.09"/>
        <n v="236.46"/>
        <n v="73.819999999999993"/>
        <n v="243.11"/>
        <n v="952.26"/>
        <n v="355.92"/>
        <n v="101.71"/>
        <n v="1766.68"/>
        <n v="29.02"/>
        <n v="159.51"/>
        <n v="1838.85"/>
        <n v="35.479999999999997"/>
        <n v="434.31"/>
        <n v="19.86"/>
        <n v="23.26"/>
        <n v="51.83"/>
        <n v="32.4"/>
        <n v="492.9"/>
        <n v="1081.54"/>
        <n v="1132.8399999999999"/>
        <n v="143.63"/>
        <n v="73.040000000000006"/>
        <n v="33.35"/>
        <n v="60.24"/>
        <n v="718.03"/>
        <n v="179.51"/>
        <n v="73.180000000000007"/>
        <n v="8.82"/>
        <n v="5976.09"/>
        <n v="8.77"/>
        <n v="20.87"/>
        <n v="25.7"/>
        <n v="229.57"/>
        <n v="66.7"/>
        <n v="217"/>
        <n v="31670.6"/>
        <n v="239.82"/>
        <n v="66.709999999999994"/>
        <n v="87.16"/>
        <n v="101.26"/>
        <n v="17.399999999999999"/>
        <n v="52.93"/>
        <n v="8637.44"/>
        <n v="59.95"/>
        <n v="5062.49"/>
        <n v="646.97"/>
        <n v="946.29"/>
        <n v="123"/>
        <n v="554.08000000000004"/>
        <n v="152.54"/>
        <n v="89.79"/>
        <n v="199.76"/>
        <n v="480.37"/>
        <n v="5.76"/>
        <n v="3112.13"/>
        <n v="2589.0100000000002"/>
        <n v="1893.93"/>
        <n v="211.13"/>
        <n v="25.39"/>
        <n v="87.27"/>
        <n v="403.25"/>
        <n v="414.49"/>
        <n v="469.69"/>
        <n v="8585.67"/>
        <n v="57.37"/>
        <n v="66.319999999999993"/>
        <n v="18.75"/>
        <n v="188.51"/>
        <n v="6720.88"/>
        <n v="102.21"/>
        <n v="31.18"/>
        <n v="267.52999999999997"/>
        <n v="43046.2"/>
        <n v="330.21"/>
        <n v="6831.37"/>
        <n v="10331.09"/>
        <n v="83.86"/>
        <n v="1707.84"/>
        <n v="66.88"/>
        <n v="274.91000000000003"/>
        <n v="1128.74"/>
        <n v="805.99"/>
        <n v="1066.54"/>
        <n v="65.739999999999995"/>
        <n v="5.84"/>
        <n v="405.57"/>
        <n v="32.6"/>
        <n v="515.88"/>
        <n v="25.06"/>
        <n v="578.24"/>
        <n v="116.93"/>
        <n v="170.45"/>
        <n v="285.87"/>
        <n v="20.37"/>
        <n v="17.440000000000001"/>
        <n v="702.68"/>
        <n v="67.239999999999995"/>
        <n v="24.27"/>
        <n v="38.53"/>
        <n v="4910.72"/>
        <n v="116.8"/>
        <n v="32.39"/>
        <n v="227.79"/>
        <n v="5679.59"/>
        <n v="102.32"/>
        <n v="1494.63"/>
        <n v="46.23"/>
        <n v="279.27999999999997"/>
        <n v="70.06"/>
        <n v="81.819999999999993"/>
        <n v="13.16"/>
        <n v="205.98"/>
        <n v="31.46"/>
        <n v="948.97"/>
        <n v="136.99"/>
        <n v="99.36"/>
        <n v="9580"/>
        <n v="28.32"/>
        <n v="2309.4899999999998"/>
        <n v="1232.01"/>
        <n v="506.38"/>
        <n v="1042.72"/>
        <n v="1769.91"/>
        <n v="6686.34"/>
        <n v="4620.05"/>
        <n v="1912.98"/>
        <n v="4170.87"/>
        <n v="818.81"/>
        <n v="34.11"/>
        <n v="154.71"/>
        <n v="192.33"/>
        <n v="6901.25"/>
        <n v="148.94"/>
        <n v="200.68"/>
        <n v="29.92"/>
        <n v="19.73"/>
        <n v="615.54"/>
        <n v="261.33999999999997"/>
        <n v="202.41"/>
        <n v="793.39"/>
        <n v="54.04"/>
        <n v="832.14"/>
        <n v="221.06"/>
        <n v="58.67"/>
        <n v="101.06"/>
        <n v="1429.81"/>
        <n v="34.97"/>
        <n v="308.86"/>
        <n v="485.01"/>
        <n v="81.14"/>
        <n v="10.11"/>
        <n v="6621.17"/>
        <n v="253.78"/>
        <n v="69.959999999999994"/>
        <n v="2716.09"/>
        <n v="21.34"/>
        <n v="17.420000000000002"/>
        <n v="49.81"/>
        <n v="3722.41"/>
        <n v="95.1"/>
        <n v="734.74"/>
        <n v="1882.87"/>
        <n v="8834.58"/>
        <n v="78.540000000000006"/>
        <n v="605.1"/>
        <n v="355.84"/>
        <n v="1346.32"/>
        <n v="292.18"/>
        <n v="322.02999999999997"/>
        <n v="2470.84"/>
        <n v="5250.66"/>
        <n v="1423.35"/>
        <n v="1154.1199999999999"/>
        <n v="32.5"/>
        <n v="193.95"/>
        <n v="158.80000000000001"/>
        <n v="274.26"/>
        <n v="83.16"/>
        <n v="261.93"/>
        <n v="210.1"/>
        <n v="6499.87"/>
        <n v="351.56"/>
        <n v="87.89"/>
        <n v="6.5"/>
        <n v="68.56"/>
        <n v="20.79"/>
        <n v="67.91"/>
        <n v="40.369999999999997"/>
        <n v="122.25"/>
        <n v="206.09"/>
        <n v="66.900000000000006"/>
        <n v="43.13"/>
        <n v="11.21"/>
        <n v="100.38"/>
        <n v="1178.32"/>
        <n v="2016.32"/>
        <n v="612.25"/>
        <n v="313.63"/>
        <n v="397.17"/>
        <n v="63.48"/>
        <n v="47.64"/>
        <n v="1545.58"/>
        <n v="2104.9899999999998"/>
        <n v="353.1"/>
        <n v="257.52"/>
        <n v="411.64"/>
        <n v="17.59"/>
        <n v="141.54"/>
        <n v="905.4"/>
        <n v="243.86"/>
        <n v="39.97"/>
        <n v="92.96"/>
        <n v="1362.2"/>
        <n v="336.64"/>
        <n v="429.33"/>
        <n v="44.66"/>
        <n v="1619.95"/>
        <n v="56.44"/>
        <n v="56.73"/>
        <n v="64.41"/>
        <n v="344.57"/>
        <n v="279.01"/>
        <n v="614.99"/>
        <n v="76.23"/>
        <n v="99.92"/>
        <n v="79.400000000000006"/>
        <n v="15.49"/>
        <n v="18.59"/>
        <n v="834.08"/>
        <n v="50.88"/>
        <n v="958.46"/>
        <n v="368.84"/>
        <n v="30.86"/>
        <n v="568.25"/>
        <n v="126.66"/>
        <n v="93.82"/>
        <n v="8332.91"/>
        <n v="5.9"/>
        <n v="80.23"/>
        <n v="2044.9"/>
        <n v="53.3"/>
        <n v="21.93"/>
        <n v="89.91"/>
        <n v="138.51"/>
        <n v="41.96"/>
        <n v="300.63"/>
        <n v="240.46"/>
        <n v="74.08"/>
        <n v="5.28"/>
        <n v="50.83"/>
        <n v="39.26"/>
        <n v="606.51"/>
        <n v="64.89"/>
        <n v="267.2"/>
        <n v="86.79"/>
        <n v="292.37"/>
        <n v="682.79"/>
        <n v="125.77"/>
        <n v="3918.98"/>
        <n v="31.24"/>
        <n v="74.77"/>
        <n v="127.81"/>
        <n v="78.59"/>
        <n v="497.11"/>
        <n v="27.02"/>
        <n v="27.67"/>
        <n v="1033.56"/>
        <n v="19.97"/>
        <n v="660.03"/>
        <n v="199.12"/>
        <n v="63.14"/>
        <n v="44.85"/>
        <n v="49.78"/>
        <n v="16.62"/>
        <n v="517.67999999999995"/>
        <n v="573.30999999999995"/>
        <n v="140.22999999999999"/>
        <n v="594.44000000000005"/>
        <n v="228.5"/>
        <n v="191.1"/>
        <n v="28.05"/>
        <n v="151.77000000000001"/>
        <n v="57.13"/>
        <n v="116.92"/>
        <n v="151.6"/>
        <n v="31.73"/>
        <n v="85.26"/>
        <n v="16.600000000000001"/>
        <n v="2285.41"/>
        <n v="513.52"/>
        <n v="346.52"/>
        <n v="499.31"/>
        <n v="73.099999999999994"/>
        <n v="2115.06"/>
        <n v="47.95"/>
        <n v="134.38"/>
        <n v="76.77"/>
        <n v="782"/>
        <n v="15.73"/>
        <n v="1719.07"/>
        <n v="8.41"/>
        <n v="104.95"/>
        <n v="166.59"/>
        <n v="396.19"/>
        <n v="98.7"/>
        <n v="1782.44"/>
        <n v="72.11"/>
        <n v="124.81"/>
        <n v="881.32"/>
        <n v="41.6"/>
        <n v="1497.22"/>
        <n v="244.81"/>
        <n v="4.55"/>
        <n v="27.63"/>
        <n v="31.21"/>
        <n v="1214.03"/>
        <n v="3.51"/>
        <n v="120.12"/>
        <n v="7.01"/>
        <n v="1452.18"/>
        <n v="619.38"/>
        <n v="18.690000000000001"/>
        <n v="8.8000000000000007"/>
        <n v="477.2"/>
        <n v="2848.38"/>
        <n v="38.58"/>
        <n v="810.47"/>
        <n v="72.83"/>
        <n v="63.66"/>
        <n v="127.22"/>
        <n v="432.44"/>
        <n v="12.18"/>
        <n v="950.43"/>
        <n v="25.37"/>
        <n v="6963.67"/>
        <n v="160.16999999999999"/>
        <n v="7.47"/>
        <n v="370.81"/>
        <n v="119.99"/>
        <n v="650.70000000000005"/>
        <n v="11.41"/>
        <n v="680.39"/>
        <n v="75.52"/>
        <n v="2354.54"/>
        <n v="79.06"/>
        <n v="65.14"/>
        <n v="640.71"/>
        <n v="659.6"/>
        <n v="1137.5999999999999"/>
        <n v="151.55000000000001"/>
        <n v="57.03"/>
        <n v="347.23"/>
        <n v="478.23"/>
        <n v="1670.33"/>
        <n v="100.59"/>
        <n v="598.38"/>
        <n v="39.36"/>
        <n v="322.77"/>
        <n v="65.09"/>
        <n v="98.96"/>
        <n v="13546.94"/>
        <n v="6401.65"/>
        <n v="617.4"/>
        <n v="157.78"/>
        <n v="26.31"/>
        <n v="209.78"/>
        <n v="17.829999999999998"/>
        <n v="2527.79"/>
        <n v="121.87"/>
        <n v="659.42"/>
        <n v="403.53"/>
        <n v="55.17"/>
        <n v="377.44"/>
        <n v="286.39999999999998"/>
        <n v="664.34"/>
        <n v="473.53"/>
        <n v="220.92"/>
        <n v="196.41"/>
        <n v="54.08"/>
        <n v="47.18"/>
        <n v="30.87"/>
        <n v="309.05"/>
        <n v="299.3"/>
        <n v="45.24"/>
        <n v="51.02"/>
        <n v="2291.39"/>
        <n v="9492.92"/>
        <n v="318.47000000000003"/>
        <n v="586.96"/>
        <n v="11272.77"/>
        <n v="144.33000000000001"/>
        <n v="270.55"/>
        <n v="79.62"/>
        <n v="479.79"/>
        <n v="108.99"/>
        <n v="3527.82"/>
        <n v="4698.21"/>
        <n v="258.93"/>
        <n v="277.60000000000002"/>
        <n v="168.04"/>
        <n v="703.46"/>
        <n v="103.61"/>
        <n v="3144.56"/>
        <n v="2653.02"/>
        <n v="66.81"/>
        <n v="90.52"/>
        <n v="55.97"/>
        <n v="311.66000000000003"/>
        <n v="9862.51"/>
        <n v="177.41"/>
        <n v="406.91"/>
        <n v="1332.09"/>
        <n v="105.5"/>
        <n v="101.73"/>
        <n v="37.700000000000003"/>
        <n v="75.81"/>
        <n v="2630"/>
        <n v="333.02"/>
        <n v="27.76"/>
        <n v="3855.28"/>
        <n v="192.49"/>
        <n v="2560.5500000000002"/>
        <n v="227.67"/>
        <n v="8.83"/>
        <n v="34.409999999999997"/>
        <n v="157.27000000000001"/>
        <n v="1013.84"/>
        <n v="110.75"/>
        <n v="181.46"/>
        <n v="1076.3"/>
        <n v="21.46"/>
        <n v="3506.78"/>
        <n v="267.69"/>
        <n v="2307.2600000000002"/>
        <n v="39.15"/>
        <n v="266.95"/>
        <n v="20552.55"/>
        <n v="87.8"/>
        <n v="3741.39"/>
        <n v="149.32"/>
        <n v="177.01"/>
        <n v="35.159999999999997"/>
        <n v="88.84"/>
        <n v="696.96"/>
        <n v="149.41"/>
        <n v="4556.63"/>
        <n v="2948.61"/>
        <n v="517.85"/>
        <n v="2373.3200000000002"/>
        <n v="325.73"/>
        <n v="127.94"/>
        <n v="1350.94"/>
        <n v="75.17"/>
        <n v="1125.76"/>
        <n v="746.03"/>
        <n v="593.33000000000004"/>
        <n v="13.05"/>
        <n v="58.95"/>
        <n v="3672.89"/>
        <n v="374.81"/>
        <n v="43.27"/>
        <n v="11.74"/>
        <n v="5258.94"/>
        <n v="66.739999999999995"/>
        <n v="1282.67"/>
        <n v="208.83"/>
        <n v="228.3"/>
        <n v="129.53"/>
        <n v="55.68"/>
        <n v="568.24"/>
        <n v="162.91"/>
        <n v="97.65"/>
        <n v="1018.61"/>
        <n v="1145.5999999999999"/>
        <n v="24.52"/>
        <n v="5775.81"/>
        <n v="1878.24"/>
        <n v="1634.67"/>
        <n v="9280.7199999999993"/>
        <n v="1348.83"/>
        <n v="564.98"/>
        <n v="129.47999999999999"/>
        <n v="8216.2800000000007"/>
        <n v="152.11000000000001"/>
        <n v="35.97"/>
        <n v="85.64"/>
        <n v="2508.15"/>
        <n v="225.62"/>
        <n v="610.65"/>
        <n v="699.24"/>
        <n v="2346.0300000000002"/>
        <n v="33.770000000000003"/>
        <n v="172.79"/>
        <n v="19.66"/>
        <n v="604.35"/>
        <n v="3.13"/>
        <n v="378.23"/>
        <n v="7.15"/>
        <n v="29.85"/>
        <n v="366.44"/>
        <n v="69.75"/>
        <n v="852.53"/>
        <n v="219.66"/>
        <n v="81.900000000000006"/>
        <n v="2343.34"/>
        <n v="327.61"/>
        <n v="1774.5"/>
        <n v="1054.69"/>
        <n v="6654.39"/>
        <n v="4429.6899999999996"/>
        <n v="878.34"/>
        <n v="676.57"/>
        <n v="459.55"/>
        <n v="536.9"/>
        <n v="8.74"/>
        <n v="182.33"/>
        <n v="131.26"/>
        <n v="240.6"/>
        <n v="236.88"/>
        <n v="2710.47"/>
        <n v="8354.73"/>
        <n v="48.3"/>
        <n v="58.81"/>
        <n v="47.38"/>
        <n v="637.76"/>
        <n v="2156.06"/>
        <n v="761.16"/>
        <n v="682.68"/>
        <n v="73.44"/>
        <n v="2997.07"/>
        <n v="282.85000000000002"/>
        <n v="20.03"/>
        <n v="84.56"/>
        <n v="70.709999999999994"/>
        <n v="51.86"/>
        <n v="56.24"/>
        <n v="627.78"/>
        <n v="283.44"/>
        <n v="10.039999999999999"/>
        <n v="981.65"/>
        <n v="1748.69"/>
        <n v="119.29"/>
        <n v="3.08"/>
        <n v="69.459999999999994"/>
        <n v="1145.72"/>
        <n v="26.37"/>
        <n v="53.44"/>
        <n v="57.34"/>
        <n v="79.02"/>
        <n v="25.45"/>
        <n v="110.72"/>
        <n v="46.94"/>
        <n v="26.18"/>
        <n v="28.66"/>
        <n v="123.18"/>
        <n v="1533.59"/>
        <n v="2.77"/>
        <n v="31.55"/>
        <n v="42.58"/>
        <n v="145.36000000000001"/>
        <n v="3616.52"/>
        <n v="7.96"/>
        <n v="389.59"/>
        <n v="447.89"/>
        <n v="1420.84"/>
        <n v="111.97"/>
        <n v="355.21"/>
        <n v="536.23"/>
        <n v="38.81"/>
        <n v="2144.92"/>
        <n v="484.56"/>
        <n v="471.21"/>
        <n v="182.61"/>
        <n v="36.58"/>
        <n v="2376.12"/>
        <n v="1020.08"/>
        <n v="65.2"/>
        <n v="22.59"/>
        <n v="121.36"/>
        <n v="2013.67"/>
        <n v="1824.33"/>
        <n v="107.65"/>
        <n v="165.21"/>
        <n v="25.15"/>
        <n v="4285.5600000000004"/>
        <n v="631.37"/>
        <n v="267.83"/>
        <n v="2767.95"/>
        <n v="123.03"/>
        <n v="431.84"/>
        <n v="2366.5100000000002"/>
        <n v="291.64"/>
        <n v="252.36"/>
        <n v="575.07000000000005"/>
        <n v="1781.66"/>
        <n v="940.64"/>
        <n v="439.27"/>
        <n v="4410.1899999999996"/>
        <n v="552.89"/>
        <n v="621.55999999999995"/>
        <n v="88.83"/>
        <n v="307.64999999999998"/>
        <n v="76.91"/>
        <n v="151.34"/>
        <n v="290.24"/>
        <n v="971.4"/>
        <n v="193.51"/>
        <n v="157.81"/>
        <n v="19.440000000000001"/>
        <n v="4636.63"/>
        <n v="739.07"/>
        <n v="157.63999999999999"/>
        <n v="42.16"/>
        <n v="14.08"/>
        <n v="256.73"/>
        <n v="58.83"/>
        <n v="1557.66"/>
        <n v="129.43"/>
        <n v="61.39"/>
        <n v="2435.52"/>
        <n v="464.86"/>
        <n v="288.67"/>
        <n v="1030.51"/>
        <n v="2026.91"/>
        <n v="115.53"/>
        <n v="162.38999999999999"/>
        <n v="1316.03"/>
        <n v="1395.41"/>
        <n v="4920.8100000000004"/>
        <n v="28.22"/>
        <n v="74.010000000000005"/>
        <n v="48.1"/>
        <n v="11015.82"/>
        <n v="300.67"/>
        <n v="723.54"/>
        <n v="87.53"/>
        <n v="172.22"/>
        <n v="894.88"/>
        <n v="16.670000000000002"/>
        <n v="195.16"/>
        <n v="879.62"/>
        <n v="361.19"/>
        <n v="1088.26"/>
        <n v="105.75"/>
        <n v="63.93"/>
        <n v="391.4"/>
        <n v="14.53"/>
        <n v="144.03"/>
        <n v="48.81"/>
        <n v="7360.2"/>
        <n v="89.06"/>
        <n v="134.97"/>
        <n v="19.12"/>
        <n v="186.64"/>
        <n v="3.53"/>
        <n v="706.56"/>
        <n v="13121.07"/>
        <n v="110.93"/>
        <n v="118.35"/>
        <n v="17.309999999999999"/>
        <n v="23.56"/>
        <n v="494.49"/>
        <n v="158.13"/>
        <n v="163.01"/>
        <n v="333.04"/>
        <n v="472.44"/>
        <n v="18.73"/>
        <n v="2427.1799999999998"/>
        <n v="434.85"/>
        <n v="19.16"/>
        <n v="1959.88"/>
        <n v="710.16"/>
        <n v="48.25"/>
        <n v="243.24"/>
        <n v="38.54"/>
        <n v="1483.16"/>
        <n v="562.92999999999995"/>
        <n v="29.18"/>
        <n v="1634.13"/>
        <n v="214.14"/>
        <n v="100.79"/>
        <n v="735.7"/>
        <n v="225.59"/>
        <n v="145.12"/>
        <n v="94.27"/>
        <n v="82.21"/>
        <n v="417.47"/>
        <n v="1104.32"/>
        <n v="149.80000000000001"/>
        <n v="6.97"/>
        <n v="367.52"/>
        <n v="1576.35"/>
        <n v="52.16"/>
        <n v="4881.84"/>
        <n v="926.3"/>
        <n v="942.53"/>
        <n v="276.64"/>
        <n v="514.62"/>
        <n v="817.32"/>
        <n v="284.48"/>
        <n v="225.98"/>
        <n v="72.77"/>
        <n v="57.7"/>
        <n v="19.670000000000002"/>
        <n v="514.79"/>
        <n v="893.53"/>
        <n v="2053.6"/>
        <n v="37.89"/>
        <n v="343.79"/>
        <n v="188.09"/>
        <n v="129.54"/>
        <n v="49.44"/>
        <n v="14.29"/>
        <n v="45.28"/>
        <n v="13.57"/>
        <n v="55.48"/>
        <n v="5319.35"/>
        <n v="30.44"/>
        <n v="3251.76"/>
        <n v="22.48"/>
        <n v="267.32"/>
        <n v="284.39"/>
        <n v="974.14"/>
        <n v="128.13"/>
        <n v="464.94"/>
        <n v="2188.06"/>
        <n v="320.93"/>
        <n v="261.85000000000002"/>
        <n v="1834.61"/>
        <n v="261.56"/>
        <n v="114.81"/>
        <n v="546.21"/>
        <n v="272.86"/>
        <n v="2119.54"/>
        <n v="45737.33"/>
        <n v="438.25"/>
        <n v="561.05999999999995"/>
        <n v="11434.33"/>
        <n v="3229.24"/>
        <n v="101.13"/>
        <n v="451.83"/>
        <n v="20.239999999999998"/>
        <n v="1486.34"/>
        <n v="406.26"/>
        <n v="5835.41"/>
        <n v="52.1"/>
        <n v="45.87"/>
        <n v="256.77"/>
        <n v="605.82000000000005"/>
        <n v="1569"/>
        <n v="151.46"/>
        <n v="10.19"/>
        <n v="64.19"/>
        <n v="118.57"/>
        <n v="79.47"/>
        <n v="627.28"/>
        <n v="1160.42"/>
        <n v="103.37"/>
        <n v="40.22"/>
        <n v="52.43"/>
        <n v="818.49"/>
        <n v="410.17"/>
        <n v="269.54000000000002"/>
        <n v="106.57"/>
        <n v="38.409999999999997"/>
        <n v="131.34"/>
        <n v="251.61"/>
        <n v="287.99"/>
        <n v="46.86"/>
        <n v="658.62"/>
        <n v="21.96"/>
        <n v="24.57"/>
        <n v="1008.53"/>
        <n v="6968.9"/>
        <n v="41.29"/>
        <n v="88.64"/>
        <n v="1300.54"/>
        <n v="38.06"/>
        <n v="1263.3499999999999"/>
        <n v="202.38"/>
        <n v="56.38"/>
        <n v="119.13"/>
        <n v="809.51"/>
        <n v="643.64"/>
        <n v="244.31"/>
        <n v="466.58"/>
        <n v="2290.69"/>
        <n v="337.59"/>
        <n v="10.65"/>
        <n v="55.13"/>
        <n v="215.32"/>
        <n v="382.85"/>
        <n v="44.8"/>
        <n v="100.99"/>
        <n v="142.06"/>
        <n v="58.52"/>
        <n v="363.74"/>
        <n v="15.93"/>
        <n v="21.28"/>
        <n v="675.83"/>
        <n v="28"/>
        <n v="535.08000000000004"/>
        <n v="222.71"/>
        <n v="220.52"/>
        <n v="68.34"/>
        <n v="522.22"/>
        <n v="28.01"/>
        <n v="80.349999999999994"/>
        <n v="99.69"/>
        <n v="152.49"/>
        <n v="320.75"/>
        <n v="11.35"/>
        <n v="7029.1"/>
        <n v="1059.3800000000001"/>
        <n v="2233.46"/>
        <n v="928.92"/>
        <n v="3845.35"/>
        <n v="3.77"/>
        <n v="343.54"/>
        <n v="3627.08"/>
        <n v="8.34"/>
        <n v="63.32"/>
        <n v="83.72"/>
        <n v="1011.44"/>
        <n v="132.22999999999999"/>
        <n v="210.33"/>
        <n v="882.93"/>
        <n v="1757.15"/>
        <n v="1786.04"/>
        <n v="34.76"/>
        <n v="561.65"/>
        <n v="413.73"/>
        <n v="55.6"/>
        <n v="2099.61"/>
        <n v="96.6"/>
        <n v="558.16999999999996"/>
        <n v="8.39"/>
        <n v="559.42999999999995"/>
        <n v="1216.52"/>
        <n v="1058.3599999999999"/>
        <n v="18.309999999999999"/>
        <n v="4935.22"/>
        <n v="51.03"/>
        <n v="746.91"/>
        <n v="77.47"/>
        <n v="204.34"/>
        <n v="206.04"/>
        <n v="475.42"/>
        <n v="3598.82"/>
        <n v="41.22"/>
        <n v="875.39"/>
        <n v="8.24"/>
        <n v="641.11"/>
        <n v="2130.04"/>
        <n v="82.8"/>
        <n v="99.02"/>
        <n v="46.4"/>
        <n v="551.51"/>
        <n v="142.79"/>
        <n v="585.08000000000004"/>
        <n v="72.75"/>
        <n v="269.33"/>
        <n v="377"/>
        <n v="42.99"/>
        <n v="65.69"/>
        <n v="2748.21"/>
        <n v="93.19"/>
        <n v="363.37"/>
        <n v="480.75"/>
        <n v="16.88"/>
        <n v="925.19"/>
        <n v="408.66"/>
        <n v="122.93"/>
        <n v="32.659999999999997"/>
        <n v="14.85"/>
        <n v="45"/>
        <n v="6569.07"/>
        <n v="88.22"/>
        <n v="40.29"/>
        <n v="151.27000000000001"/>
        <n v="10.51"/>
        <n v="74.930000000000007"/>
        <n v="1370.99"/>
        <n v="1913.84"/>
        <n v="2692.12"/>
        <n v="762.38"/>
        <n v="36.72"/>
        <n v="305.70999999999998"/>
        <n v="277.12"/>
        <n v="100.11"/>
        <n v="31.54"/>
        <n v="4634.6899999999996"/>
        <n v="7304.03"/>
        <n v="632.65"/>
        <n v="290.98"/>
        <n v="21.77"/>
        <n v="384.22"/>
        <n v="31.64"/>
        <n v="565.36"/>
        <n v="32.76"/>
        <n v="336.92"/>
        <n v="114.91"/>
        <n v="934.52"/>
        <n v="260.66000000000003"/>
        <n v="4249.37"/>
        <n v="6676.61"/>
        <n v="291.39999999999998"/>
        <n v="146.5"/>
        <n v="38.979999999999997"/>
        <n v="34.159999999999997"/>
        <n v="120.34"/>
        <n v="153.61000000000001"/>
        <n v="1414.88"/>
        <n v="33.630000000000003"/>
        <n v="1063.81"/>
        <n v="242.7"/>
        <n v="3377.06"/>
        <n v="123.93"/>
        <n v="93.96"/>
        <n v="1818.41"/>
        <n v="8.9499999999999993"/>
        <n v="652.84"/>
        <n v="12750.99"/>
        <n v="20.54"/>
        <n v="7840.04"/>
        <n v="1094.33"/>
        <n v="389.97"/>
        <n v="84.59"/>
        <n v="9666.7199999999993"/>
        <n v="134.58000000000001"/>
        <n v="33.65"/>
        <n v="66.12"/>
        <n v="3.07"/>
        <n v="255.83"/>
        <n v="421.18"/>
        <n v="1377.46"/>
        <n v="6600.63"/>
        <n v="1811.99"/>
        <n v="799.76"/>
        <n v="609.09"/>
        <n v="2761.94"/>
        <n v="33.950000000000003"/>
        <n v="302.33999999999997"/>
        <n v="334.44"/>
        <n v="556.61"/>
        <n v="64.48"/>
        <n v="4845.2700000000004"/>
        <n v="19.68"/>
        <n v="9798.84"/>
        <n v="154.11000000000001"/>
        <n v="242.97"/>
        <n v="200.61"/>
        <n v="237.83"/>
        <n v="53.02"/>
        <n v="248.84"/>
        <n v="7.21"/>
        <n v="253.87"/>
        <n v="5880.46"/>
        <n v="577.25"/>
        <n v="4075.18"/>
        <n v="1798.23"/>
        <n v="727.2"/>
        <n v="6173.42"/>
        <n v="1553.7"/>
        <n v="18.68"/>
        <n v="36.299999999999997"/>
        <n v="16.03"/>
        <n v="25.35"/>
        <n v="19.32"/>
        <n v="86.8"/>
        <n v="381.91"/>
        <n v="761.67"/>
        <n v="5014.07"/>
        <n v="186.19"/>
        <n v="1227.94"/>
        <n v="294.97000000000003"/>
        <n v="2458.0500000000002"/>
        <n v="2465.75"/>
        <n v="650.25"/>
        <n v="272.12"/>
        <n v="428.85"/>
        <n v="342.54"/>
        <n v="27.96"/>
        <n v="1635.38"/>
        <n v="58.48"/>
        <n v="40.049999999999997"/>
        <n v="1117.6600000000001"/>
        <n v="807"/>
        <n v="169.46"/>
        <n v="5768.12"/>
        <n v="55.25"/>
        <n v="551.22"/>
        <n v="83.93"/>
        <n v="193.88"/>
        <n v="990.25"/>
        <n v="14.76"/>
        <n v="808.44"/>
        <n v="67.41"/>
        <n v="55.08"/>
        <n v="1608.11"/>
        <n v="99.75"/>
        <n v="51.41"/>
        <n v="68.72"/>
        <n v="618.96"/>
        <n v="77.540000000000006"/>
        <n v="361.72"/>
        <n v="1373.47"/>
        <n v="91.92"/>
        <n v="73.290000000000006"/>
        <n v="2961.32"/>
        <n v="87.11"/>
        <n v="170.46"/>
        <n v="4.95"/>
        <n v="461.24"/>
        <n v="577.75"/>
        <n v="59.4"/>
        <n v="66.459999999999994"/>
        <n v="35.35"/>
        <n v="248.21"/>
        <n v="4086.5"/>
        <n v="375.03"/>
        <n v="22.11"/>
        <n v="2875.35"/>
        <n v="78.08"/>
        <n v="2013.88"/>
        <n v="201.32"/>
        <n v="298.51"/>
        <n v="3846.06"/>
        <n v="35.93"/>
        <n v="1610.84"/>
        <n v="86.12"/>
        <n v="76.87"/>
        <n v="374.6"/>
        <n v="61.87"/>
        <n v="48.88"/>
        <n v="21.56"/>
        <n v="164.67"/>
        <n v="72.739999999999995"/>
        <n v="418.75"/>
        <n v="469.59"/>
        <n v="136.25"/>
        <n v="558.41"/>
        <n v="290.22000000000003"/>
        <n v="1129.67"/>
        <n v="2439.37"/>
        <n v="92.02"/>
        <n v="283.55"/>
        <n v="9757.48"/>
        <n v="850.64"/>
        <n v="1159.79"/>
        <n v="20.22"/>
        <n v="1548.97"/>
        <n v="337.86"/>
        <n v="84.21"/>
        <n v="38.74"/>
        <n v="134.09"/>
        <n v="191.73"/>
        <n v="618.85"/>
        <n v="115.99"/>
        <n v="19.46"/>
        <n v="44.75"/>
        <n v="9.23"/>
        <n v="96.13"/>
        <n v="73.959999999999994"/>
        <n v="1805.9"/>
        <n v="311.41000000000003"/>
        <n v="3707.05"/>
        <n v="2805.18"/>
        <n v="80.86"/>
        <n v="1096.6300000000001"/>
        <n v="632.12"/>
        <n v="1302.98"/>
        <n v="131.79"/>
        <n v="35.33"/>
        <n v="674.55"/>
        <n v="1721.24"/>
        <n v="668.38"/>
        <n v="324.62"/>
        <n v="40.93"/>
        <n v="53.42"/>
        <n v="8.49"/>
        <n v="69.89"/>
        <n v="77.42"/>
        <n v="7.2"/>
        <n v="61.29"/>
        <n v="109.15"/>
        <n v="1477.84"/>
        <n v="29.08"/>
        <n v="1162.46"/>
        <n v="5911.35"/>
        <n v="4649.8500000000004"/>
        <n v="2259.9899999999998"/>
        <n v="42.46"/>
        <n v="314.06"/>
        <n v="1009.99"/>
        <n v="92.16"/>
        <n v="16.5"/>
        <n v="1202.6600000000001"/>
        <n v="196.69"/>
        <n v="40.28"/>
        <n v="904.31"/>
        <n v="96.86"/>
        <n v="765.65"/>
        <n v="8.7200000000000006"/>
        <n v="6355.69"/>
        <n v="28.09"/>
        <n v="1130.1500000000001"/>
        <n v="54.37"/>
        <n v="100.87"/>
        <n v="1857.08"/>
        <n v="42.56"/>
        <n v="414.91"/>
        <n v="91.39"/>
        <n v="202.29"/>
        <n v="168.71"/>
        <n v="885.65"/>
        <n v="152.05000000000001"/>
        <n v="49.1"/>
        <n v="246.44"/>
        <n v="199.08"/>
        <n v="2039.07"/>
        <n v="436.94"/>
        <n v="37.380000000000003"/>
        <n v="47.4"/>
        <n v="260"/>
        <n v="709.7"/>
        <n v="27.42"/>
        <n v="739.06"/>
        <n v="30.47"/>
        <n v="96.96"/>
        <n v="4.21"/>
        <n v="3550.28"/>
        <n v="1188.6300000000001"/>
        <n v="1009.93"/>
        <n v="140.69999999999999"/>
        <n v="15.95"/>
        <n v="42.35"/>
        <n v="63.78"/>
        <n v="451.61"/>
        <n v="10.41"/>
        <n v="2849.64"/>
        <n v="38.04"/>
        <n v="42.53"/>
        <n v="14.77"/>
        <n v="438.33"/>
        <n v="38.11"/>
        <n v="724.57"/>
        <n v="51.13"/>
        <n v="79.61"/>
        <n v="109.99"/>
        <n v="900.12"/>
        <n v="237.62"/>
        <n v="176.42"/>
        <n v="2084.16"/>
        <n v="43.41"/>
        <n v="46.42"/>
        <n v="1140.95"/>
        <n v="42.69"/>
        <n v="327.41000000000003"/>
        <n v="3786.84"/>
        <n v="2012.11"/>
        <n v="471.66"/>
        <n v="662.8"/>
        <n v="119.86"/>
        <n v="2651.21"/>
        <n v="38.96"/>
        <n v="8048.45"/>
        <n v="1939.03"/>
        <n v="457.63"/>
        <n v="170.75"/>
        <n v="1339.42"/>
        <n v="8.66"/>
        <n v="10554.63"/>
        <n v="1749.64"/>
        <n v="355.4"/>
        <n v="148.36000000000001"/>
        <n v="2814.57"/>
        <n v="88.85"/>
        <n v="70.819999999999993"/>
        <n v="90.44"/>
        <n v="10.72"/>
        <n v="10180.01"/>
        <n v="42.44"/>
        <n v="462.57"/>
        <n v="125.37"/>
        <n v="190.85"/>
        <n v="370.68"/>
        <n v="2400.9499999999998"/>
        <n v="7303.05"/>
        <n v="58.05"/>
        <n v="68.64"/>
        <n v="277.07"/>
        <n v="51.99"/>
        <n v="149.66999999999999"/>
        <n v="61.1"/>
        <n v="193.81"/>
        <n v="257.48"/>
        <n v="3194.99"/>
        <n v="202.98"/>
        <n v="10.86"/>
        <n v="1477.57"/>
        <n v="382.29"/>
        <n v="881.74"/>
        <n v="7384.18"/>
        <n v="448.26"/>
        <n v="95.57"/>
        <n v="214.48"/>
        <n v="1790.1"/>
        <n v="110.68"/>
        <n v="385.45"/>
        <n v="30.1"/>
        <n v="261.20999999999998"/>
        <n v="42.79"/>
        <n v="1828.22"/>
        <n v="29.77"/>
        <n v="147.19"/>
        <n v="39.17"/>
        <n v="87.85"/>
        <n v="7429.63"/>
        <n v="224.29"/>
        <n v="51.2"/>
        <n v="29718.53"/>
        <n v="197.48"/>
        <n v="46.85"/>
        <n v="93.57"/>
        <n v="2694.49"/>
        <n v="174.5"/>
        <n v="26.01"/>
        <n v="1527.97"/>
        <n v="110.86"/>
        <n v="97.98"/>
        <n v="127.83"/>
        <n v="289.88"/>
        <n v="4354.55"/>
        <n v="146.16999999999999"/>
        <n v="42.02"/>
        <n v="3705.14"/>
        <n v="945.36"/>
        <n v="49.24"/>
        <n v="68.45"/>
        <n v="40.69"/>
        <n v="130.11000000000001"/>
        <n v="337.34"/>
        <n v="280.43"/>
        <n v="103.39"/>
        <n v="435.39"/>
        <n v="1051.52"/>
        <n v="25.85"/>
        <n v="119.37"/>
        <n v="257.92"/>
        <n v="207.22"/>
        <n v="237.8"/>
        <n v="448.47"/>
        <n v="1000.26"/>
        <n v="2184.9899999999998"/>
        <n v="1191.2"/>
        <n v="165.71"/>
        <n v="1277.49"/>
        <n v="14.2"/>
        <n v="52.21"/>
        <n v="170.32"/>
        <n v="203.29"/>
        <n v="759.88"/>
        <n v="94.2"/>
        <n v="34.32"/>
        <n v="392.45"/>
        <n v="511.25"/>
        <n v="29.88"/>
        <n v="599.03"/>
        <n v="356.92"/>
        <n v="136.16"/>
        <n v="130.74"/>
        <n v="49.87"/>
        <n v="24.18"/>
        <n v="27587.55"/>
        <n v="1191.58"/>
        <n v="6938.19"/>
        <n v="419.27"/>
        <n v="36"/>
        <n v="11.78"/>
        <n v="20.96"/>
        <n v="26.66"/>
        <n v="29.55"/>
        <n v="1237.4000000000001"/>
        <n v="17.64"/>
        <n v="74.23"/>
        <n v="627.19000000000005"/>
        <n v="612.91999999999996"/>
        <n v="2569.5700000000002"/>
        <n v="78.989999999999995"/>
        <n v="1345.33"/>
        <n v="15.19"/>
        <n v="59.49"/>
        <n v="57.84"/>
        <n v="1425.71"/>
        <n v="25.26"/>
        <n v="736.16"/>
        <n v="31.96"/>
        <n v="98.17"/>
        <n v="264.95"/>
        <n v="53.21"/>
        <n v="122.8"/>
        <n v="282.38"/>
        <n v="924.8"/>
        <n v="821.17"/>
        <n v="194.08"/>
        <n v="237.77"/>
        <n v="316.27999999999997"/>
        <n v="2591.09"/>
        <n v="150.24"/>
        <n v="10364.36"/>
        <n v="657.61"/>
        <n v="241.97"/>
        <n v="120.81"/>
        <n v="41.4"/>
        <n v="159.53"/>
        <n v="536.29"/>
        <n v="10.96"/>
        <n v="4146.28"/>
        <n v="3902.09"/>
        <n v="14.18"/>
        <n v="2118.9899999999998"/>
        <n v="837.64"/>
        <n v="345.07"/>
        <n v="5.48"/>
        <n v="8201.33"/>
        <n v="22.67"/>
        <n v="393.98"/>
        <n v="19.29"/>
        <n v="5.21"/>
        <n v="22.92"/>
        <n v="30.9"/>
        <n v="2363.08"/>
        <n v="328.45"/>
        <n v="386.61"/>
        <n v="43.94"/>
        <n v="43.31"/>
        <n v="284.33999999999997"/>
        <n v="3913.02"/>
        <n v="180.14"/>
        <n v="364.92"/>
        <n v="12.16"/>
        <n v="147.56"/>
        <n v="113.68"/>
        <n v="281.75"/>
        <n v="240.05"/>
        <n v="87.21"/>
        <n v="40.15"/>
        <n v="90.46"/>
        <n v="467.03"/>
        <n v="608.80999999999995"/>
        <n v="808.61"/>
        <n v="637.37"/>
        <n v="232.16"/>
        <n v="360.03"/>
        <n v="260.01"/>
        <n v="273.79000000000002"/>
        <n v="44.62"/>
        <n v="268.64"/>
        <n v="87.68"/>
        <n v="37.619999999999997"/>
        <n v="832.97"/>
        <n v="1042.54"/>
        <n v="76.16"/>
        <n v="1038.1400000000001"/>
        <n v="6296"/>
        <n v="8.7899999999999991"/>
        <n v="2051.6799999999998"/>
        <n v="5295.03"/>
        <n v="80.27"/>
        <n v="3292.02"/>
        <n v="199.43"/>
        <n v="110.71"/>
        <n v="56.68"/>
        <n v="273.33999999999997"/>
        <n v="226.88"/>
        <n v="5220.4799999999996"/>
        <n v="113.44"/>
        <n v="66.02"/>
        <n v="33.020000000000003"/>
        <n v="2273.1"/>
        <n v="19.489999999999998"/>
        <n v="5845.81"/>
        <n v="633.85"/>
        <n v="107.51"/>
        <n v="421.08"/>
        <n v="77.2"/>
        <n v="5587.89"/>
        <n v="159.88999999999999"/>
        <n v="180.48"/>
        <n v="350.48"/>
        <n v="936.8"/>
        <n v="232.5"/>
        <n v="7497.05"/>
        <n v="1336.35"/>
        <n v="1724.01"/>
        <n v="59.79"/>
        <n v="240.21"/>
        <n v="1785.01"/>
        <n v="318.18"/>
        <n v="38.89"/>
        <n v="45.12"/>
        <n v="90.45"/>
        <n v="2125.12"/>
        <n v="45.05"/>
        <n v="7045.02"/>
        <n v="370.62"/>
        <n v="904.25"/>
        <n v="16.309999999999999"/>
        <n v="364.26"/>
        <n v="16.07"/>
        <n v="581.08000000000004"/>
        <n v="27.53"/>
        <n v="32.33"/>
        <n v="642.05999999999995"/>
        <n v="1068.5999999999999"/>
        <n v="226.53"/>
        <n v="68.650000000000006"/>
        <n v="236.83"/>
        <n v="1944.87"/>
        <n v="135.77000000000001"/>
        <n v="55.43"/>
        <n v="20.46"/>
        <n v="931.87"/>
        <n v="21.41"/>
        <n v="59.75"/>
        <n v="162.49"/>
        <n v="819.4"/>
        <n v="1809.75"/>
        <n v="70.03"/>
        <n v="102.43"/>
        <n v="137.76"/>
        <n v="326.02999999999997"/>
        <n v="379.72"/>
        <n v="48.33"/>
        <n v="34.909999999999997"/>
        <n v="47.04"/>
        <n v="10.94"/>
        <n v="731.38"/>
        <n v="344.87"/>
        <n v="523.05999999999995"/>
        <n v="2424.6799999999998"/>
        <n v="2411.4299999999998"/>
        <n v="1278.96"/>
        <n v="25.22"/>
        <n v="34.729999999999997"/>
        <n v="247.53"/>
        <n v="23.89"/>
        <n v="454.4"/>
        <n v="15.65"/>
        <n v="111.92"/>
        <n v="1700.38"/>
        <n v="35.96"/>
        <n v="141.59"/>
        <n v="203.05"/>
        <n v="56.19"/>
        <n v="40.799999999999997"/>
        <n v="117.87"/>
        <n v="1503.05"/>
        <n v="382.33"/>
        <n v="356.61"/>
        <n v="1506.89"/>
        <n v="92.29"/>
        <n v="82.29"/>
        <n v="203.37"/>
        <n v="160.66"/>
        <n v="107.08"/>
        <n v="9705.4599999999991"/>
        <n v="3247.54"/>
        <n v="5582.63"/>
        <n v="2426.36"/>
        <n v="824"/>
        <n v="1347.53"/>
        <n v="11.16"/>
        <n v="45.22"/>
        <n v="75.61"/>
        <n v="67.64"/>
        <n v="240.42"/>
        <n v="184.4"/>
        <n v="3802.01"/>
        <n v="1181.67"/>
        <n v="29.93"/>
        <n v="171.33"/>
        <n v="84.04"/>
        <n v="251.06"/>
        <n v="2610.56"/>
        <n v="1173.76"/>
        <n v="50.28"/>
        <n v="2570.4499999999998"/>
        <n v="158.87"/>
        <n v="56.71"/>
        <n v="5086.08"/>
        <n v="1894.45"/>
        <n v="200.72"/>
        <n v="36.82"/>
        <n v="84.6"/>
        <n v="296.75"/>
        <n v="582.20000000000005"/>
        <n v="171.93"/>
        <n v="35.19"/>
        <n v="2037.69"/>
        <n v="722.1"/>
        <n v="140.78"/>
        <n v="129.72"/>
        <n v="12190.98"/>
        <n v="1483.76"/>
        <n v="87.18"/>
        <n v="798.89"/>
        <n v="133.19"/>
        <n v="97.33"/>
        <n v="130.91"/>
        <n v="281.82"/>
        <n v="991.24"/>
        <n v="98.77"/>
        <n v="2495.35"/>
        <n v="200.83"/>
        <n v="348.08"/>
        <n v="131.69"/>
        <n v="13.93"/>
        <n v="31.71"/>
        <n v="60.01"/>
        <n v="1270.7"/>
        <n v="236.87"/>
        <n v="370.91"/>
        <n v="4976.92"/>
        <n v="574.97"/>
        <n v="115.22"/>
        <n v="456.58"/>
        <n v="3772.19"/>
        <n v="2642.48"/>
        <n v="61.5"/>
        <n v="1276.8800000000001"/>
        <n v="233.58"/>
        <n v="31.98"/>
        <n v="519.41999999999996"/>
        <n v="2382.7199999999998"/>
        <n v="64.959999999999994"/>
        <n v="19.14"/>
        <n v="45.03"/>
        <n v="153.87"/>
        <n v="2800.33"/>
        <n v="3596.03"/>
        <n v="2353.5500000000002"/>
        <n v="92.57"/>
        <n v="7974.21"/>
        <n v="87.1"/>
        <n v="736.86"/>
        <n v="33.840000000000003"/>
        <n v="14.9"/>
        <n v="39.64"/>
        <n v="139.49"/>
        <n v="1952.43"/>
        <n v="1370.79"/>
        <n v="3501.79"/>
        <n v="63.04"/>
        <n v="451.35"/>
        <n v="119.6"/>
        <n v="59.9"/>
        <n v="99.22"/>
        <n v="1183.82"/>
        <n v="201.77"/>
        <n v="443.66"/>
        <n v="541.76"/>
        <n v="107.66"/>
        <n v="318.83"/>
        <n v="3600.65"/>
        <n v="3936.61"/>
        <n v="78.31"/>
        <n v="14.66"/>
        <n v="83.14"/>
        <n v="215.25"/>
        <n v="1358.02"/>
        <n v="358.84"/>
        <n v="511.57"/>
        <n v="8.65"/>
        <n v="380"/>
        <n v="199.48"/>
        <n v="93.81"/>
        <n v="312.22000000000003"/>
        <n v="43.84"/>
        <n v="141.74"/>
        <n v="8717.75"/>
        <n v="2230.12"/>
        <n v="56.4"/>
        <n v="1488.51"/>
        <n v="801.93"/>
        <n v="44.24"/>
        <n v="79.739999999999995"/>
        <n v="48.32"/>
        <n v="332.16"/>
        <n v="147.62"/>
        <n v="125.9"/>
        <n v="768.81"/>
        <n v="183.39"/>
        <n v="12.9"/>
        <n v="17.89"/>
        <n v="255.88"/>
        <n v="378.82"/>
        <n v="152.18"/>
        <n v="53.89"/>
        <n v="1001.02"/>
        <n v="495.82"/>
        <n v="24.44"/>
        <n v="21.86"/>
        <n v="47.12"/>
        <n v="670.9"/>
        <n v="412.72"/>
        <n v="14.52"/>
        <n v="103.18"/>
        <n v="97.96"/>
        <n v="5419.41"/>
        <n v="700.41"/>
        <n v="646.88"/>
        <n v="1029.96"/>
        <n v="52.09"/>
        <n v="1794.88"/>
        <n v="765.04"/>
        <n v="127.12"/>
        <n v="5183.8900000000003"/>
        <n v="36.090000000000003"/>
        <n v="366.26"/>
        <n v="157.99"/>
        <n v="1212.8800000000001"/>
        <n v="125.19"/>
        <n v="1867.04"/>
        <n v="537.79999999999995"/>
        <n v="119.78"/>
        <n v="12.15"/>
        <n v="288.42"/>
        <n v="511.42"/>
        <n v="200.64"/>
        <n v="17.62"/>
        <n v="80.58"/>
        <n v="25.31"/>
        <n v="369.78"/>
        <n v="57.14"/>
        <n v="498.31"/>
        <n v="431.43"/>
        <n v="57.24"/>
        <n v="824.7"/>
        <n v="58.5"/>
        <n v="131.62"/>
        <n v="121.46"/>
        <n v="356.14"/>
        <n v="27.08"/>
        <n v="65.849999999999994"/>
        <n v="50.71"/>
        <n v="19.02"/>
        <n v="193.87"/>
        <n v="1434.51"/>
        <n v="8549.0400000000009"/>
        <n v="2239.0300000000002"/>
        <n v="22.13"/>
        <n v="34.17"/>
        <n v="94.3"/>
        <n v="178.68"/>
        <n v="79.39"/>
        <n v="199.53"/>
        <n v="37.049999999999997"/>
        <n v="68.88"/>
        <n v="549.85"/>
        <n v="48.99"/>
        <n v="681.42"/>
        <n v="66.650000000000006"/>
        <n v="2934.16"/>
        <n v="876.88"/>
        <n v="157.33000000000001"/>
        <n v="27.37"/>
        <n v="98.16"/>
        <n v="116.11"/>
        <n v="95"/>
        <n v="837.57"/>
        <n v="56.22"/>
        <n v="758.97"/>
        <n v="84.44"/>
        <n v="29.99"/>
        <n v="1487.9"/>
        <n v="600.4"/>
        <n v="34.25"/>
        <n v="31.45"/>
        <n v="249.07"/>
        <n v="59.22"/>
        <n v="5572.18"/>
        <n v="2941.42"/>
        <n v="522.46"/>
        <n v="513.33000000000004"/>
        <n v="15.7"/>
        <n v="680.65"/>
        <n v="28.34"/>
        <n v="861.3"/>
        <n v="894.64"/>
        <n v="710.36"/>
        <n v="80.2"/>
        <n v="9252.81"/>
        <n v="207.31"/>
        <n v="143.12"/>
        <n v="59.98"/>
        <n v="135.78"/>
        <n v="506.5"/>
      </sharedItems>
    </cacheField>
    <cacheField name="Order ID" numFmtId="0">
      <sharedItems containsSemiMixedTypes="0" containsString="0" containsNumber="1" containsInteger="1" minValue="359" maxValue="91586"/>
    </cacheField>
    <cacheField name="Revenue" numFmtId="0">
      <sharedItems containsSemiMixedTypes="0" containsString="0" containsNumber="1" minValue="2.25" maxValue="4607120.8499999996" count="1946">
        <n v="52.04"/>
        <n v="76354.200000000012"/>
        <n v="4645.3"/>
        <n v="18631.2"/>
        <n v="155.61000000000001"/>
        <n v="55.96"/>
        <n v="57.04"/>
        <n v="234.29"/>
        <n v="3795.2999999999997"/>
        <n v="112.80000000000001"/>
        <n v="9459.9"/>
        <n v="7748.09"/>
        <n v="4172.22"/>
        <n v="131368.30000000002"/>
        <n v="16997.48"/>
        <n v="64914.59"/>
        <n v="67.489999999999995"/>
        <n v="2.25"/>
        <n v="657.36"/>
        <n v="5520.84"/>
        <n v="80.34"/>
        <n v="6268.4"/>
        <n v="84439.08"/>
        <n v="762.84"/>
        <n v="955.80000000000007"/>
        <n v="3882.42"/>
        <n v="3762.24"/>
        <n v="3267.55"/>
        <n v="1873.23"/>
        <n v="1471"/>
        <n v="502.69"/>
        <n v="68.550000000000011"/>
        <n v="8608.6299999999992"/>
        <n v="4"/>
        <n v="2359.1999999999998"/>
        <n v="9804.7999999999993"/>
        <n v="4956.24"/>
        <n v="175577.17"/>
        <n v="156876.16"/>
        <n v="280223.65000000002"/>
        <n v="16806.36"/>
        <n v="10931.34"/>
        <n v="1000.7800000000001"/>
        <n v="139464"/>
        <n v="59426.11"/>
        <n v="376.38"/>
        <n v="25881.48"/>
        <n v="1537.2"/>
        <n v="535.4"/>
        <n v="77361.19"/>
        <n v="2113.2800000000002"/>
        <n v="408.06000000000006"/>
        <n v="3456.64"/>
        <n v="232224.58000000002"/>
        <n v="389002.4"/>
        <n v="13740.12"/>
        <n v="39051.199999999997"/>
        <n v="4857.4399999999996"/>
        <n v="293258.14"/>
        <n v="80165.8"/>
        <n v="804.27"/>
        <n v="19530.16"/>
        <n v="44.52"/>
        <n v="206.5"/>
        <n v="699.96"/>
        <n v="102.10000000000001"/>
        <n v="312.84000000000003"/>
        <n v="3544.67"/>
        <n v="10737.62"/>
        <n v="1474.59"/>
        <n v="4597.24"/>
        <n v="598.5"/>
        <n v="17087.3"/>
        <n v="1044.67"/>
        <n v="51.150000000000006"/>
        <n v="3041.22"/>
        <n v="508.7"/>
        <n v="676.16"/>
        <n v="4063.6699999999996"/>
        <n v="386.40000000000003"/>
        <n v="29.3"/>
        <n v="1360.8600000000001"/>
        <n v="774.36"/>
        <n v="4647.8500000000004"/>
        <n v="124.92"/>
        <n v="140.55000000000001"/>
        <n v="11"/>
        <n v="5342.72"/>
        <n v="1461.15"/>
        <n v="16223.759999999998"/>
        <n v="13651.039999999999"/>
        <n v="101.46000000000001"/>
        <n v="5008.8499999999995"/>
        <n v="410.67"/>
        <n v="9199.5500000000011"/>
        <n v="391.86"/>
        <n v="83341.919999999998"/>
        <n v="92.820000000000007"/>
        <n v="3.42"/>
        <n v="16232.579999999998"/>
        <n v="21644.44"/>
        <n v="1252.5"/>
        <n v="5088.5200000000004"/>
        <n v="1352.85"/>
        <n v="494.13"/>
        <n v="79.680000000000007"/>
        <n v="745.64"/>
        <n v="1424.43"/>
        <n v="51832.22"/>
        <n v="224.12"/>
        <n v="2946.3"/>
        <n v="112.8"/>
        <n v="1645.6499999999999"/>
        <n v="59070.62"/>
        <n v="970165.35"/>
        <n v="103.94999999999999"/>
        <n v="943.69"/>
        <n v="158.49"/>
        <n v="109.2"/>
        <n v="194.25"/>
        <n v="314.89999999999998"/>
        <n v="42.4"/>
        <n v="519.96"/>
        <n v="845.8"/>
        <n v="4382.22"/>
        <n v="3153.4300000000003"/>
        <n v="588"/>
        <n v="1445.6399999999999"/>
        <n v="9599.76"/>
        <n v="1383.13"/>
        <n v="66.08"/>
        <n v="219.6"/>
        <n v="47751.1"/>
        <n v="172.23"/>
        <n v="30908.57"/>
        <n v="1039.0900000000001"/>
        <n v="6985.44"/>
        <n v="3993.4500000000003"/>
        <n v="11089.54"/>
        <n v="287.3"/>
        <n v="4279.8599999999997"/>
        <n v="41675.85"/>
        <n v="6664.0999999999995"/>
        <n v="138.56"/>
        <n v="157.41"/>
        <n v="263.8"/>
        <n v="2739.06"/>
        <n v="22113.77"/>
        <n v="678.6"/>
        <n v="24660.239999999998"/>
        <n v="56.010000000000005"/>
        <n v="1053.8500000000001"/>
        <n v="1254.72"/>
        <n v="9010.19"/>
        <n v="415.53000000000003"/>
        <n v="10797.72"/>
        <n v="753.06"/>
        <n v="18589.830000000002"/>
        <n v="20075.28"/>
        <n v="7023.71"/>
        <n v="246.08"/>
        <n v="24.900000000000002"/>
        <n v="3752.5499999999997"/>
        <n v="205.81"/>
        <n v="368.55"/>
        <n v="10401.57"/>
        <n v="1346.1000000000001"/>
        <n v="10473.4"/>
        <n v="2050.8000000000002"/>
        <n v="561.28"/>
        <n v="21089.69"/>
        <n v="8979.84"/>
        <n v="6413.88"/>
        <n v="86.16"/>
        <n v="598.94999999999993"/>
        <n v="1759.33"/>
        <n v="2306.16"/>
        <n v="987.36"/>
        <n v="113.84"/>
        <n v="5851.05"/>
        <n v="1946.56"/>
        <n v="53554.48"/>
        <n v="8.5299999999999994"/>
        <n v="201.5"/>
        <n v="1678.1999999999998"/>
        <n v="1479.4"/>
        <n v="783.02"/>
        <n v="92.449999999999989"/>
        <n v="4896.4699999999993"/>
        <n v="300002.40000000002"/>
        <n v="333.24"/>
        <n v="20164.759999999998"/>
        <n v="1440.92"/>
        <n v="1677.44"/>
        <n v="24009.02"/>
        <n v="107.95"/>
        <n v="11807.880000000001"/>
        <n v="8276.1"/>
        <n v="3995.85"/>
        <n v="466.38"/>
        <n v="429282"/>
        <n v="2636.64"/>
        <n v="27103.69"/>
        <n v="25650.9"/>
        <n v="164.82"/>
        <n v="7834.79"/>
        <n v="394.51"/>
        <n v="270.55"/>
        <n v="1399.1499999999999"/>
        <n v="1903.5"/>
        <n v="91.28"/>
        <n v="377.32"/>
        <n v="20297.53"/>
        <n v="37.159999999999997"/>
        <n v="87.3"/>
        <n v="94.320000000000007"/>
        <n v="258.36"/>
        <n v="9238.7999999999993"/>
        <n v="9730.56"/>
        <n v="61668.92"/>
        <n v="1091.4000000000001"/>
        <n v="5606.58"/>
        <n v="13781.789999999999"/>
        <n v="919.09"/>
        <n v="3546.9"/>
        <n v="73.819999999999993"/>
        <n v="5348.42"/>
        <n v="8570.34"/>
        <n v="15304.560000000001"/>
        <n v="203.42"/>
        <n v="15900.12"/>
        <n v="319.21999999999997"/>
        <n v="159.51"/>
        <n v="20227.349999999999"/>
        <n v="70.959999999999994"/>
        <n v="5211.72"/>
        <n v="39.72"/>
        <n v="186.08"/>
        <n v="51.83"/>
        <n v="32.4"/>
        <n v="15279.9"/>
        <n v="7570.78"/>
        <n v="5664.2"/>
        <n v="1579.9299999999998"/>
        <n v="365.20000000000005"/>
        <n v="233.45000000000002"/>
        <n v="301.2"/>
        <n v="2872.12"/>
        <n v="179.51"/>
        <n v="439.08000000000004"/>
        <n v="17.64"/>
        <n v="53784.81"/>
        <n v="26.31"/>
        <n v="104.35000000000001"/>
        <n v="51.4"/>
        <n v="3213.98"/>
        <n v="1534.1000000000001"/>
        <n v="8897"/>
        <n v="696753.2"/>
        <n v="5755.68"/>
        <n v="667.09999999999991"/>
        <n v="435.79999999999995"/>
        <n v="1215.1200000000001"/>
        <n v="104.39999999999999"/>
        <n v="529.29999999999995"/>
        <n v="51824.639999999999"/>
        <n v="359.70000000000005"/>
        <n v="177187.15"/>
        <n v="7116.67"/>
        <n v="16086.93"/>
        <n v="615"/>
        <n v="2216.3200000000002"/>
        <n v="457.62"/>
        <n v="1257.0600000000002"/>
        <n v="3196.16"/>
        <n v="1441.1100000000001"/>
        <n v="5.76"/>
        <n v="65354.73"/>
        <n v="5178.0200000000004"/>
        <n v="1893.93"/>
        <n v="2533.56"/>
        <n v="330.07"/>
        <n v="1309.05"/>
        <n v="9274.75"/>
        <n v="2901.4300000000003"/>
        <n v="13151.32"/>
        <n v="352012.47000000003"/>
        <n v="229.48"/>
        <n v="596.87999999999988"/>
        <n v="206.25"/>
        <n v="188.51"/>
        <n v="87371.44"/>
        <n v="102.21"/>
        <n v="62.36"/>
        <n v="9631.0799999999981"/>
        <n v="1076155"/>
        <n v="20803.23"/>
        <n v="382556.72"/>
        <n v="61986.54"/>
        <n v="1341.76"/>
        <n v="23909.759999999998"/>
        <n v="601.91999999999996"/>
        <n v="2199.2800000000002"/>
        <n v="4514.96"/>
        <n v="9671.880000000001"/>
        <n v="17064.64"/>
        <n v="657.4"/>
        <n v="5.84"/>
        <n v="405.57"/>
        <n v="130.4"/>
        <n v="1547.6399999999999"/>
        <n v="50.12"/>
        <n v="6938.88"/>
        <n v="818.51"/>
        <n v="2045.3999999999999"/>
        <n v="2858.7"/>
        <n v="244.44"/>
        <n v="17.440000000000001"/>
        <n v="12648.24"/>
        <n v="1210.32"/>
        <n v="145.62"/>
        <n v="192.65"/>
        <n v="58928.639999999999"/>
        <n v="2219.1999999999998"/>
        <n v="161.94999999999999"/>
        <n v="1594.53"/>
        <n v="215824.42"/>
        <n v="5320.6399999999994"/>
        <n v="14946.300000000001"/>
        <n v="138.69"/>
        <n v="3630.6399999999994"/>
        <n v="280.24"/>
        <n v="1145.48"/>
        <n v="13.16"/>
        <n v="2883.72"/>
        <n v="157.30000000000001"/>
        <n v="5693.82"/>
        <n v="2876.79"/>
        <n v="198.72"/>
        <n v="210760"/>
        <n v="339.84000000000003"/>
        <n v="13856.939999999999"/>
        <n v="9856.08"/>
        <n v="4557.42"/>
        <n v="6256.32"/>
        <n v="15929.19"/>
        <n v="227335.56"/>
        <n v="138601.5"/>
        <n v="65041.32"/>
        <n v="100100.88"/>
        <n v="13100.96"/>
        <n v="34.11"/>
        <n v="6188.4000000000005"/>
        <n v="2307.96"/>
        <n v="55210"/>
        <n v="1638.34"/>
        <n v="2408.16"/>
        <n v="269.28000000000003"/>
        <n v="19.73"/>
        <n v="3077.7"/>
        <n v="4442.78"/>
        <n v="1821.69"/>
        <n v="4760.34"/>
        <n v="594.43999999999994"/>
        <n v="30789.18"/>
        <n v="9947.7000000000007"/>
        <n v="1290.74"/>
        <n v="202.12"/>
        <n v="7149.0499999999993"/>
        <n v="419.64"/>
        <n v="617.72"/>
        <n v="1455.03"/>
        <n v="405.7"/>
        <n v="20.22"/>
        <n v="112559.89"/>
        <n v="761.34"/>
        <n v="279.83999999999997"/>
        <n v="27160.9"/>
        <n v="106.7"/>
        <n v="174.20000000000002"/>
        <n v="398.48"/>
        <n v="26056.87"/>
        <n v="1616.6999999999998"/>
        <n v="3673.7"/>
        <n v="20711.57"/>
        <n v="318044.88"/>
        <n v="785.40000000000009"/>
        <n v="7261.2000000000007"/>
        <n v="3202.56"/>
        <n v="13463.199999999999"/>
        <n v="5843.6"/>
        <n v="13203.23"/>
        <n v="121071.16"/>
        <n v="204775.74"/>
        <n v="51240.6"/>
        <n v="91175.48"/>
        <n v="162.5"/>
        <n v="5818.5"/>
        <n v="9369.2000000000007"/>
        <n v="8776.32"/>
        <n v="1995.84"/>
        <n v="7072.1100000000006"/>
        <n v="8824.1999999999989"/>
        <n v="149497.01"/>
        <n v="30937.279999999999"/>
        <n v="1933.58"/>
        <n v="6.5"/>
        <n v="548.48"/>
        <n v="124.74"/>
        <n v="475.37"/>
        <n v="605.54999999999995"/>
        <n v="1711.5"/>
        <n v="412.18"/>
        <n v="401.40000000000003"/>
        <n v="646.95000000000005"/>
        <n v="11.21"/>
        <n v="100.38"/>
        <n v="265.27999999999997"/>
        <n v="14139.84"/>
        <n v="12097.92"/>
        <n v="7347"/>
        <n v="1254.52"/>
        <n v="5957.55"/>
        <n v="63.48"/>
        <n v="428.76"/>
        <n v="20092.54"/>
        <n v="42099.799999999996"/>
        <n v="1059.3000000000002"/>
        <n v="2575.1999999999998"/>
        <n v="1234.92"/>
        <n v="17.59"/>
        <n v="3113.8799999999997"/>
        <n v="3621.6"/>
        <n v="487.72"/>
        <n v="39.97"/>
        <n v="464.79999999999995"/>
        <n v="16346.400000000001"/>
        <n v="3703.04"/>
        <n v="6010.62"/>
        <n v="133.97999999999999"/>
        <n v="8099.75"/>
        <n v="395.08"/>
        <n v="170.19"/>
        <n v="772.92"/>
        <n v="12749.09"/>
        <n v="2232.08"/>
        <n v="3689.94"/>
        <n v="686.07"/>
        <n v="1598.72"/>
        <n v="714.6"/>
        <n v="15.49"/>
        <n v="37.18"/>
        <n v="10843.04"/>
        <n v="407.04"/>
        <n v="5750.76"/>
        <n v="4426.08"/>
        <n v="30.86"/>
        <n v="6250.75"/>
        <n v="2406.54"/>
        <n v="281.45999999999998"/>
        <n v="449977.14"/>
        <n v="5.9"/>
        <n v="1042.99"/>
        <n v="16359.2"/>
        <n v="213.2"/>
        <n v="65.789999999999992"/>
        <n v="142.30000000000001"/>
        <n v="539.46"/>
        <n v="1523.61"/>
        <n v="293.72000000000003"/>
        <n v="1803.78"/>
        <n v="3125.98"/>
        <n v="1555.68"/>
        <n v="21.12"/>
        <n v="609.96"/>
        <n v="863.71999999999991"/>
        <n v="13949.73"/>
        <n v="129.78"/>
        <n v="4809.5999999999995"/>
        <n v="1041.48"/>
        <n v="2923.7"/>
        <n v="5462.32"/>
        <n v="2515.4"/>
        <n v="47027.76"/>
        <n v="62.48"/>
        <n v="897.24"/>
        <n v="2300.58"/>
        <n v="1414.6200000000001"/>
        <n v="1988.44"/>
        <n v="135.1"/>
        <n v="27.67"/>
        <n v="42375.96"/>
        <n v="219.67"/>
        <n v="3960.18"/>
        <n v="4778.88"/>
        <n v="1199.6600000000001"/>
        <n v="1704.3"/>
        <n v="298.68"/>
        <n v="83.100000000000009"/>
        <n v="5694.48"/>
        <n v="3439.8599999999997"/>
        <n v="701.15"/>
        <n v="27938.680000000004"/>
        <n v="10054"/>
        <n v="382.2"/>
        <n v="28.05"/>
        <n v="1821.2400000000002"/>
        <n v="628.43000000000006"/>
        <n v="2104.56"/>
        <n v="758"/>
        <n v="380.76"/>
        <n v="1278.9000000000001"/>
        <n v="33.200000000000003"/>
        <n v="22854.1"/>
        <n v="4108.16"/>
        <n v="346.52"/>
        <n v="1497.93"/>
        <n v="146.19999999999999"/>
        <n v="82487.34"/>
        <n v="287.70000000000005"/>
        <n v="1209.42"/>
        <n v="690.93"/>
        <n v="10948"/>
        <n v="110.11"/>
        <n v="17190.7"/>
        <n v="8.41"/>
        <n v="1784.15"/>
        <n v="499.77"/>
        <n v="1584.76"/>
        <n v="296.10000000000002"/>
        <n v="35648.800000000003"/>
        <n v="360.55"/>
        <n v="374.43"/>
        <n v="15863.76"/>
        <n v="41.6"/>
        <n v="1497.22"/>
        <n v="1224.05"/>
        <n v="4.55"/>
        <n v="110.52"/>
        <n v="156.05000000000001"/>
        <n v="9712.24"/>
        <n v="3.51"/>
        <n v="120.12"/>
        <n v="14.02"/>
        <n v="11617.44"/>
        <n v="1238.76"/>
        <n v="18.690000000000001"/>
        <n v="26.400000000000002"/>
        <n v="5726.4"/>
        <n v="28483.800000000003"/>
        <n v="347.21999999999997"/>
        <n v="1620.94"/>
        <n v="655.47"/>
        <n v="63.66"/>
        <n v="381.65999999999997"/>
        <n v="5189.28"/>
        <n v="12.18"/>
        <n v="21859.89"/>
        <n v="202.96"/>
        <n v="97491.38"/>
        <n v="961.02"/>
        <n v="22.41"/>
        <n v="3708.1"/>
        <n v="1319.8899999999999"/>
        <n v="9109.8000000000011"/>
        <n v="11.41"/>
        <n v="12927.41"/>
        <n v="453.12"/>
        <n v="11772.7"/>
        <n v="1581.2"/>
        <n v="911.96"/>
        <n v="10251.36"/>
        <n v="11872.800000000001"/>
        <n v="25027.199999999997"/>
        <n v="3940.3"/>
        <n v="1254.6600000000001"/>
        <n v="1736.15"/>
        <n v="4304.07"/>
        <n v="1219.6599999999999"/>
        <n v="33406.6"/>
        <n v="100.59"/>
        <n v="3590.2799999999997"/>
        <n v="196.8"/>
        <n v="1936.62"/>
        <n v="715.99"/>
        <n v="593.76"/>
        <n v="839910.28"/>
        <n v="204852.8"/>
        <n v="55566"/>
        <n v="3628.94"/>
        <n v="105.24"/>
        <n v="1678.24"/>
        <n v="17.829999999999998"/>
        <n v="58139.17"/>
        <n v="2437.4"/>
        <n v="3956.5199999999995"/>
        <n v="7263.5399999999991"/>
        <n v="165.51"/>
        <n v="8681.1200000000008"/>
        <n v="3436.7999999999997"/>
        <n v="27237.940000000002"/>
        <n v="1420.59"/>
        <n v="2430.12"/>
        <n v="2749.74"/>
        <n v="54.08"/>
        <n v="283.08"/>
        <n v="92.61"/>
        <n v="3090.5"/>
        <n v="2394.4"/>
        <n v="135.72"/>
        <n v="153.06"/>
        <n v="16039.73"/>
        <n v="275294.68"/>
        <n v="16560.440000000002"/>
        <n v="35804.560000000005"/>
        <n v="913094.37"/>
        <n v="2164.9500000000003"/>
        <n v="2434.9500000000003"/>
        <n v="1035.06"/>
        <n v="3838.32"/>
        <n v="1416.87"/>
        <n v="42333.840000000004"/>
        <n v="9396.42"/>
        <n v="603.12"/>
        <n v="1294.6500000000001"/>
        <n v="1110.4000000000001"/>
        <n v="1344.32"/>
        <n v="4924.22"/>
        <n v="1450.54"/>
        <n v="69180.319999999992"/>
        <n v="47754.36"/>
        <n v="1068.96"/>
        <n v="1719.8799999999999"/>
        <n v="727.61"/>
        <n v="11531.42"/>
        <n v="147937.65"/>
        <n v="5144.8900000000003"/>
        <n v="21159.32"/>
        <n v="58611.96"/>
        <n v="2004.5"/>
        <n v="1322.49"/>
        <n v="226.20000000000002"/>
        <n v="682.29"/>
        <n v="10520"/>
        <n v="3663.22"/>
        <n v="138.80000000000001"/>
        <n v="57829.200000000004"/>
        <n v="192.49"/>
        <n v="17923.850000000002"/>
        <n v="2504.37"/>
        <n v="8.83"/>
        <n v="137.63999999999999"/>
        <n v="1729.97"/>
        <n v="7096.88"/>
        <n v="110.75"/>
        <n v="3447.7400000000002"/>
        <n v="6457.7999999999993"/>
        <n v="42.92"/>
        <n v="35067.800000000003"/>
        <n v="1873.83"/>
        <n v="16150.820000000002"/>
        <n v="587.25"/>
        <n v="2402.5499999999997"/>
        <n v="61657.649999999994"/>
        <n v="702.4"/>
        <n v="37413.9"/>
        <n v="2090.48"/>
        <n v="2832.16"/>
        <n v="140.63999999999999"/>
        <n v="266.52"/>
        <n v="43908.480000000003"/>
        <n v="2539.9699999999998"/>
        <n v="387313.55"/>
        <n v="244734.63"/>
        <n v="44017.25"/>
        <n v="113919.36000000002"/>
        <n v="3583.03"/>
        <n v="2686.74"/>
        <n v="5403.76"/>
        <n v="375.85"/>
        <n v="23640.959999999999"/>
        <n v="15666.63"/>
        <n v="7119.9600000000009"/>
        <n v="52.2"/>
        <n v="707.40000000000009"/>
        <n v="3672.89"/>
        <n v="4872.53"/>
        <n v="216.35000000000002"/>
        <n v="23.48"/>
        <n v="215616.53999999998"/>
        <n v="533.91999999999996"/>
        <n v="12826.7"/>
        <n v="5847.2400000000007"/>
        <n v="9360.3000000000011"/>
        <n v="3108.7200000000003"/>
        <n v="556.79999999999995"/>
        <n v="2841.2"/>
        <n v="162.91"/>
        <n v="97.65"/>
        <n v="6111.66"/>
        <n v="10310.4"/>
        <n v="73.56"/>
        <n v="115516.20000000001"/>
        <n v="20660.64"/>
        <n v="16346.7"/>
        <n v="213456.56"/>
        <n v="9441.81"/>
        <n v="14689.48"/>
        <n v="2330.64"/>
        <n v="262920.96000000002"/>
        <n v="1064.77"/>
        <n v="179.85"/>
        <n v="1798.44"/>
        <n v="55179.3"/>
        <n v="1804.96"/>
        <n v="7938.45"/>
        <n v="3496.2"/>
        <n v="28152.36"/>
        <n v="540.32000000000005"/>
        <n v="345.58"/>
        <n v="98.3"/>
        <n v="3021.75"/>
        <n v="3.13"/>
        <n v="347.84999999999997"/>
        <n v="1891.15"/>
        <n v="7.15"/>
        <n v="59.7"/>
        <n v="1099.32"/>
        <n v="767.25"/>
        <n v="6820.24"/>
        <n v="1537.62"/>
        <n v="163.80000000000001"/>
        <n v="11716.7"/>
        <n v="2620.88"/>
        <n v="14196"/>
        <n v="5273.4500000000007"/>
        <n v="199631.7"/>
        <n v="93023.489999999991"/>
        <n v="5270.04"/>
        <n v="2706.28"/>
        <n v="5514.6"/>
        <n v="4832.0999999999995"/>
        <n v="26.22"/>
        <n v="546.99"/>
        <n v="2100.16"/>
        <n v="10827"/>
        <n v="1184.4000000000001"/>
        <n v="92155.98"/>
        <n v="258996.62999999998"/>
        <n v="434.7"/>
        <n v="646.91000000000008"/>
        <n v="47.38"/>
        <n v="5102.08"/>
        <n v="17248.48"/>
        <n v="12178.56"/>
        <n v="19797.719999999998"/>
        <n v="807.83999999999992"/>
        <n v="188815.41"/>
        <n v="21496.600000000002"/>
        <n v="60.09"/>
        <n v="338.24"/>
        <n v="1343.4899999999998"/>
        <n v="1089.06"/>
        <n v="224.96"/>
        <n v="4394.46"/>
        <n v="4535.04"/>
        <n v="16.600000000000001"/>
        <n v="20.079999999999998"/>
        <n v="8834.85"/>
        <n v="26230.350000000002"/>
        <n v="954.32"/>
        <n v="3.08"/>
        <n v="625.14"/>
        <n v="18331.52"/>
        <n v="52.74"/>
        <n v="480.96"/>
        <n v="573.40000000000009"/>
        <n v="79.02"/>
        <n v="152.69999999999999"/>
        <n v="1217.92"/>
        <n v="46.94"/>
        <n v="235.62"/>
        <n v="343.92"/>
        <n v="1354.98"/>
        <n v="32205.39"/>
        <n v="2.77"/>
        <n v="378.6"/>
        <n v="723.86"/>
        <n v="2761.84"/>
        <n v="137427.76"/>
        <n v="7.96"/>
        <n v="12856.47"/>
        <n v="21498.720000000001"/>
        <n v="68200.319999999992"/>
        <n v="1343.6399999999999"/>
        <n v="4262.5199999999995"/>
        <n v="4826.07"/>
        <n v="465.72"/>
        <n v="77217.119999999995"/>
        <n v="13083.12"/>
        <n v="471.21"/>
        <n v="730.44"/>
        <n v="292.64"/>
        <n v="42770.159999999996"/>
        <n v="3060.2400000000002"/>
        <n v="456.40000000000003"/>
        <n v="248.49"/>
        <n v="1820.4"/>
        <n v="2013.67"/>
        <n v="32837.94"/>
        <n v="1184.1500000000001"/>
        <n v="2643.36"/>
        <n v="176.04999999999998"/>
        <n v="59997.840000000004"/>
        <n v="17678.36"/>
        <n v="803.49"/>
        <n v="64.38"/>
        <n v="41519.25"/>
        <n v="861.21"/>
        <n v="4318.3999999999996"/>
        <n v="28398.120000000003"/>
        <n v="1166.56"/>
        <n v="4794.84"/>
        <n v="5750.7000000000007"/>
        <n v="24943.24"/>
        <n v="8465.76"/>
        <n v="7906.86"/>
        <n v="44101.899999999994"/>
        <n v="9399.1299999999992"/>
        <n v="18646.8"/>
        <n v="799.47"/>
        <n v="11075.4"/>
        <n v="692.18999999999994"/>
        <n v="2270.1"/>
        <n v="870.72"/>
        <n v="4857"/>
        <n v="2128.6099999999997"/>
        <n v="2209.34"/>
        <n v="19.440000000000001"/>
        <n v="97369.23"/>
        <n v="4434.42"/>
        <n v="2837.5199999999995"/>
        <n v="252.95999999999998"/>
        <n v="28.16"/>
        <n v="4364.41"/>
        <n v="148.72"/>
        <n v="529.47"/>
        <n v="17134.260000000002"/>
        <n v="4918.34"/>
        <n v="675.29"/>
        <n v="31661.759999999998"/>
        <n v="2789.16"/>
        <n v="4041.38"/>
        <n v="19579.689999999999"/>
        <n v="34457.47"/>
        <n v="1155.3"/>
        <n v="811.94999999999993"/>
        <n v="30268.69"/>
        <n v="39071.480000000003"/>
        <n v="44287.29"/>
        <n v="169.32"/>
        <n v="1036.1400000000001"/>
        <n v="240.5"/>
        <n v="198284.76"/>
        <n v="5412.06"/>
        <n v="1447.08"/>
        <n v="612.71"/>
        <n v="2583.3000000000002"/>
        <n v="6264.16"/>
        <n v="100.02000000000001"/>
        <n v="1756.44"/>
        <n v="13194.3"/>
        <n v="4334.28"/>
        <n v="5441.3"/>
        <n v="951.75"/>
        <n v="319.64999999999998"/>
        <n v="7436.5999999999995"/>
        <n v="14.53"/>
        <n v="1008.21"/>
        <n v="390.48"/>
        <n v="103042.8"/>
        <n v="801.54"/>
        <n v="5668.74"/>
        <n v="34.840000000000003"/>
        <n v="172.08"/>
        <n v="186.64"/>
        <n v="3.53"/>
        <n v="706.56"/>
        <n v="26242.14"/>
        <n v="776.51"/>
        <n v="2485.35"/>
        <n v="121.16999999999999"/>
        <n v="47.12"/>
        <n v="5933.88"/>
        <n v="2055.69"/>
        <n v="652.04"/>
        <n v="7326.88"/>
        <n v="5669.28"/>
        <n v="18.73"/>
        <n v="29126.159999999996"/>
        <n v="3478.8"/>
        <n v="19.16"/>
        <n v="21558.68"/>
        <n v="12072.72"/>
        <n v="289.5"/>
        <n v="2189.16"/>
        <n v="231.24"/>
        <n v="22247.4"/>
        <n v="2814.6499999999996"/>
        <n v="204.26"/>
        <n v="19609.560000000001"/>
        <n v="856.56"/>
        <n v="100.79"/>
        <n v="395.66999999999996"/>
        <n v="12506.900000000001"/>
        <n v="4060.62"/>
        <n v="435.36"/>
        <n v="1414.05"/>
        <n v="575.46999999999991"/>
        <n v="3339.76"/>
        <n v="11043.199999999999"/>
        <n v="299.60000000000002"/>
        <n v="13.94"/>
        <n v="3675.2"/>
        <n v="17339.849999999999"/>
        <n v="678.07999999999993"/>
        <n v="102518.64"/>
        <n v="2778.8999999999996"/>
        <n v="16023.01"/>
        <n v="5809.44"/>
        <n v="9263.16"/>
        <n v="13894.44"/>
        <n v="12232.640000000001"/>
        <n v="10621.06"/>
        <n v="800.46999999999991"/>
        <n v="692.40000000000009"/>
        <n v="177.03000000000003"/>
        <n v="5147.8999999999996"/>
        <n v="8041.7699999999995"/>
        <n v="45179.199999999997"/>
        <n v="189.45"/>
        <n v="3781.69"/>
        <n v="2068.9900000000002"/>
        <n v="1165.8599999999999"/>
        <n v="593.28"/>
        <n v="28.58"/>
        <n v="135.84"/>
        <n v="40.71"/>
        <n v="554.79999999999995"/>
        <n v="154261.15000000002"/>
        <n v="60.88"/>
        <n v="107308.08"/>
        <n v="67.44"/>
        <n v="5881.04"/>
        <n v="3128.29"/>
        <n v="2922.42"/>
        <n v="1025.04"/>
        <n v="17202.78"/>
        <n v="100650.76"/>
        <n v="14762.78"/>
        <n v="3665.9000000000005"/>
        <n v="267853.06"/>
        <n v="2354.04"/>
        <n v="918.48"/>
        <n v="5462.1"/>
        <n v="1364.3000000000002"/>
        <n v="72064.36"/>
        <n v="1646543.8800000001"/>
        <n v="5697.25"/>
        <n v="5049.5399999999991"/>
        <n v="102908.97"/>
        <n v="61355.56"/>
        <n v="303.39"/>
        <n v="7229.28"/>
        <n v="222.64"/>
        <n v="14863.4"/>
        <n v="4468.8599999999997"/>
        <n v="99201.97"/>
        <n v="52.1"/>
        <n v="412.83"/>
        <n v="1027.08"/>
        <n v="2423.2800000000002"/>
        <n v="84726"/>
        <n v="151.46"/>
        <n v="20.38"/>
        <n v="64.19"/>
        <n v="1659.98"/>
        <n v="397.35"/>
        <n v="5018.24"/>
        <n v="12764.62"/>
        <n v="516.85"/>
        <n v="925.06"/>
        <n v="419.44"/>
        <n v="13095.84"/>
        <n v="2871.19"/>
        <n v="5660.34"/>
        <n v="2024.83"/>
        <n v="268.87"/>
        <n v="1707.42"/>
        <n v="3019.32"/>
        <n v="6047.79"/>
        <n v="140.57999999999998"/>
        <n v="7244.82"/>
        <n v="87.84"/>
        <n v="171.99"/>
        <n v="6051.18"/>
        <n v="55751.199999999997"/>
        <n v="454.19"/>
        <n v="886.4"/>
        <n v="22109.18"/>
        <n v="494.78000000000003"/>
        <n v="17686.899999999998"/>
        <n v="3845.22"/>
        <n v="169.14000000000001"/>
        <n v="1429.56"/>
        <n v="61522.76"/>
        <n v="21883.759999999998"/>
        <n v="3176.03"/>
        <n v="21929.26"/>
        <n v="36651.040000000001"/>
        <n v="2363.1299999999997"/>
        <n v="10.65"/>
        <n v="496.17"/>
        <n v="430.64"/>
        <n v="1914.25"/>
        <n v="313.59999999999997"/>
        <n v="1413.86"/>
        <n v="994.42000000000007"/>
        <n v="292.60000000000002"/>
        <n v="3273.66"/>
        <n v="63.72"/>
        <n v="21.28"/>
        <n v="3379.15"/>
        <n v="112"/>
        <n v="6956.0400000000009"/>
        <n v="1781.68"/>
        <n v="441.04"/>
        <n v="683.40000000000009"/>
        <n v="8355.52"/>
        <n v="140.05000000000001"/>
        <n v="803.5"/>
        <n v="99.69"/>
        <n v="1067.43"/>
        <n v="1283"/>
        <n v="11.35"/>
        <n v="105436.5"/>
        <n v="14831.320000000002"/>
        <n v="15634.220000000001"/>
        <n v="4644.5999999999995"/>
        <n v="46144.2"/>
        <n v="3.77"/>
        <n v="4466.0200000000004"/>
        <n v="79795.759999999995"/>
        <n v="8.34"/>
        <n v="126.64"/>
        <n v="586.04"/>
        <n v="9102.9600000000009"/>
        <n v="925.6099999999999"/>
        <n v="2103.3000000000002"/>
        <n v="2856.68"/>
        <n v="4414.6499999999996"/>
        <n v="14057.2"/>
        <n v="1786.04"/>
        <n v="347.59999999999997"/>
        <n v="1684.9499999999998"/>
        <n v="3723.57"/>
        <n v="111.2"/>
        <n v="39892.590000000004"/>
        <n v="2221.7999999999997"/>
        <n v="2232.6799999999998"/>
        <n v="8.39"/>
        <n v="3916.0099999999998"/>
        <n v="12165.2"/>
        <n v="12700.32"/>
        <n v="54.929999999999993"/>
        <n v="59222.64"/>
        <n v="357.21000000000004"/>
        <n v="14191.289999999999"/>
        <n v="77.47"/>
        <n v="1430.38"/>
        <n v="1854.36"/>
        <n v="20443.060000000001"/>
        <n v="266312.68"/>
        <n v="206.1"/>
        <n v="15757.02"/>
        <n v="8.24"/>
        <n v="5128.88"/>
        <n v="106.44"/>
        <n v="12780.24"/>
        <n v="414"/>
        <n v="495.09999999999997"/>
        <n v="139.19999999999999"/>
        <n v="4412.08"/>
        <n v="1713.48"/>
        <n v="8191.1200000000008"/>
        <n v="291"/>
        <n v="10234.539999999999"/>
        <n v="8671"/>
        <n v="171.96"/>
        <n v="197.07"/>
        <n v="21985.68"/>
        <n v="465.95"/>
        <n v="3997.07"/>
        <n v="5288.25"/>
        <n v="185.67999999999998"/>
        <n v="16653.420000000002"/>
        <n v="1634.64"/>
        <n v="860.51"/>
        <n v="32.659999999999997"/>
        <n v="44.55"/>
        <n v="450"/>
        <n v="6569.07"/>
        <n v="1323.3"/>
        <n v="161.16"/>
        <n v="605.08000000000004"/>
        <n v="21.02"/>
        <n v="899.16000000000008"/>
        <n v="15080.89"/>
        <n v="30621.439999999999"/>
        <n v="43073.919999999998"/>
        <n v="9910.94"/>
        <n v="734.4"/>
        <n v="1222.8399999999999"/>
        <n v="1939.8400000000001"/>
        <n v="600.66"/>
        <n v="220.78"/>
        <n v="60250.969999999994"/>
        <n v="124168.51"/>
        <n v="2530.6"/>
        <n v="5528.6200000000008"/>
        <n v="283.01"/>
        <n v="4994.8600000000006"/>
        <n v="158.19999999999999"/>
        <n v="10741.84"/>
        <n v="163.79999999999998"/>
        <n v="4379.96"/>
        <n v="1378.92"/>
        <n v="8410.68"/>
        <n v="260.66000000000003"/>
        <n v="42493.7"/>
        <n v="146885.41999999998"/>
        <n v="291.39999999999998"/>
        <n v="1025.5"/>
        <n v="77.959999999999994"/>
        <n v="273.27999999999997"/>
        <n v="361.02"/>
        <n v="768.05000000000007"/>
        <n v="32542.240000000002"/>
        <n v="369.93"/>
        <n v="21276.199999999997"/>
        <n v="5582.0999999999995"/>
        <n v="47278.84"/>
        <n v="1363.23"/>
        <n v="1315.4399999999998"/>
        <n v="10910.460000000001"/>
        <n v="53.699999999999996"/>
        <n v="11098.28"/>
        <n v="280521.77999999997"/>
        <n v="102.69999999999999"/>
        <n v="156800.79999999999"/>
        <n v="4377.32"/>
        <n v="3899.7000000000003"/>
        <n v="507.54"/>
        <n v="232001.27999999997"/>
        <n v="2691.6000000000004"/>
        <n v="168.25"/>
        <n v="661.2"/>
        <n v="3.07"/>
        <n v="255.83"/>
        <n v="8423.6"/>
        <n v="19284.440000000002"/>
        <n v="132012.6"/>
        <n v="32615.82"/>
        <n v="7997.6"/>
        <n v="7918.17"/>
        <n v="58000.74"/>
        <n v="203.70000000000002"/>
        <n v="604.67999999999995"/>
        <n v="3678.84"/>
        <n v="11688.81"/>
        <n v="580.32000000000005"/>
        <n v="9690.5400000000009"/>
        <n v="59.04"/>
        <n v="176379.12"/>
        <n v="1078.77"/>
        <n v="1700.79"/>
        <n v="2407.3200000000002"/>
        <n v="2616.13"/>
        <n v="106.04"/>
        <n v="248.84"/>
        <n v="7.21"/>
        <n v="1015.48"/>
        <n v="82326.44"/>
        <n v="10967.75"/>
        <n v="57052.52"/>
        <n v="10789.380000000001"/>
        <n v="18180"/>
        <n v="253110.22"/>
        <n v="51272.1"/>
        <n v="56.04"/>
        <n v="399.29999999999995"/>
        <n v="96.18"/>
        <n v="228.15"/>
        <n v="231.84"/>
        <n v="434"/>
        <n v="8402.02"/>
        <n v="34275.15"/>
        <n v="245689.43"/>
        <n v="2048.09"/>
        <n v="14735.28"/>
        <n v="3244.67"/>
        <n v="34412.700000000004"/>
        <n v="46849.25"/>
        <n v="4551.75"/>
        <n v="5170.28"/>
        <n v="6861.6"/>
        <n v="5480.64"/>
        <n v="27.96"/>
        <n v="17989.18"/>
        <n v="584.79999999999995"/>
        <n v="320.39999999999998"/>
        <n v="8941.2800000000007"/>
        <n v="1614"/>
        <n v="847.30000000000007"/>
        <n v="115362.4"/>
        <n v="110.5"/>
        <n v="1653.66"/>
        <n v="1007.1600000000001"/>
        <n v="387.76"/>
        <n v="4951.25"/>
        <n v="2425.3200000000002"/>
        <n v="674.09999999999991"/>
        <n v="220.32"/>
        <n v="24121.649999999998"/>
        <n v="698.25"/>
        <n v="1131.02"/>
        <n v="824.64"/>
        <n v="8665.44"/>
        <n v="1008.0200000000001"/>
        <n v="2170.3200000000002"/>
        <n v="27469.4"/>
        <n v="1286.8800000000001"/>
        <n v="659.61"/>
        <n v="23690.560000000001"/>
        <n v="1480.87"/>
        <n v="1534.14"/>
        <n v="4.95"/>
        <n v="1844.96"/>
        <n v="1733.25"/>
        <n v="475.2"/>
        <n v="664.59999999999991"/>
        <n v="106.05000000000001"/>
        <n v="3971.36"/>
        <n v="69470.5"/>
        <n v="6750.5399999999991"/>
        <n v="265.32"/>
        <n v="48880.95"/>
        <n v="390.4"/>
        <n v="34235.96"/>
        <n v="805.28"/>
        <n v="3582.12"/>
        <n v="84613.319999999992"/>
        <n v="251.51"/>
        <n v="16108.4"/>
        <n v="1205.68"/>
        <n v="461.22"/>
        <n v="7866.6"/>
        <n v="742.43999999999994"/>
        <n v="293.28000000000003"/>
        <n v="64.679999999999993"/>
        <n v="1317.36"/>
        <n v="436.43999999999994"/>
        <n v="5025"/>
        <n v="4226.3099999999995"/>
        <n v="2316.25"/>
        <n v="6700.92"/>
        <n v="3772.8600000000006"/>
        <n v="16945.050000000003"/>
        <n v="21954.329999999998"/>
        <n v="736.16"/>
        <n v="567.1"/>
        <n v="351269.27999999997"/>
        <n v="5103.84"/>
        <n v="13917.48"/>
        <n v="40.44"/>
        <n v="12391.76"/>
        <n v="1689.3000000000002"/>
        <n v="336.84"/>
        <n v="271.18"/>
        <n v="670.45"/>
        <n v="191.73"/>
        <n v="6188.5"/>
        <n v="927.92"/>
        <n v="136.22"/>
        <n v="537"/>
        <n v="36.92"/>
        <n v="1441.9499999999998"/>
        <n v="443.76"/>
        <n v="16253.1"/>
        <n v="622.82000000000005"/>
        <n v="44484.600000000006"/>
        <n v="47688.06"/>
        <n v="1051.18"/>
        <n v="19739.340000000004"/>
        <n v="2528.48"/>
        <n v="24756.62"/>
        <n v="2899.3799999999997"/>
        <n v="70.66"/>
        <n v="6070.95"/>
        <n v="20654.88"/>
        <n v="14704.36"/>
        <n v="649.24"/>
        <n v="777.67"/>
        <n v="373.94"/>
        <n v="8.49"/>
        <n v="768.79"/>
        <n v="1006.46"/>
        <n v="28.8"/>
        <n v="1103.22"/>
        <n v="1637.25"/>
        <n v="17734.079999999998"/>
        <n v="261.71999999999997"/>
        <n v="19761.82"/>
        <n v="3735.24"/>
        <n v="283744.80000000005"/>
        <n v="316189.80000000005"/>
        <n v="40679.819999999992"/>
        <n v="382.14"/>
        <n v="3768.7200000000003"/>
        <n v="1009.99"/>
        <n v="1198.08"/>
        <n v="33"/>
        <n v="14431.920000000002"/>
        <n v="3147.04"/>
        <n v="362.52"/>
        <n v="13564.65"/>
        <n v="1162.32"/>
        <n v="9953.4499999999989"/>
        <n v="34.880000000000003"/>
        <n v="69912.59"/>
        <n v="280.89999999999998"/>
        <n v="5650.75"/>
        <n v="380.59"/>
        <n v="1109.5700000000002"/>
        <n v="22284.959999999999"/>
        <n v="425.6"/>
        <n v="1659.64"/>
        <n v="274.17"/>
        <n v="7484.73"/>
        <n v="1518.39"/>
        <n v="18598.649999999998"/>
        <n v="1672.5500000000002"/>
        <n v="343.7"/>
        <n v="492.88"/>
        <n v="4180.68"/>
        <n v="28546.98"/>
        <n v="1310.82"/>
        <n v="224.28000000000003"/>
        <n v="237"/>
        <n v="780"/>
        <n v="7806.7000000000007"/>
        <n v="137.10000000000002"/>
        <n v="9607.7799999999988"/>
        <n v="396.11"/>
        <n v="1551.36"/>
        <n v="4.21"/>
        <n v="3550.28"/>
        <n v="8320.41"/>
        <n v="11109.23"/>
        <n v="1266.3"/>
        <n v="31.9"/>
        <n v="127.05000000000001"/>
        <n v="510.24"/>
        <n v="20774.060000000001"/>
        <n v="41.64"/>
        <n v="45594.239999999998"/>
        <n v="228.24"/>
        <n v="595.42000000000007"/>
        <n v="103.39"/>
        <n v="3506.64"/>
        <n v="266.77"/>
        <n v="508.38"/>
        <n v="9419.41"/>
        <n v="511.3"/>
        <n v="1114.54"/>
        <n v="1759.84"/>
        <n v="7200.96"/>
        <n v="950.48"/>
        <n v="176.42"/>
        <n v="22925.759999999998"/>
        <n v="607.74"/>
        <n v="835.56000000000006"/>
        <n v="9127.6"/>
        <n v="384.21"/>
        <n v="3601.51"/>
        <n v="7573.68"/>
        <n v="10060.549999999999"/>
        <n v="4244.9400000000005"/>
        <n v="1325.6"/>
        <n v="1318.46"/>
        <n v="21209.68"/>
        <n v="350.64"/>
        <n v="160969"/>
        <n v="71744.11"/>
        <n v="19220.46"/>
        <n v="6147"/>
        <n v="60273.9"/>
        <n v="17.32"/>
        <n v="316638.89999999997"/>
        <n v="13997.12"/>
        <n v="19902.399999999998"/>
        <n v="13055.68"/>
        <n v="22516.560000000001"/>
        <n v="1243.8999999999999"/>
        <n v="212.45999999999998"/>
        <n v="633.07999999999993"/>
        <n v="10.72"/>
        <n v="152700.15"/>
        <n v="297.08"/>
        <n v="6938.55"/>
        <n v="2382.0300000000002"/>
        <n v="2099.35"/>
        <n v="4448.16"/>
        <n v="36014.25"/>
        <n v="43818.3"/>
        <n v="1393.1999999999998"/>
        <n v="205.92000000000002"/>
        <n v="1939.49"/>
        <n v="727.86"/>
        <n v="748.34999999999991"/>
        <n v="305.5"/>
        <n v="193.81"/>
        <n v="4377.16"/>
        <n v="60704.81"/>
        <n v="405.96"/>
        <n v="10.86"/>
        <n v="67968.22"/>
        <n v="4587.4800000000005"/>
        <n v="32624.38"/>
        <n v="243677.94"/>
        <n v="36309.06"/>
        <n v="286.70999999999998"/>
        <n v="1930.32"/>
        <n v="14320.8"/>
        <n v="2213.6000000000004"/>
        <n v="4625.3999999999996"/>
        <n v="19.32"/>
        <n v="361.20000000000005"/>
        <n v="4962.99"/>
        <n v="385.11"/>
        <n v="20110.420000000002"/>
        <n v="208.39"/>
        <n v="1766.28"/>
        <n v="352.53000000000003"/>
        <n v="1669.1499999999999"/>
        <n v="104014.82"/>
        <n v="4037.22"/>
        <n v="358.40000000000003"/>
        <n v="1664237.68"/>
        <n v="5331.96"/>
        <n v="234.25"/>
        <n v="2432.8199999999997"/>
        <n v="91612.659999999989"/>
        <n v="174.5"/>
        <n v="390.15000000000003"/>
        <n v="4583.91"/>
        <n v="2549.7800000000002"/>
        <n v="1469.7"/>
        <n v="2300.94"/>
        <n v="3478.56"/>
        <n v="43545.5"/>
        <n v="292.33999999999997"/>
        <n v="294.14000000000004"/>
        <n v="81513.08"/>
        <n v="2836.08"/>
        <n v="443.16"/>
        <n v="68.45"/>
        <n v="716"/>
        <n v="244.14"/>
        <n v="2341.9800000000005"/>
        <n v="1012.02"/>
        <n v="7010.75"/>
        <n v="2067.8000000000002"/>
        <n v="12190.92"/>
        <n v="55730.559999999998"/>
        <n v="129.25"/>
        <n v="477.48"/>
        <n v="3352.96"/>
        <n v="1036.0999999999999"/>
        <n v="1426.8000000000002"/>
        <n v="6278.58"/>
        <n v="5001.3"/>
        <n v="21849.899999999998"/>
        <n v="9529.6"/>
        <n v="497.13"/>
        <n v="16607.37"/>
        <n v="42.599999999999994"/>
        <n v="261.05"/>
        <n v="681.28"/>
        <n v="1016.4499999999999"/>
        <n v="19756.88"/>
        <n v="188.4"/>
        <n v="240.24"/>
        <n v="4316.95"/>
        <n v="3067.5"/>
        <n v="298.8"/>
        <n v="2396.12"/>
        <n v="1427.68"/>
        <n v="408.48"/>
        <n v="1568.88"/>
        <n v="598.43999999999994"/>
        <n v="145.07999999999998"/>
        <n v="4607120.8499999996"/>
        <n v="84602.18"/>
        <n v="291403.98"/>
        <n v="4192.7"/>
        <n v="180"/>
        <n v="11.78"/>
        <n v="20.96"/>
        <n v="133.30000000000001"/>
        <n v="354.6"/>
        <n v="25985.4"/>
        <n v="35.28"/>
        <n v="1558.8300000000002"/>
        <n v="12543.800000000001"/>
        <n v="3677.5199999999995"/>
        <n v="465.28"/>
        <n v="53960.97"/>
        <n v="1263.8399999999999"/>
        <n v="25561.269999999997"/>
        <n v="60.76"/>
        <n v="237.96"/>
        <n v="57.84"/>
        <n v="21385.65"/>
        <n v="227.34"/>
        <n v="1472.32"/>
        <n v="31.96"/>
        <n v="1472.55"/>
        <n v="1589.6999999999998"/>
        <n v="532.1"/>
        <n v="2210.4"/>
        <n v="2823.8"/>
        <n v="3699.2"/>
        <n v="6569.36"/>
        <n v="2328.96"/>
        <n v="1664.39"/>
        <n v="3162.7999999999997"/>
        <n v="28501.99"/>
        <n v="2253.6000000000004"/>
        <n v="456031.84"/>
        <n v="2630.44"/>
        <n v="2661.67"/>
        <n v="483.24"/>
        <n v="289.8"/>
        <n v="2233.42"/>
        <n v="1608.87"/>
        <n v="21.92"/>
        <n v="33170.239999999998"/>
        <n v="42922.990000000005"/>
        <n v="113.44"/>
        <n v="25427.879999999997"/>
        <n v="4188.2"/>
        <n v="3795.77"/>
        <n v="10.96"/>
        <n v="90214.63"/>
        <n v="68.010000000000005"/>
        <n v="3151.84"/>
        <n v="135.03"/>
        <n v="10.42"/>
        <n v="114.60000000000001"/>
        <n v="247.2"/>
        <n v="33083.119999999995"/>
        <n v="656.9"/>
        <n v="4639.32"/>
        <n v="351.52"/>
        <n v="389.79"/>
        <n v="4265.0999999999995"/>
        <n v="39130.199999999997"/>
        <n v="180.14"/>
        <n v="4379.04"/>
        <n v="24.32"/>
        <n v="442.68"/>
        <n v="2046.2400000000002"/>
        <n v="3944.5"/>
        <n v="2640.55"/>
        <n v="261.63"/>
        <n v="160.6"/>
        <n v="723.68"/>
        <n v="5604.36"/>
        <n v="2435.2399999999998"/>
        <n v="12129.15"/>
        <n v="8285.81"/>
        <n v="696.48"/>
        <n v="5760.48"/>
        <n v="4420.17"/>
        <n v="4928.22"/>
        <n v="44.62"/>
        <n v="805.92"/>
        <n v="789.12000000000012"/>
        <n v="37.619999999999997"/>
        <n v="13327.52"/>
        <n v="11467.939999999999"/>
        <n v="761.59999999999991"/>
        <n v="10381.400000000001"/>
        <n v="6296"/>
        <n v="26.369999999999997"/>
        <n v="61550.399999999994"/>
        <n v="222391.25999999998"/>
        <n v="2247.56"/>
        <n v="75716.460000000006"/>
        <n v="2193.73"/>
        <n v="996.39"/>
        <n v="226.72"/>
        <n v="2186.7199999999998"/>
        <n v="453.76"/>
        <n v="31322.879999999997"/>
        <n v="264.08"/>
        <n v="396.24"/>
        <n v="22731"/>
        <n v="111070.39000000001"/>
        <n v="7606.2000000000007"/>
        <n v="1290.1200000000001"/>
        <n v="19790.759999999998"/>
        <n v="849.2"/>
        <n v="139697.25"/>
        <n v="5915.9299999999994"/>
        <n v="8663.0399999999991"/>
        <n v="10864.880000000001"/>
        <n v="36535.199999999997"/>
        <n v="8137.5"/>
        <n v="157438.05000000002"/>
        <n v="28063.35"/>
        <n v="68960.399999999994"/>
        <n v="538.11"/>
        <n v="2402.1"/>
        <n v="8925.0499999999993"/>
        <n v="1590.9"/>
        <n v="350.01"/>
        <n v="541.43999999999994"/>
        <n v="723.6"/>
        <n v="23376.32"/>
        <n v="405.45"/>
        <n v="56360.160000000003"/>
        <n v="5559.3"/>
        <n v="9946.75"/>
        <n v="32.619999999999997"/>
        <n v="2185.56"/>
        <n v="64.28"/>
        <n v="25.26"/>
        <n v="9297.2800000000007"/>
        <n v="220.24"/>
        <n v="226.31"/>
        <n v="7704.7199999999993"/>
        <n v="2137.1999999999998"/>
        <n v="1496.25"/>
        <n v="453.06"/>
        <n v="549.20000000000005"/>
        <n v="9946.86"/>
        <n v="70015.319999999992"/>
        <n v="1629.2400000000002"/>
        <n v="55.43"/>
        <n v="102.30000000000001"/>
        <n v="18637.400000000001"/>
        <n v="171.28"/>
        <n v="776.75"/>
        <n v="3249.8"/>
        <n v="15568.6"/>
        <n v="34385.25"/>
        <n v="840.36"/>
        <n v="921.87000000000012"/>
        <n v="551.04"/>
        <n v="5868.5399999999991"/>
        <n v="4176.92"/>
        <n v="483.29999999999995"/>
        <n v="139.63999999999999"/>
        <n v="47.04"/>
        <n v="10.94"/>
        <n v="3656.9"/>
        <n v="344.87"/>
        <n v="8892.0199999999986"/>
        <n v="55767.64"/>
        <n v="14468.579999999998"/>
        <n v="52437.36"/>
        <n v="226.98"/>
        <n v="208.38"/>
        <n v="1485.18"/>
        <n v="95.56"/>
        <n v="4544"/>
        <n v="188.89"/>
        <n v="93.9"/>
        <n v="4364.88"/>
        <n v="28906.460000000003"/>
        <n v="215.76"/>
        <n v="283.18"/>
        <n v="7309.8"/>
        <n v="280.95"/>
        <n v="163.19999999999999"/>
        <n v="2475.27"/>
        <n v="30061"/>
        <n v="22175.14"/>
        <n v="4635.93"/>
        <n v="18082.68"/>
        <n v="1292.0600000000002"/>
        <n v="246.87"/>
        <n v="4067.4"/>
        <n v="1927.92"/>
        <n v="1713.28"/>
        <n v="310574.71999999997"/>
        <n v="217585.18"/>
        <n v="323792.53999999998"/>
        <n v="19410.88"/>
        <n v="14008"/>
        <n v="18865.419999999998"/>
        <n v="11.16"/>
        <n v="497.41999999999996"/>
        <n v="907.31999999999994"/>
        <n v="338.2"/>
        <n v="1682.9399999999998"/>
        <n v="2581.6"/>
        <n v="83644.22"/>
        <n v="20088.39"/>
        <n v="239.44"/>
        <n v="2055.96"/>
        <n v="1008.48"/>
        <n v="502.12"/>
        <n v="26105.599999999999"/>
        <n v="12911.36"/>
        <n v="301.68"/>
        <n v="12852.25"/>
        <n v="1429.83"/>
        <n v="510.39"/>
        <n v="71205.119999999995"/>
        <n v="28416.75"/>
        <n v="2408.64"/>
        <n v="810.04"/>
        <n v="338.4"/>
        <n v="593.5"/>
        <n v="1164.4000000000001"/>
        <n v="859.65000000000009"/>
        <n v="316.70999999999998"/>
        <n v="14263.83"/>
        <n v="15164.1"/>
        <n v="5068.08"/>
        <n v="9210.1200000000008"/>
        <n v="768031.74"/>
        <n v="14837.6"/>
        <n v="2876.94"/>
        <n v="11184.46"/>
        <n v="2397.42"/>
        <n v="486.65"/>
        <n v="392.73"/>
        <n v="1690.92"/>
        <n v="4956.2"/>
        <n v="359.58"/>
        <n v="1185.24"/>
        <n v="22458.149999999998"/>
        <n v="1204.98"/>
        <n v="3480.7999999999997"/>
        <n v="1316.9"/>
        <n v="69.650000000000006"/>
        <n v="31.71"/>
        <n v="1140.19"/>
        <n v="1182.74"/>
        <n v="15248.400000000001"/>
        <n v="17765.25"/>
        <n v="19658.23"/>
        <n v="233915.24"/>
        <n v="9774.49"/>
        <n v="1036.98"/>
        <n v="5935.54"/>
        <n v="41494.090000000004"/>
        <n v="23782.32"/>
        <n v="492"/>
        <n v="14045.68"/>
        <n v="467.16"/>
        <n v="287.82"/>
        <n v="1558.2599999999998"/>
        <n v="95308.799999999988"/>
        <n v="779.52"/>
        <n v="191.4"/>
        <n v="101.4"/>
        <n v="225.15"/>
        <n v="1538.7"/>
        <n v="61607.259999999995"/>
        <n v="82708.69"/>
        <n v="18828.400000000001"/>
        <n v="2036.54"/>
        <n v="247200.51"/>
        <n v="1132.3"/>
        <n v="11052.9"/>
        <n v="67.680000000000007"/>
        <n v="59.6"/>
        <n v="436.04"/>
        <n v="976.43000000000006"/>
        <n v="11714.58"/>
        <n v="12337.11"/>
        <n v="3501.79"/>
        <n v="252.16"/>
        <n v="8124.3"/>
        <n v="837.19999999999993"/>
        <n v="599"/>
        <n v="99.22"/>
        <n v="9470.56"/>
        <n v="2219.4700000000003"/>
        <n v="9316.86"/>
        <n v="4875.84"/>
        <n v="3188.2999999999997"/>
        <n v="82814.95"/>
        <n v="55112.54"/>
        <n v="1174.6500000000001"/>
        <n v="467.06"/>
        <n v="14.66"/>
        <n v="997.68000000000006"/>
        <n v="4089.75"/>
        <n v="29876.44"/>
        <n v="7894.48"/>
        <n v="4604.13"/>
        <n v="43.25"/>
        <n v="4180"/>
        <n v="199.48"/>
        <n v="469.05"/>
        <n v="2809.9800000000005"/>
        <n v="394.56000000000006"/>
        <n v="850.44"/>
        <n v="374863.25"/>
        <n v="24531.32"/>
        <n v="564"/>
        <n v="1545.12"/>
        <n v="10419.57"/>
        <n v="18444.39"/>
        <n v="353.92"/>
        <n v="956.87999999999988"/>
        <n v="9026.35"/>
        <n v="2657.28"/>
        <n v="2509.54"/>
        <n v="251.8"/>
        <n v="3075.24"/>
        <n v="366.78"/>
        <n v="12.9"/>
        <n v="71.56"/>
        <n v="3070.56"/>
        <n v="5682.3"/>
        <n v="1369.6200000000001"/>
        <n v="538.9"/>
        <n v="21021.42"/>
        <n v="2479.1"/>
        <n v="73.320000000000007"/>
        <n v="87.44"/>
        <n v="801.04"/>
        <n v="10734.4"/>
        <n v="31366.720000000001"/>
        <n v="14.52"/>
        <n v="1960.42"/>
        <n v="195.92"/>
        <n v="81291.149999999994"/>
        <n v="18210.66"/>
        <n v="7115.68"/>
        <n v="10299.6"/>
        <n v="260.45000000000005"/>
        <n v="25128.32"/>
        <n v="9180.48"/>
        <n v="1144.08"/>
        <n v="62206.680000000008"/>
        <n v="216.54000000000002"/>
        <n v="1465.04"/>
        <n v="1895.88"/>
        <n v="13341.68"/>
        <n v="375.57"/>
        <n v="9335.2000000000007"/>
        <n v="16671.8"/>
        <n v="718.68000000000006"/>
        <n v="85.05"/>
        <n v="2595.7800000000002"/>
        <n v="8694.14"/>
        <n v="1203.8399999999999"/>
        <n v="17.62"/>
        <n v="402.9"/>
        <n v="101.24"/>
        <n v="1479.12"/>
        <n v="514.26"/>
        <n v="1993.24"/>
        <n v="8628.6"/>
        <n v="1030.32"/>
        <n v="18143.400000000001"/>
        <n v="526.5"/>
        <n v="1842.68"/>
        <n v="2793.58"/>
        <n v="1068.42"/>
        <n v="108.32"/>
        <n v="724.34999999999991"/>
        <n v="608.52"/>
        <n v="315"/>
        <n v="133.13999999999999"/>
        <n v="3101.92"/>
        <n v="20083.14"/>
        <n v="359059.68000000005"/>
        <n v="24629.33"/>
        <n v="22.13"/>
        <n v="170.85000000000002"/>
        <n v="94.3"/>
        <n v="1921.1000000000001"/>
        <n v="3037.56"/>
        <n v="952.68000000000006"/>
        <n v="1396.71"/>
        <n v="222.29999999999998"/>
        <n v="1308.7199999999998"/>
        <n v="2749.25"/>
        <n v="293.94"/>
        <n v="4769.9399999999996"/>
        <n v="866.45"/>
        <n v="52814.879999999997"/>
        <n v="13153.2"/>
        <n v="943.98"/>
        <n v="82.11"/>
        <n v="785.28"/>
        <n v="1741.65"/>
        <n v="1805"/>
        <n v="9213.27"/>
        <n v="449.76"/>
        <n v="19733.22"/>
        <n v="1519.92"/>
        <n v="119.96"/>
        <n v="11903.2"/>
        <n v="4803.2"/>
        <n v="171.25"/>
        <n v="283.05"/>
        <n v="2988.84"/>
        <n v="1065.96"/>
        <n v="100299.24"/>
        <n v="32355.620000000003"/>
        <n v="4179.68"/>
        <n v="50.62"/>
        <n v="9239.94"/>
        <n v="78.5"/>
        <n v="4083.8999999999996"/>
        <n v="283.39999999999998"/>
        <n v="30145.5"/>
        <n v="8051.76"/>
        <n v="4972.5200000000004"/>
        <n v="1523.8"/>
        <n v="64769.67"/>
        <n v="3731.58"/>
        <n v="3148.6400000000003"/>
        <n v="299.89999999999998"/>
        <n v="2036.7"/>
        <n v="2532.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2">
  <r>
    <n v="2.84"/>
    <n v="0.93"/>
    <n v="3"/>
    <s v="Bonnie Potter"/>
    <s v="Express Air"/>
    <s v="Corporate"/>
    <x v="0"/>
    <x v="0"/>
    <s v="Wrap Bag"/>
    <s v="SANFORD Liquid Accent™ Tank-Style Highlighters"/>
    <n v="0.54"/>
    <s v="United States"/>
    <s v="West"/>
    <s v="Washington"/>
    <s v="Anacortes"/>
    <n v="98221"/>
    <d v="2015-01-07T00:00:00"/>
    <d v="2015-01-08T00:00:00"/>
    <n v="4.5599999999999996"/>
    <n v="4"/>
    <x v="0"/>
    <n v="88522"/>
    <n v="52.04"/>
  </r>
  <r>
    <n v="500.98"/>
    <n v="26"/>
    <n v="5"/>
    <s v="Ronnie Proctor"/>
    <s v="Delivery Truck"/>
    <s v="Home Office"/>
    <x v="1"/>
    <x v="1"/>
    <s v="Jumbo Drum"/>
    <s v="Global Troy™ Executive Leather Low-Back Tilter"/>
    <n v="0.6"/>
    <s v="United States"/>
    <s v="West"/>
    <s v="California"/>
    <s v="San Gabriel"/>
    <n v="91776"/>
    <d v="2015-06-13T00:00:00"/>
    <d v="2015-06-15T00:00:00"/>
    <n v="4390.3665000000001"/>
    <n v="12"/>
    <x v="1"/>
    <n v="90193"/>
    <n v="76354.200000000012"/>
  </r>
  <r>
    <n v="9.48"/>
    <n v="7.29"/>
    <n v="11"/>
    <s v="Marcus Dunlap"/>
    <s v="Regular Air"/>
    <s v="Home Office"/>
    <x v="1"/>
    <x v="2"/>
    <s v="Small Pack"/>
    <s v="DAX Two-Tone Rosewood/Black Document Frame, Desktop, 5 x 7"/>
    <n v="0.45"/>
    <s v="United States"/>
    <s v="East"/>
    <s v="New Jersey"/>
    <s v="Roselle"/>
    <n v="7203"/>
    <d v="2015-02-15T00:00:00"/>
    <d v="2015-02-17T00:00:00"/>
    <n v="-53.809600000000003"/>
    <n v="22"/>
    <x v="2"/>
    <n v="90192"/>
    <n v="4645.3"/>
  </r>
  <r>
    <n v="78.69"/>
    <n v="19.989999999999998"/>
    <n v="14"/>
    <s v="Gwendolyn F Tyson"/>
    <s v="Regular Air"/>
    <s v="Small Business"/>
    <x v="1"/>
    <x v="2"/>
    <s v="Small Box"/>
    <s v="Howard Miller 12-3/4 Diameter Accuwave DS ™ Wall Clock"/>
    <n v="0.43"/>
    <s v="United States"/>
    <s v="Central"/>
    <s v="Minnesota"/>
    <s v="Prior Lake"/>
    <n v="55372"/>
    <d v="2015-05-12T00:00:00"/>
    <d v="2015-05-14T00:00:00"/>
    <n v="803.47050000000002"/>
    <n v="16"/>
    <x v="3"/>
    <n v="86838"/>
    <n v="18631.2"/>
  </r>
  <r>
    <n v="3.28"/>
    <n v="2.31"/>
    <n v="14"/>
    <s v="Gwendolyn F Tyson"/>
    <s v="Regular Air"/>
    <s v="Small Business"/>
    <x v="0"/>
    <x v="0"/>
    <s v="Wrap Bag"/>
    <s v="Newell 321"/>
    <n v="0.56000000000000005"/>
    <s v="United States"/>
    <s v="Central"/>
    <s v="Minnesota"/>
    <s v="Prior Lake"/>
    <n v="55372"/>
    <d v="2015-05-12T00:00:00"/>
    <d v="2015-05-13T00:00:00"/>
    <n v="-24.03"/>
    <n v="7"/>
    <x v="4"/>
    <n v="86838"/>
    <n v="155.61000000000001"/>
  </r>
  <r>
    <n v="3.28"/>
    <n v="4.2"/>
    <n v="14"/>
    <s v="Gwendolyn F Tyson"/>
    <s v="Regular Air"/>
    <s v="Small Business"/>
    <x v="0"/>
    <x v="0"/>
    <s v="Wrap Bag"/>
    <s v="Newell 351"/>
    <n v="0.56000000000000005"/>
    <s v="United States"/>
    <s v="Central"/>
    <s v="Minnesota"/>
    <s v="Prior Lake"/>
    <n v="55372"/>
    <d v="2015-05-12T00:00:00"/>
    <d v="2015-05-13T00:00:00"/>
    <n v="-37.03"/>
    <n v="4"/>
    <x v="5"/>
    <n v="86838"/>
    <n v="55.96"/>
  </r>
  <r>
    <n v="3.58"/>
    <n v="1.63"/>
    <n v="14"/>
    <s v="Gwendolyn F Tyson"/>
    <s v="Regular Air"/>
    <s v="Small Business"/>
    <x v="0"/>
    <x v="3"/>
    <s v="Wrap Bag"/>
    <s v="OIC Colored Binder Clips, Assorted Sizes"/>
    <n v="0.36"/>
    <s v="United States"/>
    <s v="Central"/>
    <s v="Minnesota"/>
    <s v="Prior Lake"/>
    <n v="55372"/>
    <d v="2015-05-12T00:00:00"/>
    <d v="2015-05-13T00:00:00"/>
    <n v="-0.71"/>
    <n v="4"/>
    <x v="6"/>
    <n v="86838"/>
    <n v="57.04"/>
  </r>
  <r>
    <n v="4.42"/>
    <n v="4.99"/>
    <n v="15"/>
    <s v="Timothy Reese"/>
    <s v="Regular Air"/>
    <s v="Small Business"/>
    <x v="0"/>
    <x v="4"/>
    <s v="Small Box"/>
    <s v="Grip Seal Envelopes"/>
    <n v="0.38"/>
    <s v="United States"/>
    <s v="East"/>
    <s v="New York"/>
    <s v="Smithtown"/>
    <n v="11787"/>
    <d v="2015-04-08T00:00:00"/>
    <d v="2015-04-09T00:00:00"/>
    <n v="-59.82"/>
    <n v="7"/>
    <x v="7"/>
    <n v="86837"/>
    <n v="234.29"/>
  </r>
  <r>
    <n v="35.94"/>
    <n v="6.66"/>
    <n v="15"/>
    <s v="Timothy Reese"/>
    <s v="Regular Air"/>
    <s v="Small Business"/>
    <x v="0"/>
    <x v="4"/>
    <s v="Small Box"/>
    <s v="Tyvek ® Top-Opening Peel &amp; Seel ® Envelopes, Gray"/>
    <n v="0.4"/>
    <s v="United States"/>
    <s v="East"/>
    <s v="New York"/>
    <s v="Smithtown"/>
    <n v="11787"/>
    <d v="2015-05-28T00:00:00"/>
    <d v="2015-05-28T00:00:00"/>
    <n v="261.87569999999999"/>
    <n v="10"/>
    <x v="8"/>
    <n v="86839"/>
    <n v="3795.2999999999997"/>
  </r>
  <r>
    <n v="2.98"/>
    <n v="1.58"/>
    <n v="16"/>
    <s v="Sarah Ramsey"/>
    <s v="Regular Air"/>
    <s v="Small Business"/>
    <x v="0"/>
    <x v="3"/>
    <s v="Wrap Bag"/>
    <s v="Staples Gold Paper Clips"/>
    <n v="0.39"/>
    <s v="United States"/>
    <s v="East"/>
    <s v="New York"/>
    <s v="Syracuse"/>
    <n v="13210"/>
    <d v="2015-02-12T00:00:00"/>
    <d v="2015-02-15T00:00:00"/>
    <n v="2.63"/>
    <n v="6"/>
    <x v="9"/>
    <n v="86836"/>
    <n v="112.80000000000001"/>
  </r>
  <r>
    <n v="115.99"/>
    <n v="2.5"/>
    <n v="16"/>
    <s v="Sarah Ramsey"/>
    <s v="Regular Air"/>
    <s v="Small Business"/>
    <x v="2"/>
    <x v="5"/>
    <s v="Small Box"/>
    <s v="StarTAC 7797"/>
    <n v="0.55000000000000004"/>
    <s v="United States"/>
    <s v="East"/>
    <s v="New York"/>
    <s v="Syracuse"/>
    <n v="13210"/>
    <d v="2015-02-12T00:00:00"/>
    <d v="2015-02-14T00:00:00"/>
    <n v="652.73310000000004"/>
    <n v="10"/>
    <x v="10"/>
    <n v="86836"/>
    <n v="9459.9"/>
  </r>
  <r>
    <n v="26.48"/>
    <n v="6.93"/>
    <n v="18"/>
    <s v="Laurie Hanna"/>
    <s v="Regular Air"/>
    <s v="Small Business"/>
    <x v="1"/>
    <x v="2"/>
    <s v="Small Box"/>
    <s v="DAX Natural Wood-Tone Poster Frame"/>
    <n v="0.49"/>
    <s v="United States"/>
    <s v="West"/>
    <s v="Montana"/>
    <s v="Helena"/>
    <n v="59601"/>
    <d v="2015-05-15T00:00:00"/>
    <d v="2015-05-16T00:00:00"/>
    <n v="314.48129999999998"/>
    <n v="17"/>
    <x v="11"/>
    <n v="90031"/>
    <n v="7748.09"/>
  </r>
  <r>
    <n v="12.99"/>
    <n v="9.44"/>
    <n v="19"/>
    <s v="Jim Rodgers"/>
    <s v="Regular Air"/>
    <s v="Small Business"/>
    <x v="2"/>
    <x v="6"/>
    <s v="Medium Box"/>
    <s v="Hewlett Packard 6S Scientific Calculator"/>
    <n v="0.39"/>
    <s v="United States"/>
    <s v="West"/>
    <s v="Montana"/>
    <s v="Missoula"/>
    <n v="59801"/>
    <d v="2015-05-21T00:00:00"/>
    <d v="2015-05-23T00:00:00"/>
    <n v="-114.6399"/>
    <n v="18"/>
    <x v="12"/>
    <n v="90032"/>
    <n v="4172.22"/>
  </r>
  <r>
    <n v="26.48"/>
    <n v="6.93"/>
    <n v="21"/>
    <s v="Tony Wilkins Winters"/>
    <s v="Regular Air"/>
    <s v="Small Business"/>
    <x v="1"/>
    <x v="2"/>
    <s v="Small Box"/>
    <s v="DAX Natural Wood-Tone Poster Frame"/>
    <n v="0.49"/>
    <s v="United States"/>
    <s v="East"/>
    <s v="New York"/>
    <s v="New York City"/>
    <n v="10012"/>
    <d v="2015-05-15T00:00:00"/>
    <d v="2015-05-16T00:00:00"/>
    <n v="384.38"/>
    <n v="70"/>
    <x v="13"/>
    <n v="41793"/>
    <n v="131368.30000000002"/>
  </r>
  <r>
    <n v="5"/>
    <n v="3.39"/>
    <n v="21"/>
    <s v="Tony Wilkins Winters"/>
    <s v="Regular Air"/>
    <s v="Small Business"/>
    <x v="0"/>
    <x v="3"/>
    <s v="Wrap Bag"/>
    <s v="Advantus Plastic Paper Clips"/>
    <n v="0.37"/>
    <s v="United States"/>
    <s v="East"/>
    <s v="New York"/>
    <s v="New York City"/>
    <n v="10012"/>
    <d v="2015-05-21T00:00:00"/>
    <d v="2015-05-22T00:00:00"/>
    <n v="-17.489999999999998"/>
    <n v="58"/>
    <x v="14"/>
    <n v="42949"/>
    <n v="16997.48"/>
  </r>
  <r>
    <n v="12.99"/>
    <n v="9.44"/>
    <n v="21"/>
    <s v="Tony Wilkins Winters"/>
    <s v="Regular Air"/>
    <s v="Small Business"/>
    <x v="2"/>
    <x v="6"/>
    <s v="Medium Box"/>
    <s v="Hewlett Packard 6S Scientific Calculator"/>
    <n v="0.39"/>
    <s v="United States"/>
    <s v="East"/>
    <s v="New York"/>
    <s v="New York City"/>
    <n v="10012"/>
    <d v="2015-05-21T00:00:00"/>
    <d v="2015-05-23T00:00:00"/>
    <n v="-114.6399"/>
    <n v="71"/>
    <x v="15"/>
    <n v="42949"/>
    <n v="64914.59"/>
  </r>
  <r>
    <n v="55.48"/>
    <n v="14.3"/>
    <n v="24"/>
    <s v="Edna Thomas"/>
    <s v="Regular Air"/>
    <s v="Corporate"/>
    <x v="0"/>
    <x v="7"/>
    <s v="Small Box"/>
    <s v="Xerox 194"/>
    <n v="0.37"/>
    <s v="United States"/>
    <s v="West"/>
    <s v="California"/>
    <s v="Laguna Niguel"/>
    <n v="92677"/>
    <d v="2015-01-28T00:00:00"/>
    <d v="2015-01-29T00:00:00"/>
    <n v="-28.296800000000001"/>
    <n v="1"/>
    <x v="16"/>
    <n v="87651"/>
    <n v="67.489999999999995"/>
  </r>
  <r>
    <n v="1.68"/>
    <n v="1.57"/>
    <n v="24"/>
    <s v="Edna Thomas"/>
    <s v="Regular Air"/>
    <s v="Corporate"/>
    <x v="0"/>
    <x v="0"/>
    <s v="Wrap Bag"/>
    <s v="Newell 323"/>
    <n v="0.59"/>
    <s v="United States"/>
    <s v="West"/>
    <s v="California"/>
    <s v="Laguna Niguel"/>
    <n v="92677"/>
    <d v="2015-01-28T00:00:00"/>
    <d v="2015-01-30T00:00:00"/>
    <n v="-5.3071999999999999"/>
    <n v="1"/>
    <x v="17"/>
    <n v="87651"/>
    <n v="2.25"/>
  </r>
  <r>
    <n v="4.1399999999999997"/>
    <n v="6.6"/>
    <n v="27"/>
    <s v="Guy Gallagher"/>
    <s v="Regular Air"/>
    <s v="Corporate"/>
    <x v="1"/>
    <x v="2"/>
    <s v="Small Box"/>
    <s v="Eldon Image Series Black Desk Accessories"/>
    <n v="0.49"/>
    <s v="United States"/>
    <s v="West"/>
    <s v="California"/>
    <s v="Lakewood"/>
    <n v="90712"/>
    <d v="2015-05-02T00:00:00"/>
    <d v="2015-05-04T00:00:00"/>
    <n v="8.8940000000000001"/>
    <n v="12"/>
    <x v="18"/>
    <n v="87652"/>
    <n v="657.36"/>
  </r>
  <r>
    <n v="34.99"/>
    <n v="7.73"/>
    <n v="32"/>
    <s v="Matthew Berman"/>
    <s v="Regular Air"/>
    <s v="Corporate"/>
    <x v="0"/>
    <x v="0"/>
    <s v="Small Box"/>
    <s v="Hunt Boston® Vacuum Mount KS Pencil Sharpener"/>
    <n v="0.59"/>
    <s v="United States"/>
    <s v="West"/>
    <s v="Oregon"/>
    <s v="Grants Pass"/>
    <n v="97526"/>
    <d v="2015-02-22T00:00:00"/>
    <d v="2015-02-23T00:00:00"/>
    <n v="144.69"/>
    <n v="13"/>
    <x v="19"/>
    <n v="89199"/>
    <n v="5520.84"/>
  </r>
  <r>
    <n v="17.98"/>
    <n v="8.51"/>
    <n v="32"/>
    <s v="Matthew Berman"/>
    <s v="Regular Air"/>
    <s v="Corporate"/>
    <x v="2"/>
    <x v="6"/>
    <s v="Medium Box"/>
    <s v="Canon P1-DHIII Palm Printing Calculator"/>
    <n v="0.4"/>
    <s v="United States"/>
    <s v="West"/>
    <s v="Oregon"/>
    <s v="Grants Pass"/>
    <n v="97526"/>
    <d v="2015-03-27T00:00:00"/>
    <d v="2015-03-28T00:00:00"/>
    <n v="-35.878799999999998"/>
    <n v="2"/>
    <x v="20"/>
    <n v="89200"/>
    <n v="80.34"/>
  </r>
  <r>
    <n v="125.99"/>
    <n v="7.69"/>
    <n v="32"/>
    <s v="Matthew Berman"/>
    <s v="Express Air"/>
    <s v="Corporate"/>
    <x v="2"/>
    <x v="5"/>
    <s v="Small Box"/>
    <s v="StarTAC 3000"/>
    <n v="0.59"/>
    <s v="United States"/>
    <s v="West"/>
    <s v="Oregon"/>
    <s v="Grants Pass"/>
    <n v="97526"/>
    <d v="2015-01-20T00:00:00"/>
    <d v="2015-01-22T00:00:00"/>
    <n v="209.99700000000001"/>
    <n v="8"/>
    <x v="21"/>
    <n v="89202"/>
    <n v="6268.4"/>
  </r>
  <r>
    <n v="205.99"/>
    <n v="8.99"/>
    <n v="32"/>
    <s v="Matthew Berman"/>
    <s v="Regular Air"/>
    <s v="Corporate"/>
    <x v="2"/>
    <x v="5"/>
    <s v="Small Box"/>
    <s v="TimeportP7382"/>
    <n v="0.56000000000000005"/>
    <s v="United States"/>
    <s v="West"/>
    <s v="Oregon"/>
    <s v="Grants Pass"/>
    <n v="97526"/>
    <d v="2015-03-12T00:00:00"/>
    <d v="2015-03-19T00:00:00"/>
    <n v="3568.096"/>
    <n v="22"/>
    <x v="22"/>
    <n v="89203"/>
    <n v="84439.08"/>
  </r>
  <r>
    <n v="4.24"/>
    <n v="5.41"/>
    <n v="33"/>
    <s v="Ricky Hensley"/>
    <s v="Regular Air"/>
    <s v="Corporate"/>
    <x v="0"/>
    <x v="8"/>
    <s v="Small Box"/>
    <s v="Storex DuraTech Recycled Plastic Frosted Binders"/>
    <n v="0.35"/>
    <s v="United States"/>
    <s v="West"/>
    <s v="Oregon"/>
    <s v="Gresham"/>
    <n v="97030"/>
    <d v="2015-06-15T00:00:00"/>
    <d v="2015-06-17T00:00:00"/>
    <n v="-84.437600000000003"/>
    <n v="13"/>
    <x v="23"/>
    <n v="89201"/>
    <n v="762.84"/>
  </r>
  <r>
    <n v="2.94"/>
    <n v="0.7"/>
    <n v="33"/>
    <s v="Ricky Hensley"/>
    <s v="Regular Air"/>
    <s v="Corporate"/>
    <x v="0"/>
    <x v="0"/>
    <s v="Wrap Bag"/>
    <s v="Newell 338"/>
    <n v="0.57999999999999996"/>
    <s v="United States"/>
    <s v="West"/>
    <s v="Oregon"/>
    <s v="Gresham"/>
    <n v="97030"/>
    <d v="2015-06-15T00:00:00"/>
    <d v="2015-06-16T00:00:00"/>
    <n v="24.312000000000001"/>
    <n v="18"/>
    <x v="24"/>
    <n v="89201"/>
    <n v="955.80000000000007"/>
  </r>
  <r>
    <n v="99.99"/>
    <n v="19.989999999999998"/>
    <n v="43"/>
    <s v="Theodore Moran"/>
    <s v="Regular Air"/>
    <s v="Consumer"/>
    <x v="2"/>
    <x v="6"/>
    <s v="Small Box"/>
    <s v="AT&amp;T 2230 Dual Handset Phone With Caller ID/Call Waiting"/>
    <n v="0.52"/>
    <s v="United States"/>
    <s v="West"/>
    <s v="Washington"/>
    <s v="Redmond"/>
    <n v="98052"/>
    <d v="2015-05-10T00:00:00"/>
    <d v="2015-05-11T00:00:00"/>
    <n v="25.913820000000001"/>
    <n v="6"/>
    <x v="25"/>
    <n v="91454"/>
    <n v="3882.42"/>
  </r>
  <r>
    <n v="115.99"/>
    <n v="2.5"/>
    <n v="52"/>
    <s v="Lorraine Kelly"/>
    <s v="Regular Air"/>
    <s v="Corporate"/>
    <x v="2"/>
    <x v="5"/>
    <s v="Small Box"/>
    <n v="6160"/>
    <n v="0.56999999999999995"/>
    <s v="United States"/>
    <s v="West"/>
    <s v="Washington"/>
    <s v="Puyallup"/>
    <n v="98373"/>
    <d v="2015-03-10T00:00:00"/>
    <d v="2015-03-10T00:00:00"/>
    <n v="162.666"/>
    <n v="6"/>
    <x v="26"/>
    <n v="88426"/>
    <n v="3762.24"/>
  </r>
  <r>
    <n v="3502.14"/>
    <n v="8.73"/>
    <n v="53"/>
    <s v="Sidney Russell Austin"/>
    <s v="Delivery Truck"/>
    <s v="Corporate"/>
    <x v="2"/>
    <x v="6"/>
    <s v="Jumbo Box"/>
    <s v="Okidata Pacemark 4410N Wide Format Dot Matrix Printer"/>
    <n v="0.56999999999999995"/>
    <s v="United States"/>
    <s v="West"/>
    <s v="Washington"/>
    <s v="Redmond"/>
    <n v="98052"/>
    <d v="2015-01-28T00:00:00"/>
    <d v="2015-01-30T00:00:00"/>
    <n v="-6923.5991999999997"/>
    <n v="1"/>
    <x v="27"/>
    <n v="88425"/>
    <n v="3267.55"/>
  </r>
  <r>
    <n v="5.98"/>
    <n v="5.79"/>
    <n v="53"/>
    <s v="Sidney Russell Austin"/>
    <s v="Regular Air"/>
    <s v="Corporate"/>
    <x v="0"/>
    <x v="7"/>
    <s v="Small Box"/>
    <s v="Xerox 1903"/>
    <n v="0.36"/>
    <s v="United States"/>
    <s v="West"/>
    <s v="Washington"/>
    <s v="Redmond"/>
    <n v="98052"/>
    <d v="2015-03-10T00:00:00"/>
    <d v="2015-03-11T00:00:00"/>
    <n v="-67.489999999999995"/>
    <n v="17"/>
    <x v="28"/>
    <n v="88426"/>
    <n v="1873.23"/>
  </r>
  <r>
    <n v="3.8"/>
    <n v="1.49"/>
    <n v="56"/>
    <s v="Randall Montgomery"/>
    <s v="Regular Air"/>
    <s v="Consumer"/>
    <x v="0"/>
    <x v="8"/>
    <s v="Small Box"/>
    <s v="Durable Pressboard Binders"/>
    <n v="0.38"/>
    <s v="United States"/>
    <s v="East"/>
    <s v="New York"/>
    <s v="Tonawanda"/>
    <n v="14150"/>
    <d v="2015-04-20T00:00:00"/>
    <d v="2015-04-21T00:00:00"/>
    <n v="19.6282"/>
    <n v="20"/>
    <x v="29"/>
    <n v="88075"/>
    <n v="1471"/>
  </r>
  <r>
    <n v="1.76"/>
    <n v="0.7"/>
    <n v="56"/>
    <s v="Randall Montgomery"/>
    <s v="Regular Air"/>
    <s v="Consumer"/>
    <x v="0"/>
    <x v="0"/>
    <s v="Wrap Bag"/>
    <s v="Newell 310"/>
    <n v="0.56000000000000005"/>
    <s v="United States"/>
    <s v="East"/>
    <s v="New York"/>
    <s v="Tonawanda"/>
    <n v="14150"/>
    <d v="2015-04-20T00:00:00"/>
    <d v="2015-04-21T00:00:00"/>
    <n v="-1.6524000000000001"/>
    <n v="17"/>
    <x v="30"/>
    <n v="88075"/>
    <n v="502.69"/>
  </r>
  <r>
    <n v="5.98"/>
    <n v="5.15"/>
    <n v="62"/>
    <s v="Pam Gilbert"/>
    <s v="Regular Air"/>
    <s v="Corporate"/>
    <x v="0"/>
    <x v="7"/>
    <s v="Small Box"/>
    <s v="Xerox 193"/>
    <n v="0.36"/>
    <s v="United States"/>
    <s v="Central"/>
    <s v="Texas"/>
    <s v="Round Rock"/>
    <n v="78664"/>
    <d v="2015-05-09T00:00:00"/>
    <d v="2015-05-11T00:00:00"/>
    <n v="2.14"/>
    <n v="3"/>
    <x v="31"/>
    <n v="87407"/>
    <n v="68.550000000000011"/>
  </r>
  <r>
    <n v="29.14"/>
    <n v="4.8600000000000003"/>
    <n v="62"/>
    <s v="Pam Gilbert"/>
    <s v="Regular Air"/>
    <s v="Corporate"/>
    <x v="0"/>
    <x v="7"/>
    <s v="Wrap Bag"/>
    <s v="Snap-A-Way® Black Print Carbonless Speed Message, No Reply Area, Duplicate"/>
    <n v="0.38"/>
    <s v="United States"/>
    <s v="Central"/>
    <s v="Texas"/>
    <s v="Round Rock"/>
    <n v="78664"/>
    <d v="2015-06-12T00:00:00"/>
    <d v="2015-06-14T00:00:00"/>
    <n v="349.40910000000002"/>
    <n v="17"/>
    <x v="32"/>
    <n v="87408"/>
    <n v="8608.6299999999992"/>
  </r>
  <r>
    <n v="3.69"/>
    <n v="0.5"/>
    <n v="64"/>
    <s v="Lynn Morrow"/>
    <s v="Regular Air"/>
    <s v="Small Business"/>
    <x v="0"/>
    <x v="9"/>
    <s v="Small Box"/>
    <s v="Avery 501"/>
    <n v="0.38"/>
    <s v="United States"/>
    <s v="South"/>
    <s v="Virginia"/>
    <s v="Salem"/>
    <n v="24153"/>
    <d v="2015-03-02T00:00:00"/>
    <d v="2015-03-04T00:00:00"/>
    <n v="-37.5291"/>
    <n v="1"/>
    <x v="33"/>
    <n v="87406"/>
    <n v="4"/>
  </r>
  <r>
    <n v="175.99"/>
    <n v="4.99"/>
    <n v="64"/>
    <s v="Lynn Morrow"/>
    <s v="Express Air"/>
    <s v="Small Business"/>
    <x v="2"/>
    <x v="5"/>
    <s v="Small Box"/>
    <n v="5165"/>
    <n v="0.59"/>
    <s v="United States"/>
    <s v="South"/>
    <s v="Virginia"/>
    <s v="Salem"/>
    <n v="24153"/>
    <d v="2015-03-02T00:00:00"/>
    <d v="2015-03-02T00:00:00"/>
    <n v="101.49"/>
    <n v="4"/>
    <x v="34"/>
    <n v="87406"/>
    <n v="2359.1999999999998"/>
  </r>
  <r>
    <n v="155.06"/>
    <n v="7.07"/>
    <n v="67"/>
    <s v="Ellen McCormick"/>
    <s v="Regular Air"/>
    <s v="Corporate"/>
    <x v="0"/>
    <x v="10"/>
    <s v="Small Box"/>
    <s v="Dual Level, Single-Width Filing Carts"/>
    <n v="0.59"/>
    <s v="United States"/>
    <s v="West"/>
    <s v="California"/>
    <s v="Napa"/>
    <n v="94559"/>
    <d v="2015-01-02T00:00:00"/>
    <d v="2015-01-09T00:00:00"/>
    <n v="845.66399999999999"/>
    <n v="8"/>
    <x v="35"/>
    <n v="87946"/>
    <n v="9804.7999999999993"/>
  </r>
  <r>
    <n v="291.73"/>
    <n v="48.8"/>
    <n v="68"/>
    <s v="Scott Bunn"/>
    <s v="Delivery Truck"/>
    <s v="Corporate"/>
    <x v="1"/>
    <x v="1"/>
    <s v="Jumbo Drum"/>
    <s v="Hon 4070 Series Pagoda™ Armless Upholstered Stacking Chairs"/>
    <n v="0.56000000000000005"/>
    <s v="United States"/>
    <s v="East"/>
    <s v="New York"/>
    <s v="New York City"/>
    <n v="10177"/>
    <d v="2015-01-02T00:00:00"/>
    <d v="2015-01-02T00:00:00"/>
    <n v="-308.928"/>
    <n v="4"/>
    <x v="36"/>
    <n v="37537"/>
    <n v="4956.24"/>
  </r>
  <r>
    <n v="100.98"/>
    <n v="45"/>
    <n v="68"/>
    <s v="Scott Bunn"/>
    <s v="Delivery Truck"/>
    <s v="Corporate"/>
    <x v="1"/>
    <x v="1"/>
    <s v="Jumbo Drum"/>
    <s v="Hon Valutask™ Swivel Chairs"/>
    <n v="0.69"/>
    <s v="United States"/>
    <s v="East"/>
    <s v="New York"/>
    <s v="New York City"/>
    <n v="10177"/>
    <d v="2015-01-02T00:00:00"/>
    <d v="2015-01-04T00:00:00"/>
    <n v="-1679.76"/>
    <n v="43"/>
    <x v="37"/>
    <n v="37537"/>
    <n v="175577.17"/>
  </r>
  <r>
    <n v="155.06"/>
    <n v="7.07"/>
    <n v="68"/>
    <s v="Scott Bunn"/>
    <s v="Regular Air"/>
    <s v="Corporate"/>
    <x v="0"/>
    <x v="10"/>
    <s v="Small Box"/>
    <s v="Dual Level, Single-Width Filing Carts"/>
    <n v="0.59"/>
    <s v="United States"/>
    <s v="East"/>
    <s v="New York"/>
    <s v="New York City"/>
    <n v="10177"/>
    <d v="2015-01-02T00:00:00"/>
    <d v="2015-01-09T00:00:00"/>
    <n v="575.39599999999996"/>
    <n v="32"/>
    <x v="38"/>
    <n v="37537"/>
    <n v="156876.16"/>
  </r>
  <r>
    <n v="122.99"/>
    <n v="70.2"/>
    <n v="68"/>
    <s v="Scott Bunn"/>
    <s v="Delivery Truck"/>
    <s v="Corporate"/>
    <x v="1"/>
    <x v="1"/>
    <s v="Jumbo Drum"/>
    <s v="Global High-Back Leather Tilter, Burgundy"/>
    <n v="0.74"/>
    <s v="United States"/>
    <s v="East"/>
    <s v="New York"/>
    <s v="New York City"/>
    <n v="10177"/>
    <d v="2015-02-02T00:00:00"/>
    <d v="2015-02-04T00:00:00"/>
    <n v="-2426.5500000000002"/>
    <n v="49"/>
    <x v="39"/>
    <n v="55713"/>
    <n v="280223.65000000002"/>
  </r>
  <r>
    <n v="122.99"/>
    <n v="70.2"/>
    <n v="70"/>
    <s v="Annette Boone"/>
    <s v="Delivery Truck"/>
    <s v="Corporate"/>
    <x v="1"/>
    <x v="1"/>
    <s v="Jumbo Drum"/>
    <s v="Global High-Back Leather Tilter, Burgundy"/>
    <n v="0.74"/>
    <s v="United States"/>
    <s v="East"/>
    <s v="Vermont"/>
    <s v="Burlington"/>
    <n v="5401"/>
    <d v="2015-02-02T00:00:00"/>
    <d v="2015-02-04T00:00:00"/>
    <n v="-2426.5500000000002"/>
    <n v="12"/>
    <x v="40"/>
    <n v="87947"/>
    <n v="16806.36"/>
  </r>
  <r>
    <n v="296.18"/>
    <n v="54.12"/>
    <n v="83"/>
    <s v="Edgar Stone"/>
    <s v="Delivery Truck"/>
    <s v="Corporate"/>
    <x v="1"/>
    <x v="11"/>
    <s v="Jumbo Box"/>
    <s v="Hon 94000 Series Round Tables"/>
    <n v="0.76"/>
    <s v="United States"/>
    <s v="East"/>
    <s v="Ohio"/>
    <s v="Canton"/>
    <n v="44708"/>
    <d v="2015-03-15T00:00:00"/>
    <d v="2015-03-15T00:00:00"/>
    <n v="-715.77820599999995"/>
    <n v="6"/>
    <x v="41"/>
    <n v="87365"/>
    <n v="10931.34"/>
  </r>
  <r>
    <n v="8.09"/>
    <n v="7.96"/>
    <n v="84"/>
    <s v="Helen Stein"/>
    <s v="Regular Air"/>
    <s v="Consumer"/>
    <x v="1"/>
    <x v="2"/>
    <s v="Small Box"/>
    <s v="6&quot; Cubicle Wall Clock, Black"/>
    <n v="0.49"/>
    <s v="United States"/>
    <s v="East"/>
    <s v="Ohio"/>
    <s v="Cincinnati"/>
    <n v="45231"/>
    <d v="2015-02-02T00:00:00"/>
    <d v="2015-02-03T00:00:00"/>
    <n v="-144.56"/>
    <n v="11"/>
    <x v="42"/>
    <n v="87364"/>
    <n v="1000.7800000000001"/>
  </r>
  <r>
    <n v="896.99"/>
    <n v="19.989999999999998"/>
    <n v="84"/>
    <s v="Helen Stein"/>
    <s v="Regular Air"/>
    <s v="Corporate"/>
    <x v="0"/>
    <x v="8"/>
    <s v="Small Box"/>
    <s v="GBC DocuBind TL300 Electric Binding System"/>
    <n v="0.38"/>
    <s v="United States"/>
    <s v="East"/>
    <s v="Ohio"/>
    <s v="Cincinnati"/>
    <n v="45231"/>
    <d v="2015-03-30T00:00:00"/>
    <d v="2015-04-02T00:00:00"/>
    <n v="7402.32"/>
    <n v="13"/>
    <x v="43"/>
    <n v="87366"/>
    <n v="139464"/>
  </r>
  <r>
    <n v="161.55000000000001"/>
    <n v="19.989999999999998"/>
    <n v="87"/>
    <s v="Norman Shields"/>
    <s v="Regular Air"/>
    <s v="Corporate"/>
    <x v="0"/>
    <x v="10"/>
    <s v="Small Box"/>
    <s v="Fellowes Super Stor/Drawer® Files"/>
    <n v="0.66"/>
    <s v="United States"/>
    <s v="West"/>
    <s v="California"/>
    <s v="Vacaville"/>
    <n v="95687"/>
    <d v="2015-06-03T00:00:00"/>
    <d v="2015-06-08T00:00:00"/>
    <n v="1892.424"/>
    <n v="19"/>
    <x v="44"/>
    <n v="90596"/>
    <n v="59426.11"/>
  </r>
  <r>
    <n v="4.91"/>
    <n v="0.5"/>
    <n v="87"/>
    <s v="Norman Shields"/>
    <s v="Regular Air"/>
    <s v="Corporate"/>
    <x v="0"/>
    <x v="9"/>
    <s v="Small Box"/>
    <s v="Avery 493"/>
    <n v="0.36"/>
    <s v="United States"/>
    <s v="West"/>
    <s v="California"/>
    <s v="Vacaville"/>
    <n v="95687"/>
    <d v="2015-03-22T00:00:00"/>
    <d v="2015-03-23T00:00:00"/>
    <n v="28.855799999999999"/>
    <n v="9"/>
    <x v="45"/>
    <n v="90597"/>
    <n v="376.38"/>
  </r>
  <r>
    <n v="296.18"/>
    <n v="54.12"/>
    <n v="87"/>
    <s v="Norman Shields"/>
    <s v="Delivery Truck"/>
    <s v="Corporate"/>
    <x v="1"/>
    <x v="11"/>
    <s v="Jumbo Box"/>
    <s v="Hon 94000 Series Round Tables"/>
    <n v="0.76"/>
    <s v="United States"/>
    <s v="West"/>
    <s v="California"/>
    <s v="Vacaville"/>
    <n v="95687"/>
    <d v="2015-03-22T00:00:00"/>
    <d v="2015-03-25T00:00:00"/>
    <n v="173.48"/>
    <n v="9"/>
    <x v="46"/>
    <n v="90597"/>
    <n v="25881.48"/>
  </r>
  <r>
    <n v="19.84"/>
    <n v="4.0999999999999996"/>
    <n v="91"/>
    <s v="Wallace Werner"/>
    <s v="Regular Air"/>
    <s v="Home Office"/>
    <x v="0"/>
    <x v="0"/>
    <s v="Wrap Bag"/>
    <s v="Prismacolor Color Pencil Set"/>
    <n v="0.44"/>
    <s v="United States"/>
    <s v="West"/>
    <s v="California"/>
    <s v="Vallejo"/>
    <n v="94591"/>
    <d v="2015-05-17T00:00:00"/>
    <d v="2015-05-18T00:00:00"/>
    <n v="117.852"/>
    <n v="9"/>
    <x v="47"/>
    <n v="87175"/>
    <n v="1537.2"/>
  </r>
  <r>
    <n v="5.18"/>
    <n v="2.04"/>
    <n v="91"/>
    <s v="Wallace Werner"/>
    <s v="Regular Air"/>
    <s v="Home Office"/>
    <x v="0"/>
    <x v="7"/>
    <s v="Wrap Bag"/>
    <s v="Array® Memo Cubes"/>
    <n v="0.36"/>
    <s v="United States"/>
    <s v="West"/>
    <s v="California"/>
    <s v="Vallejo"/>
    <n v="94591"/>
    <d v="2015-02-18T00:00:00"/>
    <d v="2015-02-20T00:00:00"/>
    <n v="34.010399999999997"/>
    <n v="10"/>
    <x v="48"/>
    <n v="87176"/>
    <n v="535.4"/>
  </r>
  <r>
    <n v="175.99"/>
    <n v="8.99"/>
    <n v="91"/>
    <s v="Wallace Werner"/>
    <s v="Regular Air"/>
    <s v="Corporate"/>
    <x v="2"/>
    <x v="5"/>
    <s v="Small Box"/>
    <n v="2180"/>
    <n v="0.56999999999999995"/>
    <s v="United States"/>
    <s v="West"/>
    <s v="California"/>
    <s v="Vallejo"/>
    <n v="94591"/>
    <d v="2015-03-04T00:00:00"/>
    <d v="2015-03-06T00:00:00"/>
    <n v="2031.5070000000001"/>
    <n v="23"/>
    <x v="49"/>
    <n v="87177"/>
    <n v="77361.19"/>
  </r>
  <r>
    <n v="8.34"/>
    <n v="1.43"/>
    <n v="92"/>
    <s v="Victoria Baker Hoover"/>
    <s v="Regular Air"/>
    <s v="Home Office"/>
    <x v="0"/>
    <x v="7"/>
    <s v="Wrap Bag"/>
    <s v="REDIFORM Incoming/Outgoing Call Register, 11&quot; X 8 1/2&quot;, 100 Messages"/>
    <n v="0.35"/>
    <s v="United States"/>
    <s v="South"/>
    <s v="Louisiana"/>
    <s v="Terrytown"/>
    <n v="70056"/>
    <d v="2015-05-17T00:00:00"/>
    <d v="2015-05-19T00:00:00"/>
    <n v="-190.68"/>
    <n v="16"/>
    <x v="50"/>
    <n v="87175"/>
    <n v="2113.2800000000002"/>
  </r>
  <r>
    <n v="4.9800000000000004"/>
    <n v="6.07"/>
    <n v="92"/>
    <s v="Victoria Baker Hoover"/>
    <s v="Regular Air"/>
    <s v="Home Office"/>
    <x v="0"/>
    <x v="7"/>
    <s v="Small Box"/>
    <s v="Xerox 1897"/>
    <n v="0.36"/>
    <s v="United States"/>
    <s v="South"/>
    <s v="Louisiana"/>
    <s v="Terrytown"/>
    <n v="70056"/>
    <d v="2015-05-17T00:00:00"/>
    <d v="2015-05-18T00:00:00"/>
    <n v="325.39800000000002"/>
    <n v="9"/>
    <x v="51"/>
    <n v="87175"/>
    <n v="408.06000000000006"/>
  </r>
  <r>
    <n v="12.98"/>
    <n v="3.14"/>
    <n v="92"/>
    <s v="Victoria Baker Hoover"/>
    <s v="Express Air"/>
    <s v="Corporate"/>
    <x v="0"/>
    <x v="12"/>
    <s v="Small Pack"/>
    <s v="Acme® 8&quot; Straight Scissors"/>
    <n v="0.6"/>
    <s v="United States"/>
    <s v="South"/>
    <s v="Louisiana"/>
    <s v="Terrytown"/>
    <n v="70056"/>
    <d v="2015-06-07T00:00:00"/>
    <d v="2015-06-09T00:00:00"/>
    <n v="22.818000000000001"/>
    <n v="16"/>
    <x v="52"/>
    <n v="87178"/>
    <n v="3456.64"/>
  </r>
  <r>
    <n v="160.97999999999999"/>
    <n v="30"/>
    <n v="94"/>
    <s v="Eddie House Mueller"/>
    <s v="Delivery Truck"/>
    <s v="Home Office"/>
    <x v="1"/>
    <x v="1"/>
    <s v="Jumbo Drum"/>
    <s v="Office Star - Mid Back Dual function Ergonomic High Back Chair with 2-Way Adjustable Arms"/>
    <n v="0.62"/>
    <s v="United States"/>
    <s v="Central"/>
    <s v="Illinois"/>
    <s v="Chicago"/>
    <n v="60601"/>
    <d v="2015-05-03T00:00:00"/>
    <d v="2015-05-05T00:00:00"/>
    <n v="116.1"/>
    <n v="37"/>
    <x v="53"/>
    <n v="44231"/>
    <n v="232224.58000000002"/>
  </r>
  <r>
    <n v="17.98"/>
    <n v="4"/>
    <n v="94"/>
    <s v="Eddie House Mueller"/>
    <s v="Regular Air"/>
    <s v="Home Office"/>
    <x v="2"/>
    <x v="13"/>
    <s v="Small Box"/>
    <s v="Belkin 107-key enhanced keyboard, USB/PS/2 interface"/>
    <n v="0.79"/>
    <s v="United States"/>
    <s v="Central"/>
    <s v="Illinois"/>
    <s v="Chicago"/>
    <n v="60601"/>
    <d v="2015-05-03T00:00:00"/>
    <d v="2015-05-05T00:00:00"/>
    <n v="-87.96"/>
    <n v="146"/>
    <x v="54"/>
    <n v="44231"/>
    <n v="389002.4"/>
  </r>
  <r>
    <n v="160.97999999999999"/>
    <n v="30"/>
    <n v="97"/>
    <s v="Max McKenna"/>
    <s v="Delivery Truck"/>
    <s v="Home Office"/>
    <x v="1"/>
    <x v="1"/>
    <s v="Jumbo Drum"/>
    <s v="Office Star - Mid Back Dual function Ergonomic High Back Chair with 2-Way Adjustable Arms"/>
    <n v="0.62"/>
    <s v="United States"/>
    <s v="Central"/>
    <s v="Kansas"/>
    <s v="Manhattan"/>
    <n v="66502"/>
    <d v="2015-05-03T00:00:00"/>
    <d v="2015-05-05T00:00:00"/>
    <n v="255.42"/>
    <n v="9"/>
    <x v="55"/>
    <n v="87306"/>
    <n v="13740.12"/>
  </r>
  <r>
    <n v="115.99"/>
    <n v="8.99"/>
    <n v="97"/>
    <s v="Max McKenna"/>
    <s v="Regular Air"/>
    <s v="Home Office"/>
    <x v="2"/>
    <x v="5"/>
    <s v="Small Box"/>
    <n v="5185"/>
    <n v="0.57999999999999996"/>
    <s v="United States"/>
    <s v="Central"/>
    <s v="Kansas"/>
    <s v="Manhattan"/>
    <n v="66502"/>
    <d v="2015-05-03T00:00:00"/>
    <d v="2015-05-04T00:00:00"/>
    <n v="685.6146"/>
    <n v="20"/>
    <x v="56"/>
    <n v="87306"/>
    <n v="39051.199999999997"/>
  </r>
  <r>
    <n v="19.98"/>
    <n v="4"/>
    <n v="101"/>
    <s v="Claudia Boyle"/>
    <s v="Regular Air"/>
    <s v="Consumer"/>
    <x v="2"/>
    <x v="13"/>
    <s v="Small Box"/>
    <s v="Belkin 105-Key Black Keyboard"/>
    <n v="0.68"/>
    <s v="United States"/>
    <s v="East"/>
    <s v="Maine"/>
    <s v="Biddeford"/>
    <n v="4005"/>
    <d v="2015-06-22T00:00:00"/>
    <d v="2015-06-24T00:00:00"/>
    <n v="-16.2"/>
    <n v="16"/>
    <x v="57"/>
    <n v="88205"/>
    <n v="4857.4399999999996"/>
  </r>
  <r>
    <n v="300.98"/>
    <n v="54.92"/>
    <n v="102"/>
    <s v="Caroline Johnston"/>
    <s v="Delivery Truck"/>
    <s v="Consumer"/>
    <x v="1"/>
    <x v="14"/>
    <s v="Jumbo Box"/>
    <s v="Atlantic Metals Mobile 5-Shelf Bookcases, Custom Colors"/>
    <n v="0.55000000000000004"/>
    <s v="United States"/>
    <s v="East"/>
    <s v="Massachusetts"/>
    <s v="Boston"/>
    <n v="2129"/>
    <d v="2015-04-06T00:00:00"/>
    <d v="2015-04-07T00:00:00"/>
    <n v="2023.75"/>
    <n v="31"/>
    <x v="58"/>
    <n v="42599"/>
    <n v="293258.14"/>
  </r>
  <r>
    <n v="19.98"/>
    <n v="4"/>
    <n v="102"/>
    <s v="Caroline Johnston"/>
    <s v="Regular Air"/>
    <s v="Consumer"/>
    <x v="2"/>
    <x v="13"/>
    <s v="Small Box"/>
    <s v="Belkin 105-Key Black Keyboard"/>
    <n v="0.68"/>
    <s v="United States"/>
    <s v="East"/>
    <s v="Massachusetts"/>
    <s v="Boston"/>
    <n v="2129"/>
    <d v="2015-06-22T00:00:00"/>
    <d v="2015-06-24T00:00:00"/>
    <n v="-20.25"/>
    <n v="65"/>
    <x v="59"/>
    <n v="3397"/>
    <n v="80165.8"/>
  </r>
  <r>
    <n v="2.88"/>
    <n v="1.49"/>
    <n v="102"/>
    <s v="Caroline Johnston"/>
    <s v="Regular Air"/>
    <s v="Consumer"/>
    <x v="0"/>
    <x v="8"/>
    <s v="Small Box"/>
    <s v="Avery Durable Binders"/>
    <n v="0.36"/>
    <s v="United States"/>
    <s v="East"/>
    <s v="Massachusetts"/>
    <s v="Boston"/>
    <n v="2129"/>
    <d v="2015-06-22T00:00:00"/>
    <d v="2015-06-23T00:00:00"/>
    <n v="-3.3809999999999998"/>
    <n v="17"/>
    <x v="60"/>
    <n v="3397"/>
    <n v="804.27"/>
  </r>
  <r>
    <n v="300.98"/>
    <n v="54.92"/>
    <n v="107"/>
    <s v="Lois Hamilton"/>
    <s v="Delivery Truck"/>
    <s v="Consumer"/>
    <x v="1"/>
    <x v="14"/>
    <s v="Jumbo Box"/>
    <s v="Atlantic Metals Mobile 5-Shelf Bookcases, Custom Colors"/>
    <n v="0.55000000000000004"/>
    <s v="United States"/>
    <s v="East"/>
    <s v="New Hampshire"/>
    <s v="Dover"/>
    <n v="3820"/>
    <d v="2015-04-06T00:00:00"/>
    <d v="2015-04-07T00:00:00"/>
    <n v="1684.4763"/>
    <n v="8"/>
    <x v="61"/>
    <n v="88204"/>
    <n v="19530.16"/>
  </r>
  <r>
    <n v="2.88"/>
    <n v="1.49"/>
    <n v="109"/>
    <s v="Tom McFarland"/>
    <s v="Regular Air"/>
    <s v="Consumer"/>
    <x v="0"/>
    <x v="8"/>
    <s v="Small Box"/>
    <s v="Avery Durable Binders"/>
    <n v="0.36"/>
    <s v="United States"/>
    <s v="East"/>
    <s v="New Jersey"/>
    <s v="Lodi"/>
    <n v="7644"/>
    <d v="2015-06-22T00:00:00"/>
    <d v="2015-06-23T00:00:00"/>
    <n v="-2.7048000000000001"/>
    <n v="4"/>
    <x v="62"/>
    <n v="88205"/>
    <n v="44.52"/>
  </r>
  <r>
    <n v="4.26"/>
    <n v="1.2"/>
    <n v="114"/>
    <s v="Ron Newton"/>
    <s v="Regular Air"/>
    <s v="Home Office"/>
    <x v="0"/>
    <x v="0"/>
    <s v="Wrap Bag"/>
    <s v="Dixon Prang® Watercolor Pencils, 10-Color Set with Brush"/>
    <n v="0.44"/>
    <s v="United States"/>
    <s v="West"/>
    <s v="Oregon"/>
    <s v="Lake Oswego"/>
    <n v="97035"/>
    <d v="2015-01-03T00:00:00"/>
    <d v="2015-01-04T00:00:00"/>
    <n v="18.658000000000001"/>
    <n v="7"/>
    <x v="63"/>
    <n v="89583"/>
    <n v="206.5"/>
  </r>
  <r>
    <n v="4.91"/>
    <n v="0.5"/>
    <n v="114"/>
    <s v="Ron Newton"/>
    <s v="Regular Air"/>
    <s v="Home Office"/>
    <x v="0"/>
    <x v="9"/>
    <s v="Small Box"/>
    <s v="Avery 493"/>
    <n v="0.36"/>
    <s v="United States"/>
    <s v="West"/>
    <s v="Oregon"/>
    <s v="Lake Oswego"/>
    <n v="97035"/>
    <d v="2015-04-04T00:00:00"/>
    <d v="2015-04-06T00:00:00"/>
    <n v="40.247700000000002"/>
    <n v="12"/>
    <x v="64"/>
    <n v="89584"/>
    <n v="699.96"/>
  </r>
  <r>
    <n v="4"/>
    <n v="1.3"/>
    <n v="114"/>
    <s v="Ron Newton"/>
    <s v="Express Air"/>
    <s v="Home Office"/>
    <x v="0"/>
    <x v="7"/>
    <s v="Wrap Bag"/>
    <s v="EcoTones® Memo Sheets"/>
    <n v="0.37"/>
    <s v="United States"/>
    <s v="West"/>
    <s v="Oregon"/>
    <s v="Lake Oswego"/>
    <n v="97035"/>
    <d v="2015-04-04T00:00:00"/>
    <d v="2015-04-06T00:00:00"/>
    <n v="14.0898"/>
    <n v="5"/>
    <x v="65"/>
    <n v="89584"/>
    <n v="102.10000000000001"/>
  </r>
  <r>
    <n v="2.12"/>
    <n v="1.99"/>
    <n v="115"/>
    <s v="Dwight M Carr"/>
    <s v="Regular Air"/>
    <s v="Home Office"/>
    <x v="2"/>
    <x v="13"/>
    <s v="Small Pack"/>
    <s v="Fuji Slim Jewel Case CD-R"/>
    <n v="0.55000000000000004"/>
    <s v="United States"/>
    <s v="West"/>
    <s v="Oregon"/>
    <s v="Mcminnville"/>
    <n v="97128"/>
    <d v="2015-04-09T00:00:00"/>
    <d v="2015-04-11T00:00:00"/>
    <n v="-55.84"/>
    <n v="12"/>
    <x v="66"/>
    <n v="89585"/>
    <n v="312.84000000000003"/>
  </r>
  <r>
    <n v="4.26"/>
    <n v="1.2"/>
    <n v="117"/>
    <s v="Linda Weiss"/>
    <s v="Regular Air"/>
    <s v="Home Office"/>
    <x v="0"/>
    <x v="0"/>
    <s v="Wrap Bag"/>
    <s v="Dixon Prang® Watercolor Pencils, 10-Color Set with Brush"/>
    <n v="0.44"/>
    <s v="United States"/>
    <s v="West"/>
    <s v="Washington"/>
    <s v="Seattle"/>
    <n v="98103"/>
    <d v="2015-01-03T00:00:00"/>
    <d v="2015-01-04T00:00:00"/>
    <n v="9.82"/>
    <n v="29"/>
    <x v="67"/>
    <n v="7909"/>
    <n v="3544.67"/>
  </r>
  <r>
    <n v="4.91"/>
    <n v="0.5"/>
    <n v="117"/>
    <s v="Linda Weiss"/>
    <s v="Regular Air"/>
    <s v="Home Office"/>
    <x v="0"/>
    <x v="9"/>
    <s v="Small Box"/>
    <s v="Avery 493"/>
    <n v="0.36"/>
    <s v="United States"/>
    <s v="West"/>
    <s v="Washington"/>
    <s v="Seattle"/>
    <n v="98103"/>
    <d v="2015-04-04T00:00:00"/>
    <d v="2015-04-06T00:00:00"/>
    <n v="112.06"/>
    <n v="47"/>
    <x v="68"/>
    <n v="13959"/>
    <n v="10737.62"/>
  </r>
  <r>
    <n v="4"/>
    <n v="1.3"/>
    <n v="117"/>
    <s v="Linda Weiss"/>
    <s v="Express Air"/>
    <s v="Home Office"/>
    <x v="0"/>
    <x v="7"/>
    <s v="Wrap Bag"/>
    <s v="EcoTones® Memo Sheets"/>
    <n v="0.37"/>
    <s v="United States"/>
    <s v="West"/>
    <s v="Washington"/>
    <s v="Seattle"/>
    <n v="98103"/>
    <d v="2015-04-04T00:00:00"/>
    <d v="2015-04-06T00:00:00"/>
    <n v="16.79"/>
    <n v="19"/>
    <x v="69"/>
    <n v="13959"/>
    <n v="1474.59"/>
  </r>
  <r>
    <n v="2.12"/>
    <n v="1.99"/>
    <n v="117"/>
    <s v="Linda Weiss"/>
    <s v="Regular Air"/>
    <s v="Home Office"/>
    <x v="2"/>
    <x v="13"/>
    <s v="Small Pack"/>
    <s v="Fuji Slim Jewel Case CD-R"/>
    <n v="0.55000000000000004"/>
    <s v="United States"/>
    <s v="West"/>
    <s v="Washington"/>
    <s v="Seattle"/>
    <n v="98103"/>
    <d v="2015-04-09T00:00:00"/>
    <d v="2015-04-11T00:00:00"/>
    <n v="-55.84"/>
    <n v="46"/>
    <x v="70"/>
    <n v="58914"/>
    <n v="4597.24"/>
  </r>
  <r>
    <n v="6.3"/>
    <n v="0.5"/>
    <n v="120"/>
    <s v="Helen H Murphy"/>
    <s v="Regular Air"/>
    <s v="Corporate"/>
    <x v="0"/>
    <x v="9"/>
    <s v="Small Box"/>
    <s v="Avery 51"/>
    <n v="0.39"/>
    <s v="United States"/>
    <s v="West"/>
    <s v="Utah"/>
    <s v="Layton"/>
    <n v="84041"/>
    <d v="2015-01-12T00:00:00"/>
    <d v="2015-01-13T00:00:00"/>
    <n v="41.296500000000002"/>
    <n v="10"/>
    <x v="71"/>
    <n v="86520"/>
    <n v="598.5"/>
  </r>
  <r>
    <n v="205.99"/>
    <n v="3"/>
    <n v="120"/>
    <s v="Helen H Murphy"/>
    <s v="Express Air"/>
    <s v="Corporate"/>
    <x v="2"/>
    <x v="5"/>
    <s v="Small Box"/>
    <n v="6185"/>
    <n v="0.57999999999999996"/>
    <s v="United States"/>
    <s v="West"/>
    <s v="Utah"/>
    <s v="Layton"/>
    <n v="84041"/>
    <d v="2015-01-12T00:00:00"/>
    <d v="2015-01-14T00:00:00"/>
    <n v="1179.0237"/>
    <n v="10"/>
    <x v="72"/>
    <n v="86520"/>
    <n v="17087.3"/>
  </r>
  <r>
    <n v="8.57"/>
    <n v="6.14"/>
    <n v="123"/>
    <s v="Shawn Stern"/>
    <s v="Regular Air"/>
    <s v="Home Office"/>
    <x v="0"/>
    <x v="12"/>
    <s v="Small Pack"/>
    <s v="Acme® Office Executive Series Stainless Steel Trimmers"/>
    <n v="0.59"/>
    <s v="United States"/>
    <s v="South"/>
    <s v="Virginia"/>
    <s v="Tysons Corner"/>
    <n v="22102"/>
    <d v="2015-04-09T00:00:00"/>
    <d v="2015-04-10T00:00:00"/>
    <n v="105.678"/>
    <n v="11"/>
    <x v="73"/>
    <n v="90669"/>
    <n v="1044.67"/>
  </r>
  <r>
    <n v="1.74"/>
    <n v="4.08"/>
    <n v="129"/>
    <s v="Kara Allison"/>
    <s v="Regular Air"/>
    <s v="Small Business"/>
    <x v="1"/>
    <x v="2"/>
    <s v="Small Pack"/>
    <s v="Eldon Regeneration Recycled Desk Accessories, Smoke"/>
    <n v="0.53"/>
    <s v="United States"/>
    <s v="Central"/>
    <s v="Illinois"/>
    <s v="Alton"/>
    <n v="62002"/>
    <d v="2015-01-27T00:00:00"/>
    <d v="2015-01-28T00:00:00"/>
    <n v="-37.39"/>
    <n v="5"/>
    <x v="74"/>
    <n v="86693"/>
    <n v="51.150000000000006"/>
  </r>
  <r>
    <n v="15.74"/>
    <n v="1.39"/>
    <n v="129"/>
    <s v="Kara Allison"/>
    <s v="Regular Air"/>
    <s v="Small Business"/>
    <x v="0"/>
    <x v="4"/>
    <s v="Small Box"/>
    <s v="#10-4 1/8&quot; x 9 1/2&quot; Premium Diagonal Seam Envelopes"/>
    <n v="0.4"/>
    <s v="United States"/>
    <s v="Central"/>
    <s v="Illinois"/>
    <s v="Alton"/>
    <n v="62002"/>
    <d v="2015-05-25T00:00:00"/>
    <d v="2015-05-26T00:00:00"/>
    <n v="149.8887"/>
    <n v="14"/>
    <x v="75"/>
    <n v="86694"/>
    <n v="3041.22"/>
  </r>
  <r>
    <n v="18.97"/>
    <n v="9.5399999999999991"/>
    <n v="136"/>
    <s v="Dale Gillespie"/>
    <s v="Regular Air"/>
    <s v="Small Business"/>
    <x v="0"/>
    <x v="7"/>
    <s v="Small Box"/>
    <s v="Xerox 1939"/>
    <n v="0.37"/>
    <s v="United States"/>
    <s v="West"/>
    <s v="California"/>
    <s v="Petaluma"/>
    <n v="94952"/>
    <d v="2015-05-16T00:00:00"/>
    <d v="2015-05-17T00:00:00"/>
    <n v="3.04"/>
    <n v="5"/>
    <x v="76"/>
    <n v="88534"/>
    <n v="508.7"/>
  </r>
  <r>
    <n v="10.98"/>
    <n v="3.37"/>
    <n v="136"/>
    <s v="Dale Gillespie"/>
    <s v="Regular Air"/>
    <s v="Small Business"/>
    <x v="0"/>
    <x v="12"/>
    <s v="Small Pack"/>
    <s v="Fiskars® Softgrip Scissors"/>
    <n v="0.56999999999999995"/>
    <s v="United States"/>
    <s v="West"/>
    <s v="California"/>
    <s v="Petaluma"/>
    <n v="94952"/>
    <d v="2015-05-16T00:00:00"/>
    <d v="2015-05-17T00:00:00"/>
    <n v="2.706"/>
    <n v="8"/>
    <x v="77"/>
    <n v="88534"/>
    <n v="676.16"/>
  </r>
  <r>
    <n v="22.84"/>
    <n v="11.54"/>
    <n v="142"/>
    <s v="Brooke Weeks Taylor"/>
    <s v="Regular Air"/>
    <s v="Small Business"/>
    <x v="0"/>
    <x v="7"/>
    <s v="Small Box"/>
    <s v="Xerox 1964"/>
    <n v="0.39"/>
    <s v="United States"/>
    <s v="East"/>
    <s v="Connecticut"/>
    <s v="Ansonia"/>
    <n v="6401"/>
    <d v="2015-06-02T00:00:00"/>
    <d v="2015-06-03T00:00:00"/>
    <n v="91.956000000000003"/>
    <n v="13"/>
    <x v="78"/>
    <n v="91087"/>
    <n v="4063.6699999999996"/>
  </r>
  <r>
    <n v="10.98"/>
    <n v="3.37"/>
    <n v="144"/>
    <s v="Marguerite Moss"/>
    <s v="Regular Air"/>
    <s v="Small Business"/>
    <x v="0"/>
    <x v="12"/>
    <s v="Small Pack"/>
    <s v="Fiskars® Softgrip Scissors"/>
    <n v="0.56999999999999995"/>
    <s v="United States"/>
    <s v="East"/>
    <s v="Massachusetts"/>
    <s v="Yarmouth"/>
    <n v="2664"/>
    <d v="2015-06-02T00:00:00"/>
    <d v="2015-06-03T00:00:00"/>
    <n v="-2.544"/>
    <n v="6"/>
    <x v="79"/>
    <n v="91087"/>
    <n v="386.40000000000003"/>
  </r>
  <r>
    <n v="7.04"/>
    <n v="2.17"/>
    <n v="145"/>
    <s v="Rhonda Ivey"/>
    <s v="Regular Air"/>
    <s v="Small Business"/>
    <x v="0"/>
    <x v="7"/>
    <s v="Wrap Bag"/>
    <s v="Wirebound Message Books, 2 7/8&quot; x 5&quot;, 3 Forms per Page"/>
    <n v="0.38"/>
    <s v="United States"/>
    <s v="East"/>
    <s v="Pennsylvania"/>
    <s v="West Mifflin"/>
    <n v="15122"/>
    <d v="2015-01-15T00:00:00"/>
    <d v="2015-01-17T00:00:00"/>
    <n v="2.4851999999999999"/>
    <n v="2"/>
    <x v="80"/>
    <n v="91086"/>
    <n v="29.3"/>
  </r>
  <r>
    <n v="154.13"/>
    <n v="69"/>
    <n v="145"/>
    <s v="Rhonda Ivey"/>
    <s v="Express Air"/>
    <s v="Home Office"/>
    <x v="1"/>
    <x v="11"/>
    <s v="Large Box"/>
    <s v="Laminate Occasional Tables"/>
    <n v="0.68"/>
    <s v="United States"/>
    <s v="East"/>
    <s v="Pennsylvania"/>
    <s v="West Mifflin"/>
    <n v="15122"/>
    <d v="2015-03-16T00:00:00"/>
    <d v="2015-03-16T00:00:00"/>
    <n v="-634.73410000000001"/>
    <n v="3"/>
    <x v="81"/>
    <n v="91089"/>
    <n v="1360.8600000000001"/>
  </r>
  <r>
    <n v="45.98"/>
    <n v="4.8"/>
    <n v="146"/>
    <s v="Yvonne Fox"/>
    <s v="Regular Air"/>
    <s v="Small Business"/>
    <x v="1"/>
    <x v="2"/>
    <s v="Wrap Bag"/>
    <s v="Tenex B1-RE Series Chair Mats for Low Pile Carpets"/>
    <n v="0.68"/>
    <s v="United States"/>
    <s v="Central"/>
    <s v="Texas"/>
    <s v="Watauga"/>
    <n v="76148"/>
    <d v="2015-03-12T00:00:00"/>
    <d v="2015-03-13T00:00:00"/>
    <n v="133.5771"/>
    <n v="4"/>
    <x v="82"/>
    <n v="91088"/>
    <n v="774.36"/>
  </r>
  <r>
    <n v="180.98"/>
    <n v="26.2"/>
    <n v="146"/>
    <s v="Yvonne Fox"/>
    <s v="Delivery Truck"/>
    <s v="Corporate"/>
    <x v="1"/>
    <x v="1"/>
    <s v="Jumbo Drum"/>
    <s v="Global Ergonomic Managers Chair"/>
    <n v="0.59"/>
    <s v="United States"/>
    <s v="Central"/>
    <s v="Texas"/>
    <s v="Watauga"/>
    <n v="76148"/>
    <d v="2015-04-23T00:00:00"/>
    <d v="2015-04-24T00:00:00"/>
    <n v="251.4084"/>
    <n v="5"/>
    <x v="83"/>
    <n v="91090"/>
    <n v="4647.8500000000004"/>
  </r>
  <r>
    <n v="32.979999999999997"/>
    <n v="5.5"/>
    <n v="151"/>
    <s v="Geoffrey Zhu"/>
    <s v="Regular Air"/>
    <s v="Home Office"/>
    <x v="2"/>
    <x v="13"/>
    <s v="Small Box"/>
    <s v="PC Concepts 116 Key Quantum 3000 Keyboard"/>
    <n v="0.75"/>
    <s v="United States"/>
    <s v="South"/>
    <s v="Tennessee"/>
    <s v="Kingsport"/>
    <n v="37664"/>
    <d v="2015-01-22T00:00:00"/>
    <d v="2015-01-23T00:00:00"/>
    <n v="-20.257999999999999"/>
    <n v="2"/>
    <x v="84"/>
    <n v="89521"/>
    <n v="124.92"/>
  </r>
  <r>
    <n v="5.98"/>
    <n v="2.5"/>
    <n v="151"/>
    <s v="Geoffrey Zhu"/>
    <s v="Regular Air"/>
    <s v="Home Office"/>
    <x v="0"/>
    <x v="4"/>
    <s v="Small Box"/>
    <s v="Wausau Papers Astrobrights® Colored Envelopes"/>
    <n v="0.36"/>
    <s v="United States"/>
    <s v="South"/>
    <s v="Tennessee"/>
    <s v="Kingsport"/>
    <n v="37664"/>
    <d v="2015-04-20T00:00:00"/>
    <d v="2015-04-22T00:00:00"/>
    <n v="13.896000000000001"/>
    <n v="5"/>
    <x v="85"/>
    <n v="89523"/>
    <n v="140.55000000000001"/>
  </r>
  <r>
    <n v="2.88"/>
    <n v="0.7"/>
    <n v="152"/>
    <s v="Kent Kerr"/>
    <s v="Regular Air"/>
    <s v="Consumer"/>
    <x v="0"/>
    <x v="0"/>
    <s v="Wrap Bag"/>
    <s v="Newell 335"/>
    <n v="0.56000000000000005"/>
    <s v="United States"/>
    <s v="South"/>
    <s v="Tennessee"/>
    <s v="Knoxville"/>
    <n v="37918"/>
    <d v="2015-01-15T00:00:00"/>
    <d v="2015-01-16T00:00:00"/>
    <n v="-172.71799999999999"/>
    <n v="2"/>
    <x v="86"/>
    <n v="89520"/>
    <n v="11"/>
  </r>
  <r>
    <n v="79.52"/>
    <n v="48.2"/>
    <n v="152"/>
    <s v="Kent Kerr"/>
    <s v="Regular Air"/>
    <s v="Home Office"/>
    <x v="1"/>
    <x v="2"/>
    <s v="Medium Box"/>
    <s v="Eldon Cleatmat Plus™ Chair Mats for High Pile Carpets"/>
    <n v="0.74"/>
    <s v="United States"/>
    <s v="South"/>
    <s v="Tennessee"/>
    <s v="Knoxville"/>
    <n v="37918"/>
    <d v="2015-04-19T00:00:00"/>
    <d v="2015-04-26T00:00:00"/>
    <n v="-40.683999999999997"/>
    <n v="8"/>
    <x v="87"/>
    <n v="89522"/>
    <n v="5342.72"/>
  </r>
  <r>
    <n v="65.989999999999995"/>
    <n v="8.99"/>
    <n v="152"/>
    <s v="Kent Kerr"/>
    <s v="Regular Air"/>
    <s v="Consumer"/>
    <x v="2"/>
    <x v="5"/>
    <s v="Small Box"/>
    <s v="StarTAC Analog"/>
    <n v="0.6"/>
    <s v="United States"/>
    <s v="South"/>
    <s v="Tennessee"/>
    <s v="Knoxville"/>
    <n v="37918"/>
    <d v="2015-03-29T00:00:00"/>
    <d v="2015-04-01T00:00:00"/>
    <n v="97.86"/>
    <n v="5"/>
    <x v="88"/>
    <n v="89524"/>
    <n v="1461.15"/>
  </r>
  <r>
    <n v="39.979999999999997"/>
    <n v="4"/>
    <n v="152"/>
    <s v="Kent Kerr"/>
    <s v="Regular Air"/>
    <s v="Small Business"/>
    <x v="2"/>
    <x v="13"/>
    <s v="Small Box"/>
    <s v="Microsoft Natural Keyboard Elite"/>
    <n v="0.7"/>
    <s v="United States"/>
    <s v="South"/>
    <s v="Tennessee"/>
    <s v="Knoxville"/>
    <n v="37918"/>
    <d v="2015-06-18T00:00:00"/>
    <d v="2015-06-22T00:00:00"/>
    <n v="360.24"/>
    <n v="21"/>
    <x v="89"/>
    <n v="89525"/>
    <n v="16223.759999999998"/>
  </r>
  <r>
    <n v="95.99"/>
    <n v="4.9000000000000004"/>
    <n v="156"/>
    <s v="Diana Xu"/>
    <s v="Regular Air"/>
    <s v="Corporate"/>
    <x v="2"/>
    <x v="5"/>
    <s v="Small Box"/>
    <s v="T60"/>
    <n v="0.56000000000000005"/>
    <s v="United States"/>
    <s v="West"/>
    <s v="Colorado"/>
    <s v="Fort Collins"/>
    <n v="80525"/>
    <d v="2015-05-14T00:00:00"/>
    <d v="2015-05-15T00:00:00"/>
    <n v="713.88"/>
    <n v="13"/>
    <x v="90"/>
    <n v="87671"/>
    <n v="13651.039999999999"/>
  </r>
  <r>
    <n v="10.89"/>
    <n v="4.5"/>
    <n v="156"/>
    <s v="Diana Xu"/>
    <s v="Regular Air"/>
    <s v="Corporate"/>
    <x v="0"/>
    <x v="15"/>
    <s v="Small Box"/>
    <s v="Belkin 6 Outlet Metallic Surge Strip"/>
    <n v="0.59"/>
    <s v="United States"/>
    <s v="West"/>
    <s v="Colorado"/>
    <s v="Fort Collins"/>
    <n v="80525"/>
    <d v="2015-01-25T00:00:00"/>
    <d v="2015-01-26T00:00:00"/>
    <n v="-18.64"/>
    <n v="3"/>
    <x v="91"/>
    <n v="87672"/>
    <n v="101.46000000000001"/>
  </r>
  <r>
    <n v="100.98"/>
    <n v="35.840000000000003"/>
    <n v="164"/>
    <s v="Robin Kramer Vaughn"/>
    <s v="Delivery Truck"/>
    <s v="Home Office"/>
    <x v="1"/>
    <x v="14"/>
    <s v="Jumbo Box"/>
    <s v="Bush Westfield Collection Bookcases, Fully Assembled"/>
    <n v="0.62"/>
    <s v="United States"/>
    <s v="West"/>
    <s v="Washington"/>
    <s v="Richland"/>
    <n v="99352"/>
    <d v="2015-01-02T00:00:00"/>
    <d v="2015-01-04T00:00:00"/>
    <n v="-111.4"/>
    <n v="7"/>
    <x v="92"/>
    <n v="89961"/>
    <n v="5008.8499999999995"/>
  </r>
  <r>
    <n v="4.9800000000000004"/>
    <n v="5.49"/>
    <n v="164"/>
    <s v="Robin Kramer Vaughn"/>
    <s v="Regular Air"/>
    <s v="Home Office"/>
    <x v="0"/>
    <x v="7"/>
    <s v="Small Box"/>
    <s v="Xerox 1952"/>
    <n v="0.38"/>
    <s v="United States"/>
    <s v="West"/>
    <s v="Washington"/>
    <s v="Richland"/>
    <n v="99352"/>
    <d v="2015-01-02T00:00:00"/>
    <d v="2015-01-03T00:00:00"/>
    <n v="-77.03"/>
    <n v="9"/>
    <x v="93"/>
    <n v="89961"/>
    <n v="410.67"/>
  </r>
  <r>
    <n v="399.98"/>
    <n v="12.06"/>
    <n v="166"/>
    <s v="Vicki Hauser"/>
    <s v="Delivery Truck"/>
    <s v="Consumer"/>
    <x v="2"/>
    <x v="6"/>
    <s v="Jumbo Box"/>
    <s v="Okidata ML320 Series Turbo Dot Matrix Printers"/>
    <n v="0.56000000000000005"/>
    <s v="United States"/>
    <s v="South"/>
    <s v="Tennessee"/>
    <s v="Lebanon"/>
    <n v="37087"/>
    <d v="2015-01-11T00:00:00"/>
    <d v="2015-01-18T00:00:00"/>
    <n v="28.514099999999999"/>
    <n v="5"/>
    <x v="94"/>
    <n v="89426"/>
    <n v="9199.5500000000011"/>
  </r>
  <r>
    <n v="43.22"/>
    <n v="16.71"/>
    <n v="169"/>
    <s v="Janice Cole"/>
    <s v="Regular Air"/>
    <s v="Corporate"/>
    <x v="2"/>
    <x v="13"/>
    <s v="Small Box"/>
    <s v="Fellowes Mobile Numeric Keypad, Graphite"/>
    <n v="0.66"/>
    <s v="United States"/>
    <s v="South"/>
    <s v="Louisiana"/>
    <s v="Baton Rouge"/>
    <n v="70802"/>
    <d v="2015-01-03T00:00:00"/>
    <d v="2015-01-05T00:00:00"/>
    <n v="280.27458000000001"/>
    <n v="3"/>
    <x v="95"/>
    <n v="87463"/>
    <n v="391.86"/>
  </r>
  <r>
    <n v="574.74"/>
    <n v="24.49"/>
    <n v="169"/>
    <s v="Janice Cole"/>
    <s v="Regular Air"/>
    <s v="Corporate"/>
    <x v="2"/>
    <x v="6"/>
    <s v="Large Box"/>
    <s v="Polycom ViaVideo™ Desktop Video Communications Unit"/>
    <n v="0.37"/>
    <s v="United States"/>
    <s v="South"/>
    <s v="Louisiana"/>
    <s v="Baton Rouge"/>
    <n v="70802"/>
    <d v="2015-01-03T00:00:00"/>
    <d v="2015-01-10T00:00:00"/>
    <n v="-112.4263"/>
    <n v="12"/>
    <x v="96"/>
    <n v="87463"/>
    <n v="83341.919999999998"/>
  </r>
  <r>
    <n v="10.14"/>
    <n v="2.27"/>
    <n v="169"/>
    <s v="Janice Cole"/>
    <s v="Regular Air"/>
    <s v="Corporate"/>
    <x v="0"/>
    <x v="7"/>
    <s v="Wrap Bag"/>
    <s v="Staples Wirebound Steno Books, 6&quot; x 9&quot;, 12/Pack"/>
    <n v="0.36"/>
    <s v="United States"/>
    <s v="South"/>
    <s v="Louisiana"/>
    <s v="Baton Rouge"/>
    <n v="70802"/>
    <d v="2015-01-03T00:00:00"/>
    <d v="2015-01-07T00:00:00"/>
    <n v="24.923999999999999"/>
    <n v="3"/>
    <x v="97"/>
    <n v="87463"/>
    <n v="92.820000000000007"/>
  </r>
  <r>
    <n v="1.88"/>
    <n v="1.49"/>
    <n v="171"/>
    <s v="Christina Matthews"/>
    <s v="Regular Air"/>
    <s v="Corporate"/>
    <x v="0"/>
    <x v="8"/>
    <s v="Small Box"/>
    <s v="Staples® General Use 3-Ring Binders"/>
    <n v="0.37"/>
    <s v="United States"/>
    <s v="East"/>
    <s v="New Jersey"/>
    <s v="Fort Lee"/>
    <n v="7024"/>
    <d v="2015-04-13T00:00:00"/>
    <d v="2015-04-15T00:00:00"/>
    <n v="-2.9095"/>
    <n v="1"/>
    <x v="98"/>
    <n v="87464"/>
    <n v="3.42"/>
  </r>
  <r>
    <n v="49.99"/>
    <n v="19.989999999999998"/>
    <n v="181"/>
    <s v="Wesley Waller"/>
    <s v="Regular Air"/>
    <s v="Small Business"/>
    <x v="2"/>
    <x v="13"/>
    <s v="Small Box"/>
    <s v="Zoom V.92 USB External Faxmodem"/>
    <n v="0.41"/>
    <s v="United States"/>
    <s v="West"/>
    <s v="California"/>
    <s v="San Francisco"/>
    <n v="94122"/>
    <d v="2015-02-21T00:00:00"/>
    <d v="2015-02-21T00:00:00"/>
    <n v="-76.89"/>
    <n v="18"/>
    <x v="99"/>
    <n v="38087"/>
    <n v="16232.579999999998"/>
  </r>
  <r>
    <n v="1.68"/>
    <n v="1.57"/>
    <n v="181"/>
    <s v="Wesley Waller"/>
    <s v="Regular Air"/>
    <s v="Corporate"/>
    <x v="0"/>
    <x v="0"/>
    <s v="Wrap Bag"/>
    <s v="Newell 323"/>
    <n v="0.59"/>
    <s v="United States"/>
    <s v="West"/>
    <s v="California"/>
    <s v="San Francisco"/>
    <n v="94122"/>
    <d v="2015-05-22T00:00:00"/>
    <d v="2015-05-23T00:00:00"/>
    <n v="-35.75"/>
    <n v="116"/>
    <x v="100"/>
    <n v="3585"/>
    <n v="21644.44"/>
  </r>
  <r>
    <n v="49.99"/>
    <n v="19.989999999999998"/>
    <n v="184"/>
    <s v="Phillip Holmes"/>
    <s v="Regular Air"/>
    <s v="Small Business"/>
    <x v="2"/>
    <x v="13"/>
    <s v="Small Box"/>
    <s v="Zoom V.92 USB External Faxmodem"/>
    <n v="0.41"/>
    <s v="United States"/>
    <s v="East"/>
    <s v="Massachusetts"/>
    <s v="Arlington"/>
    <n v="2474"/>
    <d v="2015-02-21T00:00:00"/>
    <d v="2015-02-21T00:00:00"/>
    <n v="-76.89"/>
    <n v="5"/>
    <x v="101"/>
    <n v="88360"/>
    <n v="1252.5"/>
  </r>
  <r>
    <n v="10.06"/>
    <n v="2.06"/>
    <n v="188"/>
    <s v="Alex Harrell"/>
    <s v="Regular Air"/>
    <s v="Corporate"/>
    <x v="0"/>
    <x v="7"/>
    <s v="Wrap Bag"/>
    <s v="Riverleaf Stik-Withit® Designer Note Cubes®"/>
    <n v="0.39"/>
    <s v="United States"/>
    <s v="Central"/>
    <s v="Texas"/>
    <s v="Gainesville"/>
    <n v="76240"/>
    <d v="2015-05-22T00:00:00"/>
    <d v="2015-05-22T00:00:00"/>
    <n v="152.65559999999999"/>
    <n v="23"/>
    <x v="102"/>
    <n v="88361"/>
    <n v="5088.5200000000004"/>
  </r>
  <r>
    <n v="1.68"/>
    <n v="1.57"/>
    <n v="188"/>
    <s v="Alex Harrell"/>
    <s v="Regular Air"/>
    <s v="Corporate"/>
    <x v="0"/>
    <x v="0"/>
    <s v="Wrap Bag"/>
    <s v="Newell 323"/>
    <n v="0.59"/>
    <s v="United States"/>
    <s v="Central"/>
    <s v="Texas"/>
    <s v="Gainesville"/>
    <n v="76240"/>
    <d v="2015-05-22T00:00:00"/>
    <d v="2015-05-23T00:00:00"/>
    <n v="7.15"/>
    <n v="29"/>
    <x v="103"/>
    <n v="88361"/>
    <n v="1352.85"/>
  </r>
  <r>
    <n v="58.1"/>
    <n v="1.49"/>
    <n v="190"/>
    <s v="Lloyd Norris"/>
    <s v="Regular Air"/>
    <s v="Corporate"/>
    <x v="0"/>
    <x v="8"/>
    <s v="Small Box"/>
    <s v="Avery Arch Ring Binders"/>
    <n v="0.38"/>
    <s v="United States"/>
    <s v="Central"/>
    <s v="Illinois"/>
    <s v="Arlington Heights"/>
    <n v="60004"/>
    <d v="2015-02-12T00:00:00"/>
    <d v="2015-02-13T00:00:00"/>
    <n v="113.6499"/>
    <n v="3"/>
    <x v="104"/>
    <n v="89092"/>
    <n v="494.13"/>
  </r>
  <r>
    <n v="80.48"/>
    <n v="4.5"/>
    <n v="191"/>
    <s v="Gerald Kearney"/>
    <s v="Regular Air"/>
    <s v="Corporate"/>
    <x v="0"/>
    <x v="15"/>
    <s v="Small Box"/>
    <s v="APC 7 Outlet Network SurgeArrest Surge Protector"/>
    <n v="0.55000000000000004"/>
    <s v="United States"/>
    <s v="Central"/>
    <s v="Illinois"/>
    <s v="Aurora"/>
    <n v="60505"/>
    <d v="2015-02-12T00:00:00"/>
    <d v="2015-02-15T00:00:00"/>
    <n v="-35.474400000000003"/>
    <n v="1"/>
    <x v="105"/>
    <n v="89092"/>
    <n v="79.680000000000007"/>
  </r>
  <r>
    <n v="3.8"/>
    <n v="1.49"/>
    <n v="191"/>
    <s v="Gerald Kearney"/>
    <s v="Regular Air"/>
    <s v="Corporate"/>
    <x v="0"/>
    <x v="8"/>
    <s v="Small Box"/>
    <s v="Durable Pressboard Binders"/>
    <n v="0.38"/>
    <s v="United States"/>
    <s v="Central"/>
    <s v="Illinois"/>
    <s v="Aurora"/>
    <n v="60505"/>
    <d v="2015-04-09T00:00:00"/>
    <d v="2015-04-11T00:00:00"/>
    <n v="14.467000000000001"/>
    <n v="14"/>
    <x v="106"/>
    <n v="89093"/>
    <n v="745.64"/>
  </r>
  <r>
    <n v="30.73"/>
    <n v="4"/>
    <n v="191"/>
    <s v="Gerald Kearney"/>
    <s v="Regular Air"/>
    <s v="Corporate"/>
    <x v="2"/>
    <x v="13"/>
    <s v="Small Box"/>
    <s v="Fellowes 17-key keypad for PS/2 interface"/>
    <n v="0.75"/>
    <s v="United States"/>
    <s v="Central"/>
    <s v="Illinois"/>
    <s v="Aurora"/>
    <n v="60505"/>
    <d v="2015-04-09T00:00:00"/>
    <d v="2015-04-09T00:00:00"/>
    <n v="-99.986400000000003"/>
    <n v="7"/>
    <x v="107"/>
    <n v="89093"/>
    <n v="1424.43"/>
  </r>
  <r>
    <n v="125.99"/>
    <n v="8.08"/>
    <n v="191"/>
    <s v="Gerald Kearney"/>
    <s v="Regular Air"/>
    <s v="Corporate"/>
    <x v="2"/>
    <x v="5"/>
    <s v="Small Box"/>
    <s v="StarTAC ST7762"/>
    <n v="0.56999999999999995"/>
    <s v="United States"/>
    <s v="Central"/>
    <s v="Illinois"/>
    <s v="Aurora"/>
    <n v="60505"/>
    <d v="2015-04-09T00:00:00"/>
    <d v="2015-04-10T00:00:00"/>
    <n v="1348.59672"/>
    <n v="22"/>
    <x v="108"/>
    <n v="89093"/>
    <n v="51832.22"/>
  </r>
  <r>
    <n v="213.45"/>
    <n v="14.7"/>
    <n v="193"/>
    <s v="Danny Hong"/>
    <s v="Delivery Truck"/>
    <s v="Corporate"/>
    <x v="2"/>
    <x v="6"/>
    <s v="Jumbo Drum"/>
    <s v="Panasonic KX-P2130 Dot Matrix Printer"/>
    <n v="0.59"/>
    <s v="United States"/>
    <s v="West"/>
    <s v="Utah"/>
    <s v="Layton"/>
    <n v="84041"/>
    <d v="2015-01-03T00:00:00"/>
    <d v="2015-01-05T00:00:00"/>
    <n v="-560.81417999999996"/>
    <n v="1"/>
    <x v="109"/>
    <n v="90430"/>
    <n v="224.12"/>
  </r>
  <r>
    <n v="6.54"/>
    <n v="5.27"/>
    <n v="193"/>
    <s v="Danny Hong"/>
    <s v="Regular Air"/>
    <s v="Corporate"/>
    <x v="0"/>
    <x v="8"/>
    <s v="Small Box"/>
    <s v="Wilson Jones® Four-Pocket Poly Binders"/>
    <n v="0.36"/>
    <s v="United States"/>
    <s v="West"/>
    <s v="Utah"/>
    <s v="Layton"/>
    <n v="84041"/>
    <d v="2015-03-30T00:00:00"/>
    <d v="2015-04-01T00:00:00"/>
    <n v="-66.044499999999999"/>
    <n v="21"/>
    <x v="110"/>
    <n v="90432"/>
    <n v="2946.3"/>
  </r>
  <r>
    <n v="6.48"/>
    <n v="9.17"/>
    <n v="194"/>
    <s v="Tammy Goldman"/>
    <s v="Regular Air"/>
    <s v="Corporate"/>
    <x v="0"/>
    <x v="7"/>
    <s v="Small Box"/>
    <s v="Xerox 1996"/>
    <n v="0.37"/>
    <s v="United States"/>
    <s v="West"/>
    <s v="Utah"/>
    <s v="Lehi"/>
    <n v="84043"/>
    <d v="2015-01-10T00:00:00"/>
    <d v="2015-01-11T00:00:00"/>
    <n v="-105.68519999999999"/>
    <n v="4"/>
    <x v="111"/>
    <n v="90431"/>
    <n v="112.8"/>
  </r>
  <r>
    <n v="3.29"/>
    <n v="1.35"/>
    <n v="194"/>
    <s v="Tammy Goldman"/>
    <s v="Regular Air"/>
    <s v="Corporate"/>
    <x v="0"/>
    <x v="3"/>
    <s v="Wrap Bag"/>
    <s v="Acco® Hot Clips™ Clips to Go"/>
    <n v="0.4"/>
    <s v="United States"/>
    <s v="West"/>
    <s v="Utah"/>
    <s v="Lehi"/>
    <n v="84043"/>
    <d v="2015-03-30T00:00:00"/>
    <d v="2015-04-01T00:00:00"/>
    <n v="15.66"/>
    <n v="23"/>
    <x v="112"/>
    <n v="90432"/>
    <n v="1645.6499999999999"/>
  </r>
  <r>
    <n v="161.55000000000001"/>
    <n v="19.989999999999998"/>
    <n v="197"/>
    <s v="Samantha Weaver"/>
    <s v="Regular Air"/>
    <s v="Small Business"/>
    <x v="0"/>
    <x v="10"/>
    <s v="Small Box"/>
    <s v="Fellowes Super Stor/Drawer® Files"/>
    <n v="0.66"/>
    <s v="United States"/>
    <s v="Central"/>
    <s v="Kansas"/>
    <s v="Overland Park"/>
    <n v="66212"/>
    <d v="2015-04-02T00:00:00"/>
    <d v="2015-04-04T00:00:00"/>
    <n v="1167.1579999999999"/>
    <n v="19"/>
    <x v="113"/>
    <n v="88921"/>
    <n v="59070.62"/>
  </r>
  <r>
    <n v="161.55000000000001"/>
    <n v="19.989999999999998"/>
    <n v="198"/>
    <s v="Leroy Blanchard"/>
    <s v="Regular Air"/>
    <s v="Small Business"/>
    <x v="0"/>
    <x v="10"/>
    <s v="Small Box"/>
    <s v="Fellowes Super Stor/Drawer® Files"/>
    <n v="0.66"/>
    <s v="United States"/>
    <s v="Central"/>
    <s v="Michigan"/>
    <s v="Detroit"/>
    <n v="48138"/>
    <d v="2015-04-02T00:00:00"/>
    <d v="2015-04-04T00:00:00"/>
    <n v="1014.92"/>
    <n v="77"/>
    <x v="114"/>
    <n v="51072"/>
    <n v="970165.35"/>
  </r>
  <r>
    <n v="12.28"/>
    <n v="4.8600000000000003"/>
    <n v="202"/>
    <s v="Max Small"/>
    <s v="Regular Air"/>
    <s v="Corporate"/>
    <x v="0"/>
    <x v="7"/>
    <s v="Small Box"/>
    <s v="Xerox 1933"/>
    <n v="0.38"/>
    <s v="United States"/>
    <s v="Central"/>
    <s v="Oklahoma"/>
    <s v="Bartlesville"/>
    <n v="74006"/>
    <d v="2015-04-27T00:00:00"/>
    <d v="2015-04-28T00:00:00"/>
    <n v="1.73"/>
    <n v="3"/>
    <x v="115"/>
    <n v="88971"/>
    <n v="103.94999999999999"/>
  </r>
  <r>
    <n v="7.37"/>
    <n v="5.53"/>
    <n v="202"/>
    <s v="Max Small"/>
    <s v="Regular Air"/>
    <s v="Corporate"/>
    <x v="2"/>
    <x v="13"/>
    <s v="Small Pack"/>
    <s v="Imation 3.5&quot; Unformatted DS/HD Diskettes, 10/Box"/>
    <n v="0.69"/>
    <s v="United States"/>
    <s v="Central"/>
    <s v="Oklahoma"/>
    <s v="Bartlesville"/>
    <n v="74006"/>
    <d v="2015-01-16T00:00:00"/>
    <d v="2015-01-18T00:00:00"/>
    <n v="-133.69999999999999"/>
    <n v="11"/>
    <x v="116"/>
    <n v="88972"/>
    <n v="943.69"/>
  </r>
  <r>
    <n v="1.86"/>
    <n v="2.58"/>
    <n v="210"/>
    <s v="Floyd Dale"/>
    <s v="Regular Air"/>
    <s v="Home Office"/>
    <x v="0"/>
    <x v="3"/>
    <s v="Wrap Bag"/>
    <s v="Super Bands, 12/Pack"/>
    <n v="0.82"/>
    <s v="United States"/>
    <s v="East"/>
    <s v="New York"/>
    <s v="Troy"/>
    <n v="12180"/>
    <d v="2015-01-17T00:00:00"/>
    <d v="2015-01-21T00:00:00"/>
    <n v="-66.62"/>
    <n v="9"/>
    <x v="117"/>
    <n v="85965"/>
    <n v="158.49"/>
  </r>
  <r>
    <n v="5.4"/>
    <n v="7.78"/>
    <n v="210"/>
    <s v="Floyd Dale"/>
    <s v="Express Air"/>
    <s v="Home Office"/>
    <x v="0"/>
    <x v="8"/>
    <s v="Small Box"/>
    <s v="3M Organizer Strips"/>
    <n v="0.37"/>
    <s v="United States"/>
    <s v="East"/>
    <s v="New York"/>
    <s v="Troy"/>
    <n v="12180"/>
    <d v="2015-06-02T00:00:00"/>
    <d v="2015-06-02T00:00:00"/>
    <n v="-21.487749999999998"/>
    <n v="4"/>
    <x v="118"/>
    <n v="85966"/>
    <n v="109.2"/>
  </r>
  <r>
    <n v="20.28"/>
    <n v="6.68"/>
    <n v="210"/>
    <s v="Floyd Dale"/>
    <s v="Regular Air"/>
    <s v="Home Office"/>
    <x v="1"/>
    <x v="2"/>
    <s v="Small Box"/>
    <s v="Seth Thomas 8 1/2&quot; Cubicle Clock"/>
    <n v="0.53"/>
    <s v="United States"/>
    <s v="East"/>
    <s v="New York"/>
    <s v="Troy"/>
    <n v="12180"/>
    <d v="2015-06-02T00:00:00"/>
    <d v="2015-06-02T00:00:00"/>
    <n v="44.677500000000002"/>
    <n v="3"/>
    <x v="119"/>
    <n v="85966"/>
    <n v="194.25"/>
  </r>
  <r>
    <n v="11.55"/>
    <n v="2.36"/>
    <n v="210"/>
    <s v="Floyd Dale"/>
    <s v="Regular Air"/>
    <s v="Home Office"/>
    <x v="0"/>
    <x v="0"/>
    <s v="Wrap Bag"/>
    <s v="Newell 309"/>
    <n v="0.55000000000000004"/>
    <s v="United States"/>
    <s v="East"/>
    <s v="New York"/>
    <s v="Troy"/>
    <n v="12180"/>
    <d v="2015-06-02T00:00:00"/>
    <d v="2015-06-03T00:00:00"/>
    <n v="23.594999999999999"/>
    <n v="5"/>
    <x v="120"/>
    <n v="85966"/>
    <n v="314.89999999999998"/>
  </r>
  <r>
    <n v="10.06"/>
    <n v="2.06"/>
    <n v="211"/>
    <s v="Anna Wood"/>
    <s v="Regular Air"/>
    <s v="Consumer"/>
    <x v="0"/>
    <x v="7"/>
    <s v="Wrap Bag"/>
    <s v="Riverleaf Stik-Withit® Designer Note Cubes®"/>
    <n v="0.39"/>
    <s v="United States"/>
    <s v="East"/>
    <s v="New York"/>
    <s v="Utica"/>
    <n v="13501"/>
    <d v="2015-01-06T00:00:00"/>
    <d v="2015-01-08T00:00:00"/>
    <n v="7.59"/>
    <n v="2"/>
    <x v="121"/>
    <n v="85964"/>
    <n v="42.4"/>
  </r>
  <r>
    <n v="65.989999999999995"/>
    <n v="5.92"/>
    <n v="211"/>
    <s v="Anna Wood"/>
    <s v="Regular Air"/>
    <s v="Consumer"/>
    <x v="2"/>
    <x v="5"/>
    <s v="Small Box"/>
    <n v="252"/>
    <n v="0.55000000000000004"/>
    <s v="United States"/>
    <s v="East"/>
    <s v="New York"/>
    <s v="Utica"/>
    <n v="13501"/>
    <d v="2015-01-06T00:00:00"/>
    <d v="2015-01-08T00:00:00"/>
    <n v="-107.98699999999999"/>
    <n v="3"/>
    <x v="122"/>
    <n v="85964"/>
    <n v="519.96"/>
  </r>
  <r>
    <n v="2.08"/>
    <n v="2.56"/>
    <n v="211"/>
    <s v="Anna Wood"/>
    <s v="Regular Air"/>
    <s v="Home Office"/>
    <x v="0"/>
    <x v="12"/>
    <s v="Small Pack"/>
    <s v="Kleencut® Forged Office Shears by Acme United Corporation"/>
    <n v="0.55000000000000004"/>
    <s v="United States"/>
    <s v="East"/>
    <s v="New York"/>
    <s v="Utica"/>
    <n v="13501"/>
    <d v="2015-06-02T00:00:00"/>
    <d v="2015-06-03T00:00:00"/>
    <n v="-36.25"/>
    <n v="20"/>
    <x v="123"/>
    <n v="85966"/>
    <n v="845.8"/>
  </r>
  <r>
    <n v="119.99"/>
    <n v="56.14"/>
    <n v="218"/>
    <s v="Frances Saunders"/>
    <s v="Delivery Truck"/>
    <s v="Consumer"/>
    <x v="2"/>
    <x v="6"/>
    <s v="Jumbo Box"/>
    <s v="Hewlett-Packard 2600DN Business Color Inkjet Printer"/>
    <n v="0.39"/>
    <s v="United States"/>
    <s v="West"/>
    <s v="Utah"/>
    <s v="Murray"/>
    <n v="84107"/>
    <d v="2015-06-09T00:00:00"/>
    <d v="2015-06-11T00:00:00"/>
    <n v="-102.5121"/>
    <n v="6"/>
    <x v="124"/>
    <n v="88048"/>
    <n v="4382.22"/>
  </r>
  <r>
    <n v="60.89"/>
    <n v="32.409999999999997"/>
    <n v="228"/>
    <s v="Colleen Andrews"/>
    <s v="Delivery Truck"/>
    <s v="Small Business"/>
    <x v="1"/>
    <x v="1"/>
    <s v="Jumbo Drum"/>
    <s v="Global Push Button Manager's Chair, Indigo"/>
    <n v="0.56000000000000005"/>
    <s v="United States"/>
    <s v="South"/>
    <s v="North Carolina"/>
    <s v="Mint Hill"/>
    <n v="28227"/>
    <d v="2015-04-02T00:00:00"/>
    <d v="2015-04-03T00:00:00"/>
    <n v="36.353999999999999"/>
    <n v="7"/>
    <x v="125"/>
    <n v="88527"/>
    <n v="3153.4300000000003"/>
  </r>
  <r>
    <n v="5.81"/>
    <n v="8.49"/>
    <n v="233"/>
    <s v="Michele Bullard"/>
    <s v="Regular Air"/>
    <s v="Small Business"/>
    <x v="0"/>
    <x v="8"/>
    <s v="Small Box"/>
    <s v="Fellowes Black Plastic Comb Bindings"/>
    <n v="0.39"/>
    <s v="United States"/>
    <s v="Central"/>
    <s v="Illinois"/>
    <s v="Orland Park"/>
    <n v="60462"/>
    <d v="2015-02-20T00:00:00"/>
    <d v="2015-02-22T00:00:00"/>
    <n v="-243.23650000000001"/>
    <n v="10"/>
    <x v="126"/>
    <n v="90237"/>
    <n v="588"/>
  </r>
  <r>
    <n v="9.65"/>
    <n v="6.22"/>
    <n v="233"/>
    <s v="Michele Bullard"/>
    <s v="Regular Air"/>
    <s v="Small Business"/>
    <x v="1"/>
    <x v="2"/>
    <s v="Small Box"/>
    <s v="Eldon Expressions™ Desk Accessory, Wood Pencil Holder, Oak"/>
    <n v="0.55000000000000004"/>
    <s v="United States"/>
    <s v="Central"/>
    <s v="Illinois"/>
    <s v="Orland Park"/>
    <n v="60462"/>
    <d v="2015-02-20T00:00:00"/>
    <d v="2015-02-21T00:00:00"/>
    <n v="-53.62"/>
    <n v="12"/>
    <x v="127"/>
    <n v="90237"/>
    <n v="1445.6399999999999"/>
  </r>
  <r>
    <n v="279.81"/>
    <n v="23.19"/>
    <n v="234"/>
    <s v="Don Cameron"/>
    <s v="Delivery Truck"/>
    <s v="Small Business"/>
    <x v="0"/>
    <x v="15"/>
    <s v="Jumbo Drum"/>
    <s v="Sanyo 2.5 Cubic Foot Mid-Size Office Refrigerators"/>
    <n v="0.59"/>
    <s v="United States"/>
    <s v="Central"/>
    <s v="Iowa"/>
    <s v="Newton"/>
    <n v="50208"/>
    <d v="2015-02-05T00:00:00"/>
    <d v="2015-02-06T00:00:00"/>
    <n v="1103.9724000000001"/>
    <n v="6"/>
    <x v="128"/>
    <n v="90236"/>
    <n v="9599.76"/>
  </r>
  <r>
    <n v="28.53"/>
    <n v="1.49"/>
    <n v="234"/>
    <s v="Don Cameron"/>
    <s v="Regular Air"/>
    <s v="Small Business"/>
    <x v="0"/>
    <x v="8"/>
    <s v="Small Box"/>
    <s v="Lock-Up Easel 'Spel-Binder'"/>
    <n v="0.38"/>
    <s v="United States"/>
    <s v="Central"/>
    <s v="Iowa"/>
    <s v="Newton"/>
    <n v="50208"/>
    <d v="2015-03-27T00:00:00"/>
    <d v="2015-03-29T00:00:00"/>
    <n v="136.33709999999999"/>
    <n v="7"/>
    <x v="129"/>
    <n v="90238"/>
    <n v="1383.13"/>
  </r>
  <r>
    <n v="15.28"/>
    <n v="1.99"/>
    <n v="234"/>
    <s v="Don Cameron"/>
    <s v="Regular Air"/>
    <s v="Small Business"/>
    <x v="2"/>
    <x v="13"/>
    <s v="Small Pack"/>
    <s v="Memorex 4.7GB DVD+R, 3/Pack"/>
    <n v="0.42"/>
    <s v="United States"/>
    <s v="Central"/>
    <s v="Iowa"/>
    <s v="Newton"/>
    <n v="50208"/>
    <d v="2015-03-27T00:00:00"/>
    <d v="2015-03-29T00:00:00"/>
    <n v="-12.46"/>
    <n v="2"/>
    <x v="130"/>
    <n v="90238"/>
    <n v="66.08"/>
  </r>
  <r>
    <n v="3.34"/>
    <n v="7.49"/>
    <n v="234"/>
    <s v="Don Cameron"/>
    <s v="Express Air"/>
    <s v="Small Business"/>
    <x v="0"/>
    <x v="0"/>
    <s v="Wrap Bag"/>
    <s v="Eldon Spacemaker® Box, Quick-Snap Lid, Clear"/>
    <n v="0.54"/>
    <s v="United States"/>
    <s v="Central"/>
    <s v="Iowa"/>
    <s v="Newton"/>
    <n v="50208"/>
    <d v="2015-04-28T00:00:00"/>
    <d v="2015-04-30T00:00:00"/>
    <n v="-175.86"/>
    <n v="8"/>
    <x v="131"/>
    <n v="90239"/>
    <n v="219.6"/>
  </r>
  <r>
    <n v="442.14"/>
    <n v="14.7"/>
    <n v="236"/>
    <s v="Shawn McIntyre"/>
    <s v="Delivery Truck"/>
    <s v="Corporate"/>
    <x v="2"/>
    <x v="6"/>
    <s v="Jumbo Drum"/>
    <s v="Okidata ML390 Turbo Dot Matrix Printers"/>
    <n v="0.56000000000000005"/>
    <s v="United States"/>
    <s v="West"/>
    <s v="Colorado"/>
    <s v="Louisville"/>
    <n v="80027"/>
    <d v="2015-02-22T00:00:00"/>
    <d v="2015-02-22T00:00:00"/>
    <n v="3294.8258999999998"/>
    <n v="10"/>
    <x v="132"/>
    <n v="86621"/>
    <n v="47751.1"/>
  </r>
  <r>
    <n v="19.98"/>
    <n v="5.77"/>
    <n v="240"/>
    <s v="Gilbert Scarborough"/>
    <s v="Express Air"/>
    <s v="Small Business"/>
    <x v="0"/>
    <x v="7"/>
    <s v="Small Box"/>
    <s v="Xerox Blank Computer Paper"/>
    <n v="0.38"/>
    <s v="United States"/>
    <s v="West"/>
    <s v="Colorado"/>
    <s v="Fountain"/>
    <n v="80817"/>
    <d v="2015-04-20T00:00:00"/>
    <d v="2015-04-20T00:00:00"/>
    <n v="35.090000000000003"/>
    <n v="3"/>
    <x v="133"/>
    <n v="90479"/>
    <n v="172.23"/>
  </r>
  <r>
    <n v="259.70999999999998"/>
    <n v="66.67"/>
    <n v="241"/>
    <s v="Amy Ellis Holder"/>
    <s v="Delivery Truck"/>
    <s v="Small Business"/>
    <x v="1"/>
    <x v="11"/>
    <s v="Jumbo Box"/>
    <s v="Bevis Round Bullnose 29&quot; High Table Top"/>
    <n v="0.61"/>
    <s v="United States"/>
    <s v="West"/>
    <s v="Colorado"/>
    <s v="Grand Junction"/>
    <n v="81503"/>
    <d v="2015-04-20T00:00:00"/>
    <d v="2015-04-21T00:00:00"/>
    <n v="785.63"/>
    <n v="11"/>
    <x v="134"/>
    <n v="90479"/>
    <n v="30908.57"/>
  </r>
  <r>
    <n v="5.94"/>
    <n v="9.92"/>
    <n v="241"/>
    <s v="Amy Ellis Holder"/>
    <s v="Regular Air"/>
    <s v="Small Business"/>
    <x v="0"/>
    <x v="8"/>
    <s v="Small Box"/>
    <s v="Storex Dura Pro™ Binders"/>
    <n v="0.38"/>
    <s v="United States"/>
    <s v="West"/>
    <s v="Colorado"/>
    <s v="Grand Junction"/>
    <n v="81503"/>
    <d v="2015-05-26T00:00:00"/>
    <d v="2015-06-02T00:00:00"/>
    <n v="-256.51900000000001"/>
    <n v="13"/>
    <x v="135"/>
    <n v="90480"/>
    <n v="1039.0900000000001"/>
  </r>
  <r>
    <n v="125.99"/>
    <n v="3"/>
    <n v="241"/>
    <s v="Amy Ellis Holder"/>
    <s v="Regular Air"/>
    <s v="Small Business"/>
    <x v="2"/>
    <x v="5"/>
    <s v="Small Box"/>
    <s v="270c"/>
    <n v="0.59"/>
    <s v="United States"/>
    <s v="West"/>
    <s v="Colorado"/>
    <s v="Grand Junction"/>
    <n v="81503"/>
    <d v="2015-05-26T00:00:00"/>
    <d v="2015-05-26T00:00:00"/>
    <n v="398.358"/>
    <n v="8"/>
    <x v="136"/>
    <n v="90480"/>
    <n v="6985.44"/>
  </r>
  <r>
    <n v="146.05000000000001"/>
    <n v="80.2"/>
    <n v="247"/>
    <s v="Marshall Brandt Briggs"/>
    <s v="Delivery Truck"/>
    <s v="Corporate"/>
    <x v="1"/>
    <x v="11"/>
    <s v="Jumbo Box"/>
    <s v="BPI Conference Tables"/>
    <n v="0.71"/>
    <s v="United States"/>
    <s v="South"/>
    <s v="Tennessee"/>
    <s v="Maryville"/>
    <n v="37804"/>
    <d v="2015-02-23T00:00:00"/>
    <d v="2015-02-23T00:00:00"/>
    <n v="-101.19199999999999"/>
    <n v="5"/>
    <x v="137"/>
    <n v="89139"/>
    <n v="3993.4500000000003"/>
  </r>
  <r>
    <n v="65.989999999999995"/>
    <n v="5.92"/>
    <n v="247"/>
    <s v="Marshall Brandt Briggs"/>
    <s v="Regular Air"/>
    <s v="Corporate"/>
    <x v="2"/>
    <x v="5"/>
    <s v="Small Box"/>
    <n v="252"/>
    <n v="0.55000000000000004"/>
    <s v="United States"/>
    <s v="South"/>
    <s v="Tennessee"/>
    <s v="Maryville"/>
    <n v="37804"/>
    <d v="2015-02-23T00:00:00"/>
    <d v="2015-02-24T00:00:00"/>
    <n v="-3.3319999999999999"/>
    <n v="14"/>
    <x v="138"/>
    <n v="89139"/>
    <n v="11089.54"/>
  </r>
  <r>
    <n v="2.88"/>
    <n v="0.99"/>
    <n v="247"/>
    <s v="Marshall Brandt Briggs"/>
    <s v="Regular Air"/>
    <s v="Corporate"/>
    <x v="0"/>
    <x v="9"/>
    <s v="Small Box"/>
    <s v="Avery 514"/>
    <n v="0.36"/>
    <s v="United States"/>
    <s v="South"/>
    <s v="Tennessee"/>
    <s v="Maryville"/>
    <n v="37804"/>
    <d v="2015-03-21T00:00:00"/>
    <d v="2015-03-23T00:00:00"/>
    <n v="-145.08199999999999"/>
    <n v="10"/>
    <x v="139"/>
    <n v="89140"/>
    <n v="287.3"/>
  </r>
  <r>
    <n v="2.58"/>
    <n v="1.3"/>
    <n v="250"/>
    <s v="Brenda Nelson Blanchard"/>
    <s v="Express Air"/>
    <s v="Corporate"/>
    <x v="0"/>
    <x v="0"/>
    <s v="Wrap Bag"/>
    <s v="DIXON Oriole® Pencils"/>
    <n v="0.59"/>
    <s v="United States"/>
    <s v="Central"/>
    <s v="Minnesota"/>
    <s v="Richfield"/>
    <n v="55423"/>
    <d v="2015-05-28T00:00:00"/>
    <d v="2015-05-29T00:00:00"/>
    <n v="1.1080000000000001"/>
    <n v="39"/>
    <x v="140"/>
    <n v="87214"/>
    <n v="4279.8599999999997"/>
  </r>
  <r>
    <n v="65.989999999999995"/>
    <n v="3.9"/>
    <n v="250"/>
    <s v="Brenda Nelson Blanchard"/>
    <s v="Regular Air"/>
    <s v="Corporate"/>
    <x v="2"/>
    <x v="5"/>
    <s v="Small Box"/>
    <s v="StarTAC Series"/>
    <n v="0.55000000000000004"/>
    <s v="United States"/>
    <s v="Central"/>
    <s v="Minnesota"/>
    <s v="Richfield"/>
    <n v="55423"/>
    <d v="2015-05-28T00:00:00"/>
    <d v="2015-05-29T00:00:00"/>
    <n v="1061.3789999999999"/>
    <n v="27"/>
    <x v="141"/>
    <n v="87214"/>
    <n v="41675.85"/>
  </r>
  <r>
    <n v="280.98"/>
    <n v="35.67"/>
    <n v="254"/>
    <s v="Brett Hawkins"/>
    <s v="Delivery Truck"/>
    <s v="Home Office"/>
    <x v="1"/>
    <x v="11"/>
    <s v="Jumbo Box"/>
    <s v="Global Adaptabilities™ Conference Tables"/>
    <n v="0.66"/>
    <s v="United States"/>
    <s v="West"/>
    <s v="Colorado"/>
    <s v="Highlands Ranch"/>
    <n v="80126"/>
    <d v="2015-06-10T00:00:00"/>
    <d v="2015-06-11T00:00:00"/>
    <n v="-53.744999999999997"/>
    <n v="5"/>
    <x v="142"/>
    <n v="86268"/>
    <n v="6664.0999999999995"/>
  </r>
  <r>
    <n v="8.34"/>
    <n v="2.64"/>
    <n v="256"/>
    <s v="Irene Li"/>
    <s v="Regular Air"/>
    <s v="Home Office"/>
    <x v="0"/>
    <x v="12"/>
    <s v="Small Pack"/>
    <s v="Acme® Elite Stainless Steel Scissors"/>
    <n v="0.59"/>
    <s v="United States"/>
    <s v="East"/>
    <s v="Pennsylvania"/>
    <s v="Hanover"/>
    <n v="17331"/>
    <d v="2015-01-31T00:00:00"/>
    <d v="2015-02-02T00:00:00"/>
    <n v="0.68400000000000005"/>
    <n v="4"/>
    <x v="143"/>
    <n v="86267"/>
    <n v="138.56"/>
  </r>
  <r>
    <n v="17.48"/>
    <n v="1.99"/>
    <n v="258"/>
    <s v="Allan Shields"/>
    <s v="Regular Air"/>
    <s v="Consumer"/>
    <x v="2"/>
    <x v="13"/>
    <s v="Small Pack"/>
    <s v="Maxell Pro 80 Minute CD-R, 10/Pack"/>
    <n v="0.45"/>
    <s v="United States"/>
    <s v="South"/>
    <s v="Florida"/>
    <s v="Seminole"/>
    <n v="33772"/>
    <d v="2015-01-02T00:00:00"/>
    <d v="2015-01-04T00:00:00"/>
    <n v="-127.008"/>
    <n v="3"/>
    <x v="144"/>
    <n v="85858"/>
    <n v="157.41"/>
  </r>
  <r>
    <n v="2.88"/>
    <n v="0.7"/>
    <n v="259"/>
    <s v="Edward Pugh"/>
    <s v="Regular Air"/>
    <s v="Consumer"/>
    <x v="0"/>
    <x v="0"/>
    <s v="Wrap Bag"/>
    <s v="Newell 340"/>
    <n v="0.56000000000000005"/>
    <s v="United States"/>
    <s v="West"/>
    <s v="New Mexico"/>
    <s v="Santa Fe"/>
    <n v="87505"/>
    <d v="2015-01-19T00:00:00"/>
    <d v="2015-01-19T00:00:00"/>
    <n v="5.7531999999999996"/>
    <n v="10"/>
    <x v="145"/>
    <n v="85857"/>
    <n v="263.8"/>
  </r>
  <r>
    <n v="31.76"/>
    <n v="45.51"/>
    <n v="263"/>
    <s v="Carlos Hess"/>
    <s v="Delivery Truck"/>
    <s v="Small Business"/>
    <x v="1"/>
    <x v="11"/>
    <s v="Jumbo Box"/>
    <s v="Hon iLevel™ Computer Training Table"/>
    <n v="0.65"/>
    <s v="United States"/>
    <s v="East"/>
    <s v="Ohio"/>
    <s v="Cleveland Heights"/>
    <n v="44106"/>
    <d v="2015-01-21T00:00:00"/>
    <d v="2015-01-23T00:00:00"/>
    <n v="-2177.9860960000001"/>
    <n v="9"/>
    <x v="146"/>
    <n v="86297"/>
    <n v="2739.06"/>
  </r>
  <r>
    <n v="73.98"/>
    <n v="12.14"/>
    <n v="266"/>
    <s v="Ross Frederick"/>
    <s v="Express Air"/>
    <s v="Corporate"/>
    <x v="2"/>
    <x v="13"/>
    <s v="Small Box"/>
    <s v="Keytronic 105-Key Spanish Keyboard"/>
    <n v="0.67"/>
    <s v="United States"/>
    <s v="Central"/>
    <s v="Texas"/>
    <s v="San Antonio"/>
    <n v="78207"/>
    <d v="2015-05-18T00:00:00"/>
    <d v="2015-05-20T00:00:00"/>
    <n v="326.25"/>
    <n v="17"/>
    <x v="147"/>
    <n v="90593"/>
    <n v="22113.77"/>
  </r>
  <r>
    <n v="6.48"/>
    <n v="7.03"/>
    <n v="266"/>
    <s v="Ross Frederick"/>
    <s v="Regular Air"/>
    <s v="Corporate"/>
    <x v="0"/>
    <x v="7"/>
    <s v="Small Box"/>
    <s v="Xerox 214"/>
    <n v="0.37"/>
    <s v="United States"/>
    <s v="Central"/>
    <s v="Texas"/>
    <s v="San Antonio"/>
    <n v="78207"/>
    <d v="2015-05-15T00:00:00"/>
    <d v="2015-05-16T00:00:00"/>
    <n v="8.9320000000000004"/>
    <n v="10"/>
    <x v="148"/>
    <n v="90594"/>
    <n v="678.6"/>
  </r>
  <r>
    <n v="20.34"/>
    <n v="35"/>
    <n v="266"/>
    <s v="Ross Frederick"/>
    <s v="Regular Air"/>
    <s v="Corporate"/>
    <x v="0"/>
    <x v="10"/>
    <s v="Large Box"/>
    <s v="Tennsco Commercial Shelving"/>
    <n v="0.84"/>
    <s v="United States"/>
    <s v="Central"/>
    <s v="Texas"/>
    <s v="San Antonio"/>
    <n v="78207"/>
    <d v="2015-05-15T00:00:00"/>
    <d v="2015-05-16T00:00:00"/>
    <n v="229.63800000000001"/>
    <n v="33"/>
    <x v="149"/>
    <n v="90594"/>
    <n v="24660.239999999998"/>
  </r>
  <r>
    <n v="5.58"/>
    <n v="5.3"/>
    <n v="268"/>
    <s v="James Beck"/>
    <s v="Regular Air"/>
    <s v="Home Office"/>
    <x v="0"/>
    <x v="4"/>
    <s v="Small Box"/>
    <s v="Staples Brown Kraft Recycled Clasp Envelopes"/>
    <n v="0.35"/>
    <s v="United States"/>
    <s v="West"/>
    <s v="Arizona"/>
    <s v="Flagstaff"/>
    <n v="86001"/>
    <d v="2015-04-07T00:00:00"/>
    <d v="2015-04-12T00:00:00"/>
    <n v="-22.48"/>
    <n v="3"/>
    <x v="150"/>
    <n v="88941"/>
    <n v="56.010000000000005"/>
  </r>
  <r>
    <n v="40.89"/>
    <n v="18.98"/>
    <n v="268"/>
    <s v="James Beck"/>
    <s v="Regular Air"/>
    <s v="Home Office"/>
    <x v="1"/>
    <x v="2"/>
    <s v="Small Box"/>
    <s v="Eldon Executive Woodline II Cherry Finish Desk Accessories"/>
    <n v="0.56999999999999995"/>
    <s v="United States"/>
    <s v="West"/>
    <s v="Arizona"/>
    <s v="Flagstaff"/>
    <n v="86001"/>
    <d v="2015-04-07T00:00:00"/>
    <d v="2015-04-14T00:00:00"/>
    <n v="78.98"/>
    <n v="5"/>
    <x v="151"/>
    <n v="88941"/>
    <n v="1053.8500000000001"/>
  </r>
  <r>
    <n v="35.94"/>
    <n v="6.66"/>
    <n v="269"/>
    <s v="Calvin Boyette"/>
    <s v="Regular Air"/>
    <s v="Home Office"/>
    <x v="0"/>
    <x v="4"/>
    <s v="Small Box"/>
    <s v="Tyvek ® Top-Opening Peel &amp; Seel ® Envelopes, Gray"/>
    <n v="0.4"/>
    <s v="United States"/>
    <s v="West"/>
    <s v="Arizona"/>
    <s v="Gilbert"/>
    <n v="85234"/>
    <d v="2015-06-05T00:00:00"/>
    <d v="2015-06-10T00:00:00"/>
    <n v="144.2928"/>
    <n v="6"/>
    <x v="152"/>
    <n v="88942"/>
    <n v="1254.72"/>
  </r>
  <r>
    <n v="170.98"/>
    <n v="13.99"/>
    <n v="269"/>
    <s v="Calvin Boyette"/>
    <s v="Regular Air"/>
    <s v="Home Office"/>
    <x v="1"/>
    <x v="2"/>
    <s v="Medium Box"/>
    <s v="Tenex Antistatic Computer Chair Mats"/>
    <n v="0.75"/>
    <s v="United States"/>
    <s v="West"/>
    <s v="Arizona"/>
    <s v="Gilbert"/>
    <n v="85234"/>
    <d v="2015-06-05T00:00:00"/>
    <d v="2015-06-12T00:00:00"/>
    <n v="888.14729999999997"/>
    <n v="7"/>
    <x v="153"/>
    <n v="88942"/>
    <n v="9010.19"/>
  </r>
  <r>
    <n v="4.9800000000000004"/>
    <n v="7.44"/>
    <n v="269"/>
    <s v="Calvin Boyette"/>
    <s v="Regular Air"/>
    <s v="Home Office"/>
    <x v="0"/>
    <x v="7"/>
    <s v="Small Box"/>
    <s v="Xerox 1922"/>
    <n v="0.36"/>
    <s v="United States"/>
    <s v="West"/>
    <s v="Arizona"/>
    <s v="Gilbert"/>
    <n v="85234"/>
    <d v="2015-06-05T00:00:00"/>
    <d v="2015-06-07T00:00:00"/>
    <n v="-46.005000000000003"/>
    <n v="9"/>
    <x v="154"/>
    <n v="88942"/>
    <n v="415.53000000000003"/>
  </r>
  <r>
    <n v="80.97"/>
    <n v="30.06"/>
    <n v="271"/>
    <s v="Sam Rouse"/>
    <s v="Delivery Truck"/>
    <s v="Small Business"/>
    <x v="2"/>
    <x v="6"/>
    <s v="Jumbo Box"/>
    <s v="Hewlett-Packard Deskjet 940 REFURBISHED Color Inkjet Printer"/>
    <n v="0.4"/>
    <s v="United States"/>
    <s v="South"/>
    <s v="Georgia"/>
    <s v="Forest Park"/>
    <n v="30297"/>
    <d v="2015-03-30T00:00:00"/>
    <d v="2015-03-31T00:00:00"/>
    <n v="128.02529999999999"/>
    <n v="12"/>
    <x v="155"/>
    <n v="88940"/>
    <n v="10797.72"/>
  </r>
  <r>
    <n v="5.58"/>
    <n v="5.3"/>
    <n v="272"/>
    <s v="Eleanor Swain"/>
    <s v="Regular Air"/>
    <s v="Home Office"/>
    <x v="0"/>
    <x v="4"/>
    <s v="Small Box"/>
    <s v="Staples Brown Kraft Recycled Clasp Envelopes"/>
    <n v="0.35"/>
    <s v="United States"/>
    <s v="South"/>
    <s v="North Carolina"/>
    <s v="Charlotte"/>
    <n v="28204"/>
    <d v="2015-04-07T00:00:00"/>
    <d v="2015-04-12T00:00:00"/>
    <n v="-29.898399999999999"/>
    <n v="11"/>
    <x v="156"/>
    <n v="5509"/>
    <n v="753.06"/>
  </r>
  <r>
    <n v="40.89"/>
    <n v="18.98"/>
    <n v="272"/>
    <s v="Eleanor Swain"/>
    <s v="Regular Air"/>
    <s v="Home Office"/>
    <x v="1"/>
    <x v="2"/>
    <s v="Small Box"/>
    <s v="Eldon Executive Woodline II Cherry Finish Desk Accessories"/>
    <n v="0.56999999999999995"/>
    <s v="United States"/>
    <s v="South"/>
    <s v="North Carolina"/>
    <s v="Charlotte"/>
    <n v="28204"/>
    <d v="2015-04-07T00:00:00"/>
    <d v="2015-04-14T00:00:00"/>
    <n v="52.916600000000003"/>
    <n v="21"/>
    <x v="157"/>
    <n v="5509"/>
    <n v="18589.830000000002"/>
  </r>
  <r>
    <n v="35.94"/>
    <n v="6.66"/>
    <n v="272"/>
    <s v="Eleanor Swain"/>
    <s v="Regular Air"/>
    <s v="Home Office"/>
    <x v="0"/>
    <x v="4"/>
    <s v="Small Box"/>
    <s v="Tyvek ® Top-Opening Peel &amp; Seel ® Envelopes, Gray"/>
    <n v="0.4"/>
    <s v="United States"/>
    <s v="South"/>
    <s v="North Carolina"/>
    <s v="Charlotte"/>
    <n v="28204"/>
    <d v="2015-06-05T00:00:00"/>
    <d v="2015-06-10T00:00:00"/>
    <n v="72.1858"/>
    <n v="24"/>
    <x v="158"/>
    <n v="36069"/>
    <n v="20075.28"/>
  </r>
  <r>
    <n v="4.9800000000000004"/>
    <n v="7.44"/>
    <n v="272"/>
    <s v="Eleanor Swain"/>
    <s v="Regular Air"/>
    <s v="Home Office"/>
    <x v="0"/>
    <x v="7"/>
    <s v="Small Box"/>
    <s v="Xerox 1922"/>
    <n v="0.36"/>
    <s v="United States"/>
    <s v="South"/>
    <s v="North Carolina"/>
    <s v="Charlotte"/>
    <n v="28204"/>
    <d v="2015-06-05T00:00:00"/>
    <d v="2015-06-07T00:00:00"/>
    <n v="-122.3733"/>
    <n v="37"/>
    <x v="159"/>
    <n v="36069"/>
    <n v="7023.71"/>
  </r>
  <r>
    <n v="15.28"/>
    <n v="10.91"/>
    <n v="275"/>
    <s v="Roger Blalock Cassidy"/>
    <s v="Regular Air"/>
    <s v="Corporate"/>
    <x v="0"/>
    <x v="8"/>
    <s v="Small Box"/>
    <s v="Recycled Premium Regency Composition Covers"/>
    <n v="0.36"/>
    <s v="United States"/>
    <s v="East"/>
    <s v="Connecticut"/>
    <s v="Fairfield"/>
    <n v="6824"/>
    <d v="2015-01-24T00:00:00"/>
    <d v="2015-01-25T00:00:00"/>
    <n v="-51.75"/>
    <n v="4"/>
    <x v="160"/>
    <n v="89292"/>
    <n v="246.08"/>
  </r>
  <r>
    <n v="1.98"/>
    <n v="0.7"/>
    <n v="276"/>
    <s v="Lucille Rankin"/>
    <s v="Express Air"/>
    <s v="Corporate"/>
    <x v="0"/>
    <x v="3"/>
    <s v="Wrap Bag"/>
    <s v="Brites Rubber Bands, 1 1/2 oz. Box"/>
    <n v="0.83"/>
    <s v="United States"/>
    <s v="East"/>
    <s v="Connecticut"/>
    <s v="Newington"/>
    <n v="6111"/>
    <d v="2015-05-21T00:00:00"/>
    <d v="2015-05-22T00:00:00"/>
    <n v="-1"/>
    <n v="3"/>
    <x v="161"/>
    <n v="89291"/>
    <n v="24.900000000000002"/>
  </r>
  <r>
    <n v="55.99"/>
    <n v="5"/>
    <n v="282"/>
    <s v="Vickie Andrews"/>
    <s v="Regular Air"/>
    <s v="Corporate"/>
    <x v="2"/>
    <x v="5"/>
    <s v="Small Pack"/>
    <s v="Accessory36"/>
    <n v="0.83"/>
    <s v="United States"/>
    <s v="East"/>
    <s v="New Jersey"/>
    <s v="Belleville"/>
    <n v="7109"/>
    <d v="2015-05-21T00:00:00"/>
    <d v="2015-05-22T00:00:00"/>
    <n v="-221.25399999999999"/>
    <n v="9"/>
    <x v="162"/>
    <n v="89291"/>
    <n v="3752.5499999999997"/>
  </r>
  <r>
    <n v="1.68"/>
    <n v="1.57"/>
    <n v="283"/>
    <s v="Pauline Boyette"/>
    <s v="Regular Air"/>
    <s v="Corporate"/>
    <x v="0"/>
    <x v="0"/>
    <s v="Wrap Bag"/>
    <s v="Newell 323"/>
    <n v="0.59"/>
    <s v="United States"/>
    <s v="East"/>
    <s v="New Jersey"/>
    <s v="Newark"/>
    <n v="7101"/>
    <d v="2015-06-17T00:00:00"/>
    <d v="2015-06-18T00:00:00"/>
    <n v="-11.57"/>
    <n v="11"/>
    <x v="163"/>
    <n v="89293"/>
    <n v="205.81"/>
  </r>
  <r>
    <n v="4.13"/>
    <n v="5.34"/>
    <n v="286"/>
    <s v="Virginia Gay"/>
    <s v="Regular Air"/>
    <s v="Small Business"/>
    <x v="0"/>
    <x v="8"/>
    <s v="Small Box"/>
    <s v="ACCOHIDE® Binder by Acco"/>
    <n v="0.38"/>
    <s v="United States"/>
    <s v="Central"/>
    <s v="Kansas"/>
    <s v="Shawnee"/>
    <n v="66203"/>
    <d v="2015-06-17T00:00:00"/>
    <d v="2015-06-21T00:00:00"/>
    <n v="-61.87"/>
    <n v="9"/>
    <x v="164"/>
    <n v="89761"/>
    <n v="368.55"/>
  </r>
  <r>
    <n v="130.97999999999999"/>
    <n v="54.74"/>
    <n v="286"/>
    <s v="Virginia Gay"/>
    <s v="Delivery Truck"/>
    <s v="Small Business"/>
    <x v="1"/>
    <x v="14"/>
    <s v="Jumbo Box"/>
    <s v="O'Sullivan Elevations Bookcase, Cherry Finish"/>
    <n v="0.69"/>
    <s v="United States"/>
    <s v="Central"/>
    <s v="Kansas"/>
    <s v="Shawnee"/>
    <n v="66203"/>
    <d v="2015-06-17T00:00:00"/>
    <d v="2015-06-21T00:00:00"/>
    <n v="-530.24"/>
    <n v="9"/>
    <x v="165"/>
    <n v="89761"/>
    <n v="10401.57"/>
  </r>
  <r>
    <n v="28.48"/>
    <n v="1.99"/>
    <n v="288"/>
    <s v="Patricia Cole Blair"/>
    <s v="Regular Air"/>
    <s v="Small Business"/>
    <x v="2"/>
    <x v="13"/>
    <s v="Small Pack"/>
    <s v="Memorex 4.7GB DVD+RW, 3/Pack"/>
    <n v="0.4"/>
    <s v="United States"/>
    <s v="Central"/>
    <s v="Kansas"/>
    <s v="Wichita"/>
    <n v="67212"/>
    <d v="2015-01-16T00:00:00"/>
    <d v="2015-01-19T00:00:00"/>
    <n v="132.68700000000001"/>
    <n v="7"/>
    <x v="166"/>
    <n v="89762"/>
    <n v="1346.1000000000001"/>
  </r>
  <r>
    <n v="65.989999999999995"/>
    <n v="4.99"/>
    <n v="288"/>
    <s v="Patricia Cole Blair"/>
    <s v="Express Air"/>
    <s v="Small Business"/>
    <x v="2"/>
    <x v="5"/>
    <s v="Small Box"/>
    <s v="MicroTAC 650"/>
    <n v="0.57999999999999996"/>
    <s v="United States"/>
    <s v="Central"/>
    <s v="Kansas"/>
    <s v="Wichita"/>
    <n v="67212"/>
    <d v="2015-01-16T00:00:00"/>
    <d v="2015-01-18T00:00:00"/>
    <n v="496.89"/>
    <n v="14"/>
    <x v="167"/>
    <n v="89762"/>
    <n v="10473.4"/>
  </r>
  <r>
    <n v="4.9800000000000004"/>
    <n v="4.62"/>
    <n v="290"/>
    <s v="Sara O'Connor"/>
    <s v="Regular Air"/>
    <s v="Small Business"/>
    <x v="2"/>
    <x v="13"/>
    <s v="Small Pack"/>
    <s v="Imation 3.5&quot;, DISKETTE 44766 HGHLD3.52HD/FM, 10/Pack"/>
    <n v="0.64"/>
    <s v="United States"/>
    <s v="West"/>
    <s v="Colorado"/>
    <s v="Loveland"/>
    <n v="80538"/>
    <d v="2015-03-25T00:00:00"/>
    <d v="2015-03-26T00:00:00"/>
    <n v="-135.16"/>
    <n v="20"/>
    <x v="168"/>
    <n v="90837"/>
    <n v="2050.8000000000002"/>
  </r>
  <r>
    <n v="8.33"/>
    <n v="1.99"/>
    <n v="306"/>
    <s v="Thomas McAllister"/>
    <s v="Regular Air"/>
    <s v="Small Business"/>
    <x v="2"/>
    <x v="13"/>
    <s v="Small Pack"/>
    <s v="80 Minute Slim Jewel Case CD-R , 10/Pack - Staples"/>
    <n v="0.52"/>
    <s v="United States"/>
    <s v="East"/>
    <s v="Maryland"/>
    <s v="Pikesville"/>
    <n v="21208"/>
    <d v="2015-02-14T00:00:00"/>
    <d v="2015-02-15T00:00:00"/>
    <n v="15.895200000000001"/>
    <n v="8"/>
    <x v="169"/>
    <n v="87057"/>
    <n v="561.28"/>
  </r>
  <r>
    <n v="85.99"/>
    <n v="0.99"/>
    <n v="306"/>
    <s v="Thomas McAllister"/>
    <s v="Regular Air"/>
    <s v="Small Business"/>
    <x v="2"/>
    <x v="5"/>
    <s v="Wrap Bag"/>
    <s v="Accessory34"/>
    <n v="0.55000000000000004"/>
    <s v="United States"/>
    <s v="East"/>
    <s v="Maryland"/>
    <s v="Pikesville"/>
    <n v="21208"/>
    <d v="2015-02-14T00:00:00"/>
    <d v="2015-02-16T00:00:00"/>
    <n v="855.99329999999998"/>
    <n v="17"/>
    <x v="170"/>
    <n v="87057"/>
    <n v="21089.69"/>
  </r>
  <r>
    <n v="8.33"/>
    <n v="1.99"/>
    <n v="308"/>
    <s v="Glen Caldwell"/>
    <s v="Regular Air"/>
    <s v="Small Business"/>
    <x v="2"/>
    <x v="13"/>
    <s v="Small Pack"/>
    <s v="80 Minute Slim Jewel Case CD-R , 10/Pack - Staples"/>
    <n v="0.52"/>
    <s v="United States"/>
    <s v="West"/>
    <s v="Washington"/>
    <s v="Seattle"/>
    <n v="98115"/>
    <d v="2015-02-14T00:00:00"/>
    <d v="2015-02-15T00:00:00"/>
    <n v="10.74"/>
    <n v="32"/>
    <x v="171"/>
    <n v="37760"/>
    <n v="8979.84"/>
  </r>
  <r>
    <n v="1637.53"/>
    <n v="24.49"/>
    <n v="314"/>
    <s v="Ruby Gibbons"/>
    <s v="Regular Air"/>
    <s v="Corporate"/>
    <x v="0"/>
    <x v="12"/>
    <s v="Medium Box"/>
    <s v="High Speed Automatic Electric Letter Opener"/>
    <n v="0.81"/>
    <s v="United States"/>
    <s v="Central"/>
    <s v="Illinois"/>
    <s v="Forest Park"/>
    <n v="60130"/>
    <d v="2015-03-20T00:00:00"/>
    <d v="2015-03-22T00:00:00"/>
    <n v="-1759.58"/>
    <n v="2"/>
    <x v="172"/>
    <n v="89166"/>
    <n v="6413.88"/>
  </r>
  <r>
    <n v="19.98"/>
    <n v="4"/>
    <n v="315"/>
    <s v="Benjamin Kaufman"/>
    <s v="Regular Air"/>
    <s v="Corporate"/>
    <x v="2"/>
    <x v="13"/>
    <s v="Small Box"/>
    <s v="Belkin 105-Key Black Keyboard"/>
    <n v="0.68"/>
    <s v="United States"/>
    <s v="East"/>
    <s v="Massachusetts"/>
    <s v="Belchertown"/>
    <n v="1007"/>
    <d v="2015-03-20T00:00:00"/>
    <d v="2015-03-20T00:00:00"/>
    <n v="-72.23"/>
    <n v="2"/>
    <x v="173"/>
    <n v="89166"/>
    <n v="86.16"/>
  </r>
  <r>
    <n v="7.38"/>
    <n v="5.21"/>
    <n v="317"/>
    <s v="Katherine Kearney"/>
    <s v="Regular Air"/>
    <s v="Corporate"/>
    <x v="1"/>
    <x v="2"/>
    <s v="Small Box"/>
    <s v="Eldon® Expressions™ Wood Desk Accessories, Oak"/>
    <n v="0.56000000000000005"/>
    <s v="United States"/>
    <s v="West"/>
    <s v="California"/>
    <s v="Lemon Grove"/>
    <n v="91945"/>
    <d v="2015-06-17T00:00:00"/>
    <d v="2015-06-18T00:00:00"/>
    <n v="-27.16"/>
    <n v="9"/>
    <x v="174"/>
    <n v="86041"/>
    <n v="598.94999999999993"/>
  </r>
  <r>
    <n v="5.98"/>
    <n v="5.15"/>
    <n v="317"/>
    <s v="Katherine Kearney"/>
    <s v="Regular Air"/>
    <s v="Corporate"/>
    <x v="0"/>
    <x v="7"/>
    <s v="Small Box"/>
    <s v="Xerox 193"/>
    <n v="0.36"/>
    <s v="United States"/>
    <s v="West"/>
    <s v="California"/>
    <s v="Lemon Grove"/>
    <n v="91945"/>
    <d v="2015-06-17T00:00:00"/>
    <d v="2015-06-18T00:00:00"/>
    <n v="-52.344000000000001"/>
    <n v="17"/>
    <x v="175"/>
    <n v="86041"/>
    <n v="1759.33"/>
  </r>
  <r>
    <n v="15.42"/>
    <n v="10.68"/>
    <n v="317"/>
    <s v="Katherine Kearney"/>
    <s v="Regular Air"/>
    <s v="Corporate"/>
    <x v="0"/>
    <x v="10"/>
    <s v="Small Box"/>
    <s v="Decoflex Hanging Personal Folder File, Blue"/>
    <n v="0.57999999999999996"/>
    <s v="United States"/>
    <s v="West"/>
    <s v="California"/>
    <s v="Lemon Grove"/>
    <n v="91945"/>
    <d v="2015-06-17T00:00:00"/>
    <d v="2015-06-18T00:00:00"/>
    <n v="-119.93600000000001"/>
    <n v="12"/>
    <x v="176"/>
    <n v="86041"/>
    <n v="2306.16"/>
  </r>
  <r>
    <n v="8.33"/>
    <n v="1.99"/>
    <n v="321"/>
    <s v="Arthur Lowe Nash"/>
    <s v="Regular Air"/>
    <s v="Consumer"/>
    <x v="2"/>
    <x v="13"/>
    <s v="Small Pack"/>
    <s v="80 Minute Slim Jewel Case CD-R , 10/Pack - Staples"/>
    <n v="0.52"/>
    <s v="United States"/>
    <s v="East"/>
    <s v="Maryland"/>
    <s v="Potomac"/>
    <n v="20854"/>
    <d v="2015-04-04T00:00:00"/>
    <d v="2015-04-09T00:00:00"/>
    <n v="9.9268000000000001"/>
    <n v="11"/>
    <x v="177"/>
    <n v="91057"/>
    <n v="987.36"/>
  </r>
  <r>
    <n v="7.99"/>
    <n v="5.03"/>
    <n v="326"/>
    <s v="Brenda May"/>
    <s v="Regular Air"/>
    <s v="Consumer"/>
    <x v="2"/>
    <x v="5"/>
    <s v="Medium Box"/>
    <s v="Bell Sonecor JB700 Caller ID"/>
    <n v="0.6"/>
    <s v="United States"/>
    <s v="Central"/>
    <s v="Illinois"/>
    <s v="Batavia"/>
    <n v="60510"/>
    <d v="2015-06-09T00:00:00"/>
    <d v="2015-06-10T00:00:00"/>
    <n v="-29.172000000000001"/>
    <n v="4"/>
    <x v="178"/>
    <n v="90973"/>
    <n v="113.84"/>
  </r>
  <r>
    <n v="296.18"/>
    <n v="54.12"/>
    <n v="329"/>
    <s v="Faye Dyer"/>
    <s v="Delivery Truck"/>
    <s v="Home Office"/>
    <x v="1"/>
    <x v="11"/>
    <s v="Jumbo Box"/>
    <s v="Hon 94000 Series Round Tables"/>
    <n v="0.76"/>
    <s v="United States"/>
    <s v="East"/>
    <s v="Maine"/>
    <s v="Sanford"/>
    <n v="4073"/>
    <d v="2015-04-14T00:00:00"/>
    <d v="2015-04-15T00:00:00"/>
    <n v="-715.77820599999995"/>
    <n v="5"/>
    <x v="179"/>
    <n v="89726"/>
    <n v="5851.05"/>
  </r>
  <r>
    <n v="29.1"/>
    <n v="4"/>
    <n v="331"/>
    <s v="Bradley Pollock"/>
    <s v="Express Air"/>
    <s v="Home Office"/>
    <x v="2"/>
    <x v="13"/>
    <s v="Small Box"/>
    <s v="Acco Keyboard-In-A-Box®"/>
    <n v="0.78"/>
    <s v="United States"/>
    <s v="East"/>
    <s v="New Hampshire"/>
    <s v="Goffstown"/>
    <n v="3045"/>
    <d v="2015-04-14T00:00:00"/>
    <d v="2015-04-16T00:00:00"/>
    <n v="-22.82"/>
    <n v="8"/>
    <x v="180"/>
    <n v="89726"/>
    <n v="1946.56"/>
  </r>
  <r>
    <n v="276.2"/>
    <n v="24.49"/>
    <n v="335"/>
    <s v="Curtis O'Connell"/>
    <s v="Regular Air"/>
    <s v="Corporate"/>
    <x v="1"/>
    <x v="1"/>
    <s v="Large Box"/>
    <s v="SAFCO Arco Folding Chair"/>
    <m/>
    <s v="United States"/>
    <s v="West"/>
    <s v="Oregon"/>
    <s v="Medford"/>
    <n v="97504"/>
    <d v="2015-05-04T00:00:00"/>
    <d v="2015-05-05T00:00:00"/>
    <n v="2639.4708000000001"/>
    <n v="14"/>
    <x v="181"/>
    <n v="87277"/>
    <n v="53554.48"/>
  </r>
  <r>
    <n v="6.28"/>
    <n v="5.29"/>
    <n v="335"/>
    <s v="Curtis O'Connell"/>
    <s v="Regular Air"/>
    <s v="Corporate"/>
    <x v="1"/>
    <x v="2"/>
    <s v="Small Box"/>
    <s v="Eldon® 200 Class™ Desk Accessories, Burgundy"/>
    <n v="0.43"/>
    <s v="United States"/>
    <s v="West"/>
    <s v="Oregon"/>
    <s v="Medford"/>
    <n v="97504"/>
    <d v="2015-05-04T00:00:00"/>
    <d v="2015-05-04T00:00:00"/>
    <n v="-5.2"/>
    <n v="1"/>
    <x v="182"/>
    <n v="87277"/>
    <n v="8.5299999999999994"/>
  </r>
  <r>
    <n v="7.77"/>
    <n v="9.23"/>
    <n v="339"/>
    <s v="Bobby Clements"/>
    <s v="Regular Air"/>
    <s v="Corporate"/>
    <x v="0"/>
    <x v="15"/>
    <s v="Small Box"/>
    <s v="Hoover Commercial Soft Guard Upright Vacuum And Disposable Filtration Bags"/>
    <n v="0.57999999999999996"/>
    <s v="United States"/>
    <s v="East"/>
    <s v="Ohio"/>
    <s v="Columbus"/>
    <n v="43229"/>
    <d v="2015-03-17T00:00:00"/>
    <d v="2015-03-18T00:00:00"/>
    <n v="-83.65"/>
    <n v="5"/>
    <x v="183"/>
    <n v="90583"/>
    <n v="201.5"/>
  </r>
  <r>
    <n v="7.59"/>
    <n v="4"/>
    <n v="339"/>
    <s v="Bobby Clements"/>
    <s v="Regular Air"/>
    <s v="Corporate"/>
    <x v="1"/>
    <x v="2"/>
    <s v="Wrap Bag"/>
    <s v="Master Giant Foot® Doorstop, Safety Yellow"/>
    <n v="0.42"/>
    <s v="United States"/>
    <s v="East"/>
    <s v="Ohio"/>
    <s v="Columbus"/>
    <n v="43229"/>
    <d v="2015-03-17T00:00:00"/>
    <d v="2015-03-19T00:00:00"/>
    <n v="24.39"/>
    <n v="15"/>
    <x v="184"/>
    <n v="90583"/>
    <n v="1678.1999999999998"/>
  </r>
  <r>
    <n v="3.26"/>
    <n v="1.86"/>
    <n v="342"/>
    <s v="Jacqueline Noble"/>
    <s v="Regular Air"/>
    <s v="Corporate"/>
    <x v="0"/>
    <x v="0"/>
    <s v="Wrap Bag"/>
    <s v="Avery Hi-Liter GlideStik Fluorescent Highlighter, Yellow Ink"/>
    <n v="0.41"/>
    <s v="United States"/>
    <s v="South"/>
    <s v="Florida"/>
    <s v="Miami"/>
    <n v="33181"/>
    <d v="2015-05-04T00:00:00"/>
    <d v="2015-05-06T00:00:00"/>
    <n v="-4.6683000000000003"/>
    <n v="20"/>
    <x v="185"/>
    <n v="3332"/>
    <n v="1479.4"/>
  </r>
  <r>
    <n v="15.23"/>
    <n v="27.75"/>
    <n v="343"/>
    <s v="Lynn Epstein"/>
    <s v="Delivery Truck"/>
    <s v="Corporate"/>
    <x v="1"/>
    <x v="11"/>
    <s v="Jumbo Box"/>
    <s v="Anderson Hickey Conga Table Tops &amp; Accessories"/>
    <n v="0.76"/>
    <s v="United States"/>
    <s v="East"/>
    <s v="Maine"/>
    <s v="Bangor"/>
    <n v="4401"/>
    <d v="2015-01-31T00:00:00"/>
    <d v="2015-02-01T00:00:00"/>
    <n v="11.65095"/>
    <n v="7"/>
    <x v="186"/>
    <n v="88151"/>
    <n v="783.02"/>
  </r>
  <r>
    <n v="3.26"/>
    <n v="1.86"/>
    <n v="344"/>
    <s v="Rosemary English"/>
    <s v="Regular Air"/>
    <s v="Corporate"/>
    <x v="0"/>
    <x v="0"/>
    <s v="Wrap Bag"/>
    <s v="Avery Hi-Liter GlideStik Fluorescent Highlighter, Yellow Ink"/>
    <n v="0.41"/>
    <s v="United States"/>
    <s v="East"/>
    <s v="Maine"/>
    <s v="Portland"/>
    <n v="4101"/>
    <d v="2015-05-04T00:00:00"/>
    <d v="2015-05-06T00:00:00"/>
    <n v="0.70199999999999996"/>
    <n v="5"/>
    <x v="187"/>
    <n v="88152"/>
    <n v="92.449999999999989"/>
  </r>
  <r>
    <n v="8.34"/>
    <n v="2.64"/>
    <n v="349"/>
    <s v="Kim Weiss"/>
    <s v="Express Air"/>
    <s v="Home Office"/>
    <x v="0"/>
    <x v="12"/>
    <s v="Small Pack"/>
    <s v="Acme® Elite Stainless Steel Scissors"/>
    <n v="0.59"/>
    <s v="United States"/>
    <s v="South"/>
    <s v="Florida"/>
    <s v="Miami"/>
    <n v="33132"/>
    <d v="2015-06-09T00:00:00"/>
    <d v="2015-06-11T00:00:00"/>
    <n v="5.8624999999999998"/>
    <n v="23"/>
    <x v="188"/>
    <n v="17446"/>
    <n v="4896.4699999999993"/>
  </r>
  <r>
    <n v="99.23"/>
    <n v="8.99"/>
    <n v="349"/>
    <s v="Kim Weiss"/>
    <s v="Regular Air"/>
    <s v="Home Office"/>
    <x v="1"/>
    <x v="2"/>
    <s v="Small Pack"/>
    <s v="GE 48&quot; Fluorescent Tube, Cool White Energy Saver, 34 Watts, 30/Box"/>
    <n v="0.35"/>
    <s v="United States"/>
    <s v="South"/>
    <s v="Florida"/>
    <s v="Miami"/>
    <n v="33132"/>
    <d v="2015-01-02T00:00:00"/>
    <d v="2015-01-04T00:00:00"/>
    <n v="1916.6757"/>
    <n v="54"/>
    <x v="189"/>
    <n v="11527"/>
    <n v="300002.40000000002"/>
  </r>
  <r>
    <n v="8.34"/>
    <n v="2.64"/>
    <n v="351"/>
    <s v="Juanita Coley Knox"/>
    <s v="Express Air"/>
    <s v="Home Office"/>
    <x v="0"/>
    <x v="12"/>
    <s v="Small Pack"/>
    <s v="Acme® Elite Stainless Steel Scissors"/>
    <n v="0.59"/>
    <s v="United States"/>
    <s v="East"/>
    <s v="New York"/>
    <s v="Watertown"/>
    <n v="13601"/>
    <d v="2015-06-09T00:00:00"/>
    <d v="2015-06-11T00:00:00"/>
    <n v="10.5"/>
    <n v="6"/>
    <x v="190"/>
    <n v="88685"/>
    <n v="333.24"/>
  </r>
  <r>
    <n v="99.23"/>
    <n v="8.99"/>
    <n v="351"/>
    <s v="Juanita Coley Knox"/>
    <s v="Regular Air"/>
    <s v="Home Office"/>
    <x v="1"/>
    <x v="2"/>
    <s v="Small Pack"/>
    <s v="GE 48&quot; Fluorescent Tube, Cool White Energy Saver, 34 Watts, 30/Box"/>
    <n v="0.35"/>
    <s v="United States"/>
    <s v="East"/>
    <s v="New York"/>
    <s v="Watertown"/>
    <n v="13601"/>
    <d v="2015-01-02T00:00:00"/>
    <d v="2015-01-04T00:00:00"/>
    <n v="993.83460000000002"/>
    <n v="14"/>
    <x v="191"/>
    <n v="88686"/>
    <n v="20164.759999999998"/>
  </r>
  <r>
    <n v="4.8899999999999997"/>
    <n v="4.93"/>
    <n v="353"/>
    <s v="Bonnie Chambers"/>
    <s v="Express Air"/>
    <s v="Home Office"/>
    <x v="2"/>
    <x v="13"/>
    <s v="Small Pack"/>
    <s v="Maxell 3.5&quot; DS/HD IBM-Formatted Diskettes, 10/Pack"/>
    <n v="0.66"/>
    <s v="United States"/>
    <s v="West"/>
    <s v="Arizona"/>
    <s v="Glendale"/>
    <n v="85301"/>
    <d v="2015-05-14T00:00:00"/>
    <d v="2015-05-14T00:00:00"/>
    <n v="-165.45"/>
    <n v="17"/>
    <x v="192"/>
    <n v="89647"/>
    <n v="1440.92"/>
  </r>
  <r>
    <n v="6.68"/>
    <n v="6.92"/>
    <n v="353"/>
    <s v="Bonnie Chambers"/>
    <s v="Regular Air"/>
    <s v="Home Office"/>
    <x v="0"/>
    <x v="7"/>
    <s v="Small Box"/>
    <s v="Xerox 1898"/>
    <n v="0.37"/>
    <s v="United States"/>
    <s v="West"/>
    <s v="Arizona"/>
    <s v="Glendale"/>
    <n v="85301"/>
    <d v="2015-05-14T00:00:00"/>
    <d v="2015-05-21T00:00:00"/>
    <n v="-141.12"/>
    <n v="16"/>
    <x v="193"/>
    <n v="89647"/>
    <n v="1677.44"/>
  </r>
  <r>
    <n v="124.49"/>
    <n v="51.94"/>
    <n v="357"/>
    <s v="Barbara McNamara"/>
    <s v="Delivery Truck"/>
    <s v="Corporate"/>
    <x v="1"/>
    <x v="11"/>
    <s v="Jumbo Box"/>
    <s v="Bevis 36 x 72 Conference Tables"/>
    <n v="0.63"/>
    <s v="United States"/>
    <s v="West"/>
    <s v="Arizona"/>
    <s v="Kingman"/>
    <n v="86401"/>
    <d v="2015-05-24T00:00:00"/>
    <d v="2015-05-25T00:00:00"/>
    <n v="1074.44"/>
    <n v="14"/>
    <x v="194"/>
    <n v="91131"/>
    <n v="24009.02"/>
  </r>
  <r>
    <n v="125.99"/>
    <n v="8.99"/>
    <n v="358"/>
    <s v="Chris F Brandt"/>
    <s v="Regular Air"/>
    <s v="Corporate"/>
    <x v="2"/>
    <x v="5"/>
    <s v="Small Box"/>
    <s v="M70"/>
    <n v="0.59"/>
    <s v="United States"/>
    <s v="East"/>
    <s v="Pennsylvania"/>
    <s v="King of Prussia"/>
    <n v="19406"/>
    <d v="2015-01-09T00:00:00"/>
    <d v="2015-01-16T00:00:00"/>
    <n v="-627.82191999999998"/>
    <n v="1"/>
    <x v="195"/>
    <n v="91130"/>
    <n v="107.95"/>
  </r>
  <r>
    <n v="328.14"/>
    <n v="91.05"/>
    <n v="366"/>
    <s v="Patrick Rosenthal"/>
    <s v="Delivery Truck"/>
    <s v="Small Business"/>
    <x v="0"/>
    <x v="15"/>
    <s v="Jumbo Drum"/>
    <s v="Sanyo Counter Height Refrigerator with Crisper, 3.6 Cubic Foot, Stainless Steel/Black"/>
    <n v="0.56999999999999995"/>
    <s v="United States"/>
    <s v="East"/>
    <s v="Rhode Island"/>
    <s v="Cranston"/>
    <n v="2910"/>
    <d v="2015-01-17T00:00:00"/>
    <d v="2015-01-19T00:00:00"/>
    <n v="411.5172"/>
    <n v="6"/>
    <x v="196"/>
    <n v="87347"/>
    <n v="11807.880000000001"/>
  </r>
  <r>
    <n v="19.23"/>
    <n v="6.15"/>
    <n v="369"/>
    <s v="Troy Moon"/>
    <s v="Express Air"/>
    <s v="Corporate"/>
    <x v="1"/>
    <x v="2"/>
    <s v="Small Pack"/>
    <s v="Executive Impressions 13&quot; Clairmont Wall Clock"/>
    <n v="0.44"/>
    <s v="United States"/>
    <s v="West"/>
    <s v="California"/>
    <s v="Oakland"/>
    <n v="94601"/>
    <d v="2015-04-11T00:00:00"/>
    <d v="2015-04-13T00:00:00"/>
    <n v="211.232"/>
    <n v="21"/>
    <x v="197"/>
    <n v="90292"/>
    <n v="8276.1"/>
  </r>
  <r>
    <n v="20.99"/>
    <n v="4.8099999999999996"/>
    <n v="370"/>
    <s v="Sam Oh"/>
    <s v="Regular Air"/>
    <s v="Corporate"/>
    <x v="2"/>
    <x v="5"/>
    <s v="Medium Box"/>
    <s v="1726 Digital Answering Machine"/>
    <n v="0.57999999999999996"/>
    <s v="United States"/>
    <s v="East"/>
    <s v="Maine"/>
    <s v="Lewiston"/>
    <n v="4240"/>
    <d v="2015-05-27T00:00:00"/>
    <d v="2015-05-29T00:00:00"/>
    <n v="49.787999999999997"/>
    <n v="15"/>
    <x v="198"/>
    <n v="90291"/>
    <n v="3995.85"/>
  </r>
  <r>
    <n v="5.4"/>
    <n v="7.78"/>
    <n v="371"/>
    <s v="Roberta Mullins Peters"/>
    <s v="Express Air"/>
    <s v="Corporate"/>
    <x v="0"/>
    <x v="8"/>
    <s v="Small Box"/>
    <s v="3M Organizer Strips"/>
    <n v="0.37"/>
    <s v="United States"/>
    <s v="East"/>
    <s v="Massachusetts"/>
    <s v="Everett"/>
    <n v="2149"/>
    <d v="2015-05-27T00:00:00"/>
    <d v="2015-05-29T00:00:00"/>
    <n v="-132.62950000000001"/>
    <n v="9"/>
    <x v="199"/>
    <n v="90291"/>
    <n v="466.38"/>
  </r>
  <r>
    <n v="200.98"/>
    <n v="55.96"/>
    <n v="373"/>
    <s v="Jeanne Werner"/>
    <s v="Delivery Truck"/>
    <s v="Small Business"/>
    <x v="1"/>
    <x v="14"/>
    <s v="Jumbo Box"/>
    <s v="O'Sullivan Living Dimensions 3-Shelf Bookcases"/>
    <n v="0.75"/>
    <s v="United States"/>
    <s v="Central"/>
    <s v="Michigan"/>
    <s v="Detroit"/>
    <n v="48234"/>
    <d v="2015-03-14T00:00:00"/>
    <d v="2015-03-16T00:00:00"/>
    <n v="-163.63"/>
    <n v="45"/>
    <x v="200"/>
    <n v="24193"/>
    <n v="429282"/>
  </r>
  <r>
    <n v="4.28"/>
    <n v="5.17"/>
    <n v="373"/>
    <s v="Jeanne Werner"/>
    <s v="Regular Air"/>
    <s v="Small Business"/>
    <x v="0"/>
    <x v="7"/>
    <s v="Small Box"/>
    <s v="Xerox 1971"/>
    <n v="0.4"/>
    <s v="United States"/>
    <s v="Central"/>
    <s v="Michigan"/>
    <s v="Detroit"/>
    <n v="48234"/>
    <d v="2015-03-14T00:00:00"/>
    <d v="2015-03-15T00:00:00"/>
    <n v="-63.87"/>
    <n v="24"/>
    <x v="201"/>
    <n v="24193"/>
    <n v="2636.64"/>
  </r>
  <r>
    <n v="85.99"/>
    <n v="0.99"/>
    <n v="373"/>
    <s v="Jeanne Werner"/>
    <s v="Regular Air"/>
    <s v="Small Business"/>
    <x v="2"/>
    <x v="5"/>
    <s v="Wrap Bag"/>
    <s v="Accessory4"/>
    <n v="0.85"/>
    <s v="United States"/>
    <s v="Central"/>
    <s v="Michigan"/>
    <s v="Detroit"/>
    <n v="48234"/>
    <d v="2015-03-14T00:00:00"/>
    <d v="2015-03-16T00:00:00"/>
    <n v="-175.17500000000001"/>
    <n v="19"/>
    <x v="202"/>
    <n v="24193"/>
    <n v="27103.69"/>
  </r>
  <r>
    <n v="200.98"/>
    <n v="55.96"/>
    <n v="375"/>
    <s v="Sandra Sharma"/>
    <s v="Delivery Truck"/>
    <s v="Small Business"/>
    <x v="1"/>
    <x v="14"/>
    <s v="Jumbo Box"/>
    <s v="O'Sullivan Living Dimensions 3-Shelf Bookcases"/>
    <n v="0.75"/>
    <s v="United States"/>
    <s v="South"/>
    <s v="Tennessee"/>
    <s v="Morristown"/>
    <n v="37814"/>
    <d v="2015-03-14T00:00:00"/>
    <d v="2015-03-16T00:00:00"/>
    <n v="-224.9478"/>
    <n v="11"/>
    <x v="203"/>
    <n v="90917"/>
    <n v="25650.9"/>
  </r>
  <r>
    <n v="4.28"/>
    <n v="5.17"/>
    <n v="375"/>
    <s v="Sandra Sharma"/>
    <s v="Regular Air"/>
    <s v="Small Business"/>
    <x v="0"/>
    <x v="7"/>
    <s v="Small Box"/>
    <s v="Xerox 1971"/>
    <n v="0.4"/>
    <s v="United States"/>
    <s v="South"/>
    <s v="Tennessee"/>
    <s v="Morristown"/>
    <n v="37814"/>
    <d v="2015-03-14T00:00:00"/>
    <d v="2015-03-15T00:00:00"/>
    <n v="196.8"/>
    <n v="6"/>
    <x v="204"/>
    <n v="90917"/>
    <n v="164.82"/>
  </r>
  <r>
    <n v="25.98"/>
    <n v="5.37"/>
    <n v="377"/>
    <s v="Sylvia Bush"/>
    <s v="Regular Air"/>
    <s v="Consumer"/>
    <x v="0"/>
    <x v="15"/>
    <s v="Medium Box"/>
    <s v="3M Office Air Cleaner"/>
    <n v="0.5"/>
    <s v="United States"/>
    <s v="Central"/>
    <s v="Illinois"/>
    <s v="Batavia"/>
    <n v="60510"/>
    <d v="2015-04-17T00:00:00"/>
    <d v="2015-04-17T00:00:00"/>
    <n v="250.0376"/>
    <n v="17"/>
    <x v="205"/>
    <n v="89579"/>
    <n v="7834.79"/>
  </r>
  <r>
    <n v="415.88"/>
    <n v="11.37"/>
    <n v="381"/>
    <s v="Danielle Watts"/>
    <s v="Regular Air"/>
    <s v="Corporate"/>
    <x v="0"/>
    <x v="10"/>
    <s v="Small Box"/>
    <s v="Deluxe Rollaway Locking File with Drawer"/>
    <n v="0.56999999999999995"/>
    <s v="United States"/>
    <s v="Central"/>
    <s v="Illinois"/>
    <s v="Bloomington"/>
    <n v="61701"/>
    <d v="2015-05-01T00:00:00"/>
    <d v="2015-05-01T00:00:00"/>
    <n v="-539.59"/>
    <n v="1"/>
    <x v="206"/>
    <n v="88929"/>
    <n v="394.51"/>
  </r>
  <r>
    <n v="5.34"/>
    <n v="5.63"/>
    <n v="383"/>
    <s v="Renee Alston"/>
    <s v="Regular Air"/>
    <s v="Corporate"/>
    <x v="0"/>
    <x v="8"/>
    <s v="Small Box"/>
    <s v="Pressboard Data Binder, Crimson, 12&quot; X 8 1/2&quot;"/>
    <n v="0.39"/>
    <s v="United States"/>
    <s v="East"/>
    <s v="Pennsylvania"/>
    <s v="Drexel Hill"/>
    <n v="19026"/>
    <d v="2015-03-19T00:00:00"/>
    <d v="2015-03-19T00:00:00"/>
    <n v="-82.822999999999993"/>
    <n v="7"/>
    <x v="207"/>
    <n v="88928"/>
    <n v="270.55"/>
  </r>
  <r>
    <n v="65.989999999999995"/>
    <n v="5.26"/>
    <n v="383"/>
    <s v="Renee Alston"/>
    <s v="Express Air"/>
    <s v="Corporate"/>
    <x v="2"/>
    <x v="5"/>
    <s v="Small Box"/>
    <n v="8860"/>
    <n v="0.56000000000000005"/>
    <s v="United States"/>
    <s v="East"/>
    <s v="Pennsylvania"/>
    <s v="Drexel Hill"/>
    <n v="19026"/>
    <d v="2015-03-19T00:00:00"/>
    <d v="2015-03-21T00:00:00"/>
    <n v="107.08199999999999"/>
    <n v="5"/>
    <x v="208"/>
    <n v="88928"/>
    <n v="1399.1499999999999"/>
  </r>
  <r>
    <n v="8.8800000000000008"/>
    <n v="6.28"/>
    <n v="387"/>
    <s v="Angela Howe"/>
    <s v="Express Air"/>
    <s v="Corporate"/>
    <x v="0"/>
    <x v="8"/>
    <s v="Small Box"/>
    <s v="GBC Instant Index™ System for Binding Systems"/>
    <n v="0.35"/>
    <s v="United States"/>
    <s v="Central"/>
    <s v="Nebraska"/>
    <s v="Grand Island"/>
    <n v="68801"/>
    <d v="2015-06-12T00:00:00"/>
    <d v="2015-06-14T00:00:00"/>
    <n v="-27.283750000000001"/>
    <n v="15"/>
    <x v="209"/>
    <n v="90339"/>
    <n v="1903.5"/>
  </r>
  <r>
    <n v="5.28"/>
    <n v="5.66"/>
    <n v="388"/>
    <s v="Roger Schwartz"/>
    <s v="Regular Air"/>
    <s v="Corporate"/>
    <x v="0"/>
    <x v="7"/>
    <s v="Small Box"/>
    <s v="Xerox 4200 Series MultiUse Premium Copy Paper (20Lb. and 84 Bright)"/>
    <n v="0.4"/>
    <s v="United States"/>
    <s v="Central"/>
    <s v="Nebraska"/>
    <s v="Kearney"/>
    <n v="68847"/>
    <d v="2015-01-03T00:00:00"/>
    <d v="2015-01-05T00:00:00"/>
    <n v="-51.559199999999997"/>
    <n v="4"/>
    <x v="210"/>
    <n v="90337"/>
    <n v="91.28"/>
  </r>
  <r>
    <n v="110.99"/>
    <n v="2.5"/>
    <n v="388"/>
    <s v="Roger Schwartz"/>
    <s v="Regular Air"/>
    <s v="Corporate"/>
    <x v="2"/>
    <x v="5"/>
    <s v="Small Box"/>
    <s v="T18"/>
    <n v="0.56999999999999995"/>
    <s v="United States"/>
    <s v="Central"/>
    <s v="Nebraska"/>
    <s v="Kearney"/>
    <n v="68847"/>
    <d v="2015-01-03T00:00:00"/>
    <d v="2015-01-06T00:00:00"/>
    <n v="-263.56572"/>
    <n v="2"/>
    <x v="211"/>
    <n v="90337"/>
    <n v="377.32"/>
  </r>
  <r>
    <n v="160.97999999999999"/>
    <n v="30"/>
    <n v="389"/>
    <s v="Joel Buckley"/>
    <s v="Delivery Truck"/>
    <s v="Corporate"/>
    <x v="1"/>
    <x v="1"/>
    <s v="Jumbo Drum"/>
    <s v="Office Star - Mid Back Dual function Ergonomic High Back Chair with 2-Way Adjustable Arms"/>
    <n v="0.62"/>
    <s v="United States"/>
    <s v="Central"/>
    <s v="Nebraska"/>
    <s v="Lincoln"/>
    <n v="68502"/>
    <d v="2015-02-06T00:00:00"/>
    <d v="2015-02-10T00:00:00"/>
    <n v="1273.2086999999999"/>
    <n v="11"/>
    <x v="212"/>
    <n v="90338"/>
    <n v="20297.53"/>
  </r>
  <r>
    <n v="34.979999999999997"/>
    <n v="7.53"/>
    <n v="392"/>
    <s v="Erica R Fuller"/>
    <s v="Regular Air"/>
    <s v="Corporate"/>
    <x v="2"/>
    <x v="13"/>
    <s v="Small Box"/>
    <s v="Fellowes EZ Multi-Media Keyboard"/>
    <n v="0.76"/>
    <s v="United States"/>
    <s v="Central"/>
    <s v="Missouri"/>
    <s v="Clayton"/>
    <n v="63105"/>
    <d v="2015-03-05T00:00:00"/>
    <d v="2015-03-07T00:00:00"/>
    <n v="-159.68"/>
    <n v="1"/>
    <x v="213"/>
    <n v="86383"/>
    <n v="37.159999999999997"/>
  </r>
  <r>
    <n v="19.989999999999998"/>
    <n v="11.17"/>
    <n v="392"/>
    <s v="Erica R Fuller"/>
    <s v="Regular Air"/>
    <s v="Corporate"/>
    <x v="1"/>
    <x v="2"/>
    <s v="Large Box"/>
    <s v="Telescoping Adjustable Floor Lamp"/>
    <n v="0.6"/>
    <s v="United States"/>
    <s v="Central"/>
    <s v="Missouri"/>
    <s v="Clayton"/>
    <n v="63105"/>
    <d v="2015-03-05T00:00:00"/>
    <d v="2015-03-08T00:00:00"/>
    <n v="27.91"/>
    <n v="2"/>
    <x v="214"/>
    <n v="86383"/>
    <n v="87.3"/>
  </r>
  <r>
    <n v="9.7100000000000009"/>
    <n v="9.4499999999999993"/>
    <n v="393"/>
    <s v="Shawn Combs"/>
    <s v="Regular Air"/>
    <s v="Corporate"/>
    <x v="0"/>
    <x v="10"/>
    <s v="Small Box"/>
    <s v="Filing/Storage Totes and Swivel Casters"/>
    <n v="0.6"/>
    <s v="United States"/>
    <s v="East"/>
    <s v="New York"/>
    <s v="Auburn"/>
    <n v="13021"/>
    <d v="2015-02-15T00:00:00"/>
    <d v="2015-02-22T00:00:00"/>
    <n v="-81.77"/>
    <n v="3"/>
    <x v="215"/>
    <n v="86382"/>
    <n v="94.320000000000007"/>
  </r>
  <r>
    <n v="15.98"/>
    <n v="4"/>
    <n v="395"/>
    <s v="Monica McCormick"/>
    <s v="Regular Air"/>
    <s v="Corporate"/>
    <x v="2"/>
    <x v="13"/>
    <s v="Small Box"/>
    <s v="Logitech Access Keyboard"/>
    <n v="0.37"/>
    <s v="United States"/>
    <s v="South"/>
    <s v="North Carolina"/>
    <s v="Albemarle"/>
    <n v="28001"/>
    <d v="2015-06-18T00:00:00"/>
    <d v="2015-06-19T00:00:00"/>
    <n v="-19.207999999999998"/>
    <n v="4"/>
    <x v="216"/>
    <n v="86384"/>
    <n v="258.36"/>
  </r>
  <r>
    <n v="22.84"/>
    <n v="5.47"/>
    <n v="395"/>
    <s v="Monica McCormick"/>
    <s v="Regular Air"/>
    <s v="Corporate"/>
    <x v="0"/>
    <x v="7"/>
    <s v="Small Box"/>
    <s v="Xerox 1929"/>
    <n v="0.39"/>
    <s v="United States"/>
    <s v="South"/>
    <s v="North Carolina"/>
    <s v="Albemarle"/>
    <n v="28001"/>
    <d v="2015-06-18T00:00:00"/>
    <d v="2015-06-20T00:00:00"/>
    <n v="7.44"/>
    <n v="20"/>
    <x v="217"/>
    <n v="86384"/>
    <n v="9238.7999999999993"/>
  </r>
  <r>
    <n v="154.13"/>
    <n v="69"/>
    <n v="397"/>
    <s v="Denise Carver"/>
    <s v="Regular Air"/>
    <s v="Corporate"/>
    <x v="1"/>
    <x v="11"/>
    <s v="Large Box"/>
    <s v="Laminate Occasional Tables"/>
    <n v="0.68"/>
    <s v="United States"/>
    <s v="East"/>
    <s v="Ohio"/>
    <s v="Cuyahoga Falls"/>
    <n v="44221"/>
    <d v="2015-02-02T00:00:00"/>
    <d v="2015-02-03T00:00:00"/>
    <n v="-372.48597100000001"/>
    <n v="8"/>
    <x v="218"/>
    <n v="89319"/>
    <n v="9730.56"/>
  </r>
  <r>
    <n v="63.94"/>
    <n v="14.48"/>
    <n v="398"/>
    <s v="Bruce Stark"/>
    <s v="Regular Air"/>
    <s v="Corporate"/>
    <x v="1"/>
    <x v="2"/>
    <s v="Small Box"/>
    <s v="Howard Miller 16&quot; Diameter Gallery Wall Clock"/>
    <n v="0.46"/>
    <s v="United States"/>
    <s v="East"/>
    <s v="Ohio"/>
    <s v="Dayton"/>
    <n v="45406"/>
    <d v="2015-05-23T00:00:00"/>
    <d v="2015-05-25T00:00:00"/>
    <n v="1372.6307999999999"/>
    <n v="31"/>
    <x v="219"/>
    <n v="89320"/>
    <n v="61668.92"/>
  </r>
  <r>
    <n v="4.9800000000000004"/>
    <n v="0.8"/>
    <n v="406"/>
    <s v="June Frank Hammond"/>
    <s v="Regular Air"/>
    <s v="Small Business"/>
    <x v="0"/>
    <x v="7"/>
    <s v="Wrap Bag"/>
    <s v="Rediform S.O.S. Phone Message Books"/>
    <n v="0.36"/>
    <s v="United States"/>
    <s v="East"/>
    <s v="New Jersey"/>
    <s v="South Vineland"/>
    <n v="8360"/>
    <d v="2015-05-21T00:00:00"/>
    <d v="2015-05-22T00:00:00"/>
    <n v="50.2044"/>
    <n v="15"/>
    <x v="220"/>
    <n v="87804"/>
    <n v="1091.4000000000001"/>
  </r>
  <r>
    <n v="29.17"/>
    <n v="6.27"/>
    <n v="408"/>
    <s v="Calvin Parsons Walter"/>
    <s v="Regular Air"/>
    <s v="Corporate"/>
    <x v="0"/>
    <x v="8"/>
    <s v="Small Box"/>
    <s v="Binding Machine Supplies"/>
    <n v="0.37"/>
    <s v="United States"/>
    <s v="Central"/>
    <s v="Texas"/>
    <s v="San Juan"/>
    <n v="78589"/>
    <d v="2015-05-02T00:00:00"/>
    <d v="2015-05-06T00:00:00"/>
    <n v="236.2371"/>
    <n v="14"/>
    <x v="221"/>
    <n v="89639"/>
    <n v="5606.58"/>
  </r>
  <r>
    <n v="178.47"/>
    <n v="19.989999999999998"/>
    <n v="411"/>
    <s v="Carolyn Proctor"/>
    <s v="Express Air"/>
    <s v="Consumer"/>
    <x v="0"/>
    <x v="10"/>
    <s v="Small Box"/>
    <s v="Hot File® 7-Pocket, Floor Stand"/>
    <n v="0.55000000000000004"/>
    <s v="United States"/>
    <s v="West"/>
    <s v="California"/>
    <s v="Oakland"/>
    <n v="94601"/>
    <d v="2015-05-04T00:00:00"/>
    <d v="2015-05-07T00:00:00"/>
    <n v="943"/>
    <n v="9"/>
    <x v="222"/>
    <n v="87905"/>
    <n v="13781.789999999999"/>
  </r>
  <r>
    <n v="999.99"/>
    <n v="13.99"/>
    <n v="421"/>
    <s v="Scott Feldman"/>
    <s v="Regular Air"/>
    <s v="Small Business"/>
    <x v="2"/>
    <x v="6"/>
    <s v="Medium Box"/>
    <s v="Polycom Soundstation EX Audio-Conferencing Telephone, Black"/>
    <n v="0.36"/>
    <s v="United States"/>
    <s v="East"/>
    <s v="New Jersey"/>
    <s v="Elizabeth"/>
    <n v="7201"/>
    <d v="2015-02-06T00:00:00"/>
    <d v="2015-02-08T00:00:00"/>
    <n v="-2531.4825000000001"/>
    <n v="1"/>
    <x v="223"/>
    <n v="87700"/>
    <n v="919.09"/>
  </r>
  <r>
    <n v="15.28"/>
    <n v="1.99"/>
    <n v="428"/>
    <s v="Ernest Barber"/>
    <s v="Regular Air"/>
    <s v="Corporate"/>
    <x v="2"/>
    <x v="13"/>
    <s v="Small Pack"/>
    <s v="Memorex 4.7GB DVD+R, 3/Pack"/>
    <n v="0.42"/>
    <s v="United States"/>
    <s v="West"/>
    <s v="Nevada"/>
    <s v="Carson City"/>
    <n v="89701"/>
    <d v="2015-01-15T00:00:00"/>
    <d v="2015-01-16T00:00:00"/>
    <n v="163.1574"/>
    <n v="15"/>
    <x v="224"/>
    <n v="88479"/>
    <n v="3546.9"/>
  </r>
  <r>
    <n v="85.99"/>
    <n v="3.3"/>
    <n v="428"/>
    <s v="Ernest Barber"/>
    <s v="Regular Air"/>
    <s v="Corporate"/>
    <x v="2"/>
    <x v="5"/>
    <s v="Small Pack"/>
    <s v="Accessory20"/>
    <n v="0.37"/>
    <s v="United States"/>
    <s v="West"/>
    <s v="Nevada"/>
    <s v="Carson City"/>
    <n v="89701"/>
    <d v="2015-01-15T00:00:00"/>
    <d v="2015-01-16T00:00:00"/>
    <n v="-302.22500000000002"/>
    <n v="1"/>
    <x v="225"/>
    <n v="88479"/>
    <n v="73.819999999999993"/>
  </r>
  <r>
    <n v="10.98"/>
    <n v="4.8"/>
    <n v="428"/>
    <s v="Ernest Barber"/>
    <s v="Regular Air"/>
    <s v="Corporate"/>
    <x v="0"/>
    <x v="4"/>
    <s v="Small Box"/>
    <s v="Manila Recycled Extra-Heavyweight Clasp Envelopes, 6&quot; x 9&quot;"/>
    <n v="0.36"/>
    <s v="United States"/>
    <s v="West"/>
    <s v="Nevada"/>
    <s v="Carson City"/>
    <n v="89701"/>
    <d v="2015-03-03T00:00:00"/>
    <d v="2015-03-05T00:00:00"/>
    <n v="90.62"/>
    <n v="22"/>
    <x v="226"/>
    <n v="88480"/>
    <n v="5348.42"/>
  </r>
  <r>
    <n v="125.99"/>
    <n v="8.08"/>
    <n v="437"/>
    <s v="Alice Berger McIntyre"/>
    <s v="Regular Air"/>
    <s v="Small Business"/>
    <x v="2"/>
    <x v="5"/>
    <s v="Small Box"/>
    <s v="StarTAC ST7762"/>
    <n v="0.56999999999999995"/>
    <s v="United States"/>
    <s v="East"/>
    <s v="Massachusetts"/>
    <s v="Lunenburg"/>
    <n v="1462"/>
    <d v="2015-06-22T00:00:00"/>
    <d v="2015-06-27T00:00:00"/>
    <n v="427.11840000000001"/>
    <n v="9"/>
    <x v="227"/>
    <n v="90695"/>
    <n v="8570.34"/>
  </r>
  <r>
    <n v="7.59"/>
    <n v="4"/>
    <n v="444"/>
    <s v="Thelma Abrams"/>
    <s v="Regular Air"/>
    <s v="Small Business"/>
    <x v="1"/>
    <x v="2"/>
    <s v="Wrap Bag"/>
    <s v="Master Giant Foot® Doorstop, Safety Yellow"/>
    <n v="0.42"/>
    <s v="United States"/>
    <s v="Central"/>
    <s v="Illinois"/>
    <s v="Urbana"/>
    <n v="61801"/>
    <d v="2015-05-25T00:00:00"/>
    <d v="2015-05-28T00:00:00"/>
    <n v="86.438000000000002"/>
    <n v="43"/>
    <x v="228"/>
    <n v="88085"/>
    <n v="15304.560000000001"/>
  </r>
  <r>
    <n v="48.04"/>
    <n v="19.989999999999998"/>
    <n v="445"/>
    <s v="Judy Barrett"/>
    <s v="Regular Air"/>
    <s v="Small Business"/>
    <x v="0"/>
    <x v="7"/>
    <s v="Small Box"/>
    <s v="14-7/8 x 11 Blue Bar Computer Printout Paper"/>
    <n v="0.37"/>
    <s v="United States"/>
    <s v="Central"/>
    <s v="Nebraska"/>
    <s v="Norfolk"/>
    <n v="68701"/>
    <d v="2015-04-11T00:00:00"/>
    <d v="2015-04-13T00:00:00"/>
    <n v="-4.46"/>
    <n v="2"/>
    <x v="229"/>
    <n v="88083"/>
    <n v="203.42"/>
  </r>
  <r>
    <n v="200.98"/>
    <n v="55.96"/>
    <n v="445"/>
    <s v="Judy Barrett"/>
    <s v="Delivery Truck"/>
    <s v="Small Business"/>
    <x v="1"/>
    <x v="14"/>
    <s v="Jumbo Box"/>
    <s v="O'Sullivan Living Dimensions 3-Shelf Bookcases"/>
    <n v="0.75"/>
    <s v="United States"/>
    <s v="Central"/>
    <s v="Nebraska"/>
    <s v="Norfolk"/>
    <n v="68701"/>
    <d v="2015-06-23T00:00:00"/>
    <d v="2015-06-24T00:00:00"/>
    <n v="-512.87199999999996"/>
    <n v="9"/>
    <x v="230"/>
    <n v="88084"/>
    <n v="15900.12"/>
  </r>
  <r>
    <n v="2.78"/>
    <n v="0.97"/>
    <n v="445"/>
    <s v="Judy Barrett"/>
    <s v="Regular Air"/>
    <s v="Small Business"/>
    <x v="0"/>
    <x v="0"/>
    <s v="Wrap Bag"/>
    <s v="Newell 333"/>
    <n v="0.59"/>
    <s v="United States"/>
    <s v="Central"/>
    <s v="Nebraska"/>
    <s v="Norfolk"/>
    <n v="68701"/>
    <d v="2015-06-23T00:00:00"/>
    <d v="2015-06-24T00:00:00"/>
    <n v="-3.7839999999999998"/>
    <n v="11"/>
    <x v="231"/>
    <n v="88084"/>
    <n v="319.21999999999997"/>
  </r>
  <r>
    <n v="130.97999999999999"/>
    <n v="30"/>
    <n v="447"/>
    <s v="Valerie Moon"/>
    <s v="Delivery Truck"/>
    <s v="Corporate"/>
    <x v="1"/>
    <x v="1"/>
    <s v="Jumbo Drum"/>
    <s v="Office Star - Contemporary Task Swivel chair with 2-way adjustable arms, Plum"/>
    <n v="0.78"/>
    <s v="United States"/>
    <s v="Central"/>
    <s v="Minnesota"/>
    <s v="Roseville"/>
    <n v="55113"/>
    <d v="2015-06-25T00:00:00"/>
    <d v="2015-06-28T00:00:00"/>
    <n v="-82.903999999999996"/>
    <n v="1"/>
    <x v="232"/>
    <n v="90449"/>
    <n v="159.51"/>
  </r>
  <r>
    <n v="200.99"/>
    <n v="4.2"/>
    <n v="447"/>
    <s v="Valerie Moon"/>
    <s v="Regular Air"/>
    <s v="Corporate"/>
    <x v="2"/>
    <x v="5"/>
    <s v="Small Box"/>
    <s v="2160i"/>
    <n v="0.59"/>
    <s v="United States"/>
    <s v="Central"/>
    <s v="Minnesota"/>
    <s v="Roseville"/>
    <n v="55113"/>
    <d v="2015-06-25T00:00:00"/>
    <d v="2015-06-25T00:00:00"/>
    <n v="1268.8064999999999"/>
    <n v="11"/>
    <x v="233"/>
    <n v="90449"/>
    <n v="20227.349999999999"/>
  </r>
  <r>
    <n v="15.99"/>
    <n v="11.28"/>
    <n v="451"/>
    <s v="Joyce Murray"/>
    <s v="Regular Air"/>
    <s v="Home Office"/>
    <x v="2"/>
    <x v="6"/>
    <s v="Medium Box"/>
    <s v="210 Trimline Phone, White"/>
    <n v="0.38"/>
    <s v="United States"/>
    <s v="West"/>
    <s v="California"/>
    <s v="Los Altos"/>
    <n v="94024"/>
    <d v="2015-04-10T00:00:00"/>
    <d v="2015-04-11T00:00:00"/>
    <n v="-53.296199999999999"/>
    <n v="2"/>
    <x v="234"/>
    <n v="86010"/>
    <n v="70.959999999999994"/>
  </r>
  <r>
    <n v="37.700000000000003"/>
    <n v="2.99"/>
    <n v="451"/>
    <s v="Joyce Murray"/>
    <s v="Regular Air"/>
    <s v="Home Office"/>
    <x v="0"/>
    <x v="8"/>
    <s v="Small Box"/>
    <s v="Vinyl Sectional Post Binders"/>
    <n v="0.35"/>
    <s v="United States"/>
    <s v="West"/>
    <s v="California"/>
    <s v="Los Altos"/>
    <n v="94024"/>
    <d v="2015-05-27T00:00:00"/>
    <d v="2015-05-28T00:00:00"/>
    <n v="299.6739"/>
    <n v="12"/>
    <x v="235"/>
    <n v="86012"/>
    <n v="5211.72"/>
  </r>
  <r>
    <n v="8.8800000000000008"/>
    <n v="6.28"/>
    <n v="451"/>
    <s v="Joyce Murray"/>
    <s v="Regular Air"/>
    <s v="Home Office"/>
    <x v="0"/>
    <x v="8"/>
    <s v="Small Box"/>
    <s v="GBC Instant Index™ System for Binding Systems"/>
    <n v="0.35"/>
    <s v="United States"/>
    <s v="West"/>
    <s v="California"/>
    <s v="Los Altos"/>
    <n v="94024"/>
    <d v="2015-01-05T00:00:00"/>
    <d v="2015-01-10T00:00:00"/>
    <n v="-15.456"/>
    <n v="2"/>
    <x v="236"/>
    <n v="86013"/>
    <n v="39.72"/>
  </r>
  <r>
    <n v="2.88"/>
    <n v="0.99"/>
    <n v="451"/>
    <s v="Joyce Murray"/>
    <s v="Regular Air"/>
    <s v="Home Office"/>
    <x v="0"/>
    <x v="9"/>
    <s v="Small Box"/>
    <s v="Avery 514"/>
    <n v="0.36"/>
    <s v="United States"/>
    <s v="West"/>
    <s v="California"/>
    <s v="Los Altos"/>
    <n v="94024"/>
    <d v="2015-01-05T00:00:00"/>
    <d v="2015-01-14T00:00:00"/>
    <n v="16.049399999999999"/>
    <n v="8"/>
    <x v="237"/>
    <n v="86013"/>
    <n v="186.08"/>
  </r>
  <r>
    <n v="55.99"/>
    <n v="5"/>
    <n v="452"/>
    <s v="Leslie Rowland"/>
    <s v="Regular Air"/>
    <s v="Home Office"/>
    <x v="2"/>
    <x v="5"/>
    <s v="Small Pack"/>
    <s v="Accessory36"/>
    <n v="0.83"/>
    <s v="United States"/>
    <s v="West"/>
    <s v="California"/>
    <s v="Los Banos"/>
    <n v="93635"/>
    <d v="2015-05-27T00:00:00"/>
    <d v="2015-05-28T00:00:00"/>
    <n v="-235.89500000000001"/>
    <n v="1"/>
    <x v="238"/>
    <n v="86012"/>
    <n v="51.83"/>
  </r>
  <r>
    <n v="29.34"/>
    <n v="7.87"/>
    <n v="453"/>
    <s v="George Terry"/>
    <s v="Regular Air"/>
    <s v="Corporate"/>
    <x v="1"/>
    <x v="2"/>
    <s v="Small Box"/>
    <s v="Seth Thomas 14&quot; Putty-Colored Wall Clock"/>
    <n v="0.54"/>
    <s v="United States"/>
    <s v="West"/>
    <s v="California"/>
    <s v="Los Gatos"/>
    <n v="95032"/>
    <d v="2015-05-08T00:00:00"/>
    <d v="2015-05-10T00:00:00"/>
    <n v="-41.32"/>
    <n v="1"/>
    <x v="239"/>
    <n v="86011"/>
    <n v="32.4"/>
  </r>
  <r>
    <n v="16.91"/>
    <n v="6.25"/>
    <n v="460"/>
    <s v="Anne Armstrong"/>
    <s v="Regular Air"/>
    <s v="Home Office"/>
    <x v="0"/>
    <x v="10"/>
    <s v="Small Box"/>
    <s v="Tenex Personal Self-Stacking Standard File Box, Black/Gray"/>
    <n v="0.57999999999999996"/>
    <s v="United States"/>
    <s v="East"/>
    <s v="New Jersey"/>
    <s v="Millville"/>
    <n v="8332"/>
    <d v="2015-05-23T00:00:00"/>
    <d v="2015-05-30T00:00:00"/>
    <n v="7.9"/>
    <n v="31"/>
    <x v="240"/>
    <n v="86014"/>
    <n v="15279.9"/>
  </r>
  <r>
    <n v="165.2"/>
    <n v="19.989999999999998"/>
    <n v="463"/>
    <s v="Debbie Stevenson"/>
    <s v="Regular Air"/>
    <s v="Small Business"/>
    <x v="0"/>
    <x v="10"/>
    <s v="Small Box"/>
    <s v="Economy Rollaway Files"/>
    <n v="0.59"/>
    <s v="United States"/>
    <s v="West"/>
    <s v="California"/>
    <s v="West Hollywood"/>
    <n v="90069"/>
    <d v="2015-01-14T00:00:00"/>
    <d v="2015-01-16T00:00:00"/>
    <n v="521.69000000000005"/>
    <n v="7"/>
    <x v="241"/>
    <n v="88061"/>
    <n v="7570.78"/>
  </r>
  <r>
    <n v="297.64"/>
    <n v="14.7"/>
    <n v="466"/>
    <s v="Marc Nash"/>
    <s v="Delivery Truck"/>
    <s v="Small Business"/>
    <x v="2"/>
    <x v="6"/>
    <s v="Jumbo Drum"/>
    <s v="Panasonic KX-P3200 Dot Matrix Printer"/>
    <n v="0.56999999999999995"/>
    <s v="United States"/>
    <s v="East"/>
    <s v="Massachusetts"/>
    <s v="Bellingham"/>
    <n v="2019"/>
    <d v="2015-01-11T00:00:00"/>
    <d v="2015-01-11T00:00:00"/>
    <n v="496.79680000000002"/>
    <n v="5"/>
    <x v="242"/>
    <n v="88060"/>
    <n v="5664.2"/>
  </r>
  <r>
    <n v="12.99"/>
    <n v="14.37"/>
    <n v="467"/>
    <s v="Maria Thomas"/>
    <s v="Regular Air"/>
    <s v="Small Business"/>
    <x v="1"/>
    <x v="2"/>
    <s v="Large Box"/>
    <s v="Tensor &quot;Hersey Kiss&quot; Styled Floor Lamp"/>
    <n v="0.73"/>
    <s v="United States"/>
    <s v="East"/>
    <s v="Massachusetts"/>
    <s v="Beverly"/>
    <n v="1915"/>
    <d v="2015-01-11T00:00:00"/>
    <d v="2015-01-12T00:00:00"/>
    <n v="-556.80960000000005"/>
    <n v="11"/>
    <x v="243"/>
    <n v="88060"/>
    <n v="1579.9299999999998"/>
  </r>
  <r>
    <n v="14.42"/>
    <n v="6.75"/>
    <n v="468"/>
    <s v="Craig Bennett"/>
    <s v="Regular Air"/>
    <s v="Small Business"/>
    <x v="0"/>
    <x v="15"/>
    <s v="Medium Box"/>
    <s v="Holmes Odor Grabber"/>
    <n v="0.52"/>
    <s v="United States"/>
    <s v="East"/>
    <s v="Massachusetts"/>
    <s v="Hanson"/>
    <n v="2341"/>
    <d v="2015-01-11T00:00:00"/>
    <d v="2015-01-12T00:00:00"/>
    <n v="-27.738800000000001"/>
    <n v="5"/>
    <x v="244"/>
    <n v="88060"/>
    <n v="365.20000000000005"/>
  </r>
  <r>
    <n v="4.1399999999999997"/>
    <n v="6.6"/>
    <n v="469"/>
    <s v="Marion Bowling"/>
    <s v="Express Air"/>
    <s v="Small Business"/>
    <x v="1"/>
    <x v="2"/>
    <s v="Small Box"/>
    <s v="Eldon Image Series Black Desk Accessories"/>
    <n v="0.49"/>
    <s v="United States"/>
    <s v="East"/>
    <s v="New Jersey"/>
    <s v="Hawthorne"/>
    <n v="7506"/>
    <d v="2015-01-11T00:00:00"/>
    <d v="2015-01-13T00:00:00"/>
    <n v="-128.68719999999999"/>
    <n v="7"/>
    <x v="245"/>
    <n v="88060"/>
    <n v="233.45000000000002"/>
  </r>
  <r>
    <n v="11.34"/>
    <n v="5.01"/>
    <n v="470"/>
    <s v="Tony Doyle"/>
    <s v="Regular Air"/>
    <s v="Small Business"/>
    <x v="0"/>
    <x v="7"/>
    <s v="Small Box"/>
    <s v="Xerox 188"/>
    <n v="0.36"/>
    <s v="United States"/>
    <s v="East"/>
    <s v="New Jersey"/>
    <s v="Trenton"/>
    <n v="8601"/>
    <d v="2015-01-11T00:00:00"/>
    <d v="2015-01-11T00:00:00"/>
    <n v="23.2028"/>
    <n v="5"/>
    <x v="246"/>
    <n v="88060"/>
    <n v="301.2"/>
  </r>
  <r>
    <n v="179.99"/>
    <n v="19.989999999999998"/>
    <n v="471"/>
    <s v="Ross Simpson"/>
    <s v="Express Air"/>
    <s v="Consumer"/>
    <x v="2"/>
    <x v="13"/>
    <s v="Small Box"/>
    <s v="Motorola SB4200 Cable Modem"/>
    <n v="0.48"/>
    <s v="United States"/>
    <s v="South"/>
    <s v="Georgia"/>
    <s v="Atlanta"/>
    <n v="30318"/>
    <d v="2015-02-08T00:00:00"/>
    <d v="2015-02-08T00:00:00"/>
    <n v="-568.53510000000006"/>
    <n v="4"/>
    <x v="247"/>
    <n v="3138"/>
    <n v="2872.12"/>
  </r>
  <r>
    <n v="179.99"/>
    <n v="19.989999999999998"/>
    <n v="472"/>
    <s v="Donna Craven"/>
    <s v="Express Air"/>
    <s v="Consumer"/>
    <x v="2"/>
    <x v="13"/>
    <s v="Small Box"/>
    <s v="Motorola SB4200 Cable Modem"/>
    <n v="0.48"/>
    <s v="United States"/>
    <s v="East"/>
    <s v="Maryland"/>
    <s v="Randallstown"/>
    <n v="21133"/>
    <d v="2015-02-08T00:00:00"/>
    <d v="2015-02-08T00:00:00"/>
    <n v="-427.47"/>
    <n v="1"/>
    <x v="248"/>
    <n v="88023"/>
    <n v="179.51"/>
  </r>
  <r>
    <n v="11.97"/>
    <n v="4.9800000000000004"/>
    <n v="483"/>
    <s v="Edgar McKenzie"/>
    <s v="Regular Air"/>
    <s v="Corporate"/>
    <x v="0"/>
    <x v="15"/>
    <s v="Small Box"/>
    <s v="Staples 6 Outlet Surge"/>
    <n v="0.57999999999999996"/>
    <s v="United States"/>
    <s v="Central"/>
    <s v="Illinois"/>
    <s v="Oswego"/>
    <n v="60543"/>
    <d v="2015-01-27T00:00:00"/>
    <d v="2015-01-28T00:00:00"/>
    <n v="-18.190000000000001"/>
    <n v="6"/>
    <x v="249"/>
    <n v="90353"/>
    <n v="439.08000000000004"/>
  </r>
  <r>
    <n v="3.36"/>
    <n v="6.27"/>
    <n v="483"/>
    <s v="Edgar McKenzie"/>
    <s v="Regular Air"/>
    <s v="Corporate"/>
    <x v="0"/>
    <x v="8"/>
    <s v="Small Box"/>
    <s v="Cardinal Poly Pocket Divider Pockets for Ring Binders"/>
    <n v="0.4"/>
    <s v="United States"/>
    <s v="Central"/>
    <s v="Illinois"/>
    <s v="Oswego"/>
    <n v="60543"/>
    <d v="2015-04-23T00:00:00"/>
    <d v="2015-04-24T00:00:00"/>
    <n v="-24.057539999999999"/>
    <n v="2"/>
    <x v="250"/>
    <n v="90354"/>
    <n v="17.64"/>
  </r>
  <r>
    <n v="699.99"/>
    <n v="24.49"/>
    <n v="483"/>
    <s v="Edgar McKenzie"/>
    <s v="Regular Air"/>
    <s v="Corporate"/>
    <x v="2"/>
    <x v="16"/>
    <s v="Large Box"/>
    <s v="Canon PC1060 Personal Laser Copier"/>
    <n v="0.41"/>
    <s v="United States"/>
    <s v="Central"/>
    <s v="Illinois"/>
    <s v="Oswego"/>
    <n v="60543"/>
    <d v="2015-04-23T00:00:00"/>
    <d v="2015-04-25T00:00:00"/>
    <n v="2583.5614799999998"/>
    <n v="9"/>
    <x v="251"/>
    <n v="90354"/>
    <n v="53784.81"/>
  </r>
  <r>
    <n v="2.88"/>
    <n v="0.5"/>
    <n v="485"/>
    <s v="Edward Leonard"/>
    <s v="Regular Air"/>
    <s v="Corporate"/>
    <x v="0"/>
    <x v="9"/>
    <s v="Small Box"/>
    <s v="Avery 49"/>
    <n v="0.36"/>
    <s v="United States"/>
    <s v="West"/>
    <s v="California"/>
    <s v="Fresno"/>
    <n v="93727"/>
    <d v="2015-03-18T00:00:00"/>
    <d v="2015-03-20T00:00:00"/>
    <n v="6.0513000000000003"/>
    <n v="3"/>
    <x v="252"/>
    <n v="91062"/>
    <n v="26.31"/>
  </r>
  <r>
    <n v="3.36"/>
    <n v="6.27"/>
    <n v="487"/>
    <s v="Molly Vincent"/>
    <s v="Express Air"/>
    <s v="Corporate"/>
    <x v="0"/>
    <x v="8"/>
    <s v="Small Box"/>
    <s v="Cardinal Poly Pocket Divider Pockets for Ring Binders"/>
    <n v="0.4"/>
    <s v="United States"/>
    <s v="East"/>
    <s v="Maine"/>
    <s v="Sanford"/>
    <n v="4073"/>
    <d v="2015-05-18T00:00:00"/>
    <d v="2015-05-19T00:00:00"/>
    <n v="-67.0565"/>
    <n v="5"/>
    <x v="253"/>
    <n v="91063"/>
    <n v="104.35000000000001"/>
  </r>
  <r>
    <n v="12.28"/>
    <n v="4.8600000000000003"/>
    <n v="488"/>
    <s v="Ronnie Creech"/>
    <s v="Regular Air"/>
    <s v="Corporate"/>
    <x v="0"/>
    <x v="7"/>
    <s v="Small Box"/>
    <s v="Xerox 1933"/>
    <n v="0.38"/>
    <s v="United States"/>
    <s v="East"/>
    <s v="Maine"/>
    <s v="South Portland"/>
    <n v="4106"/>
    <d v="2015-05-18T00:00:00"/>
    <d v="2015-05-20T00:00:00"/>
    <n v="-7.94"/>
    <n v="2"/>
    <x v="254"/>
    <n v="91063"/>
    <n v="51.4"/>
  </r>
  <r>
    <n v="20.99"/>
    <n v="0.99"/>
    <n v="489"/>
    <s v="Eileen Cheek"/>
    <s v="Regular Air"/>
    <s v="Corporate"/>
    <x v="2"/>
    <x v="5"/>
    <s v="Wrap Bag"/>
    <s v="Accessory25"/>
    <n v="0.56999999999999995"/>
    <s v="United States"/>
    <s v="East"/>
    <s v="Massachusetts"/>
    <s v="Norwood"/>
    <n v="2062"/>
    <d v="2015-05-18T00:00:00"/>
    <d v="2015-05-18T00:00:00"/>
    <n v="122.292"/>
    <n v="14"/>
    <x v="255"/>
    <n v="91063"/>
    <n v="3213.98"/>
  </r>
  <r>
    <n v="2.94"/>
    <n v="0.96"/>
    <n v="491"/>
    <s v="Toni Swanson"/>
    <s v="Regular Air"/>
    <s v="Consumer"/>
    <x v="0"/>
    <x v="0"/>
    <s v="Wrap Bag"/>
    <s v="Newell 343"/>
    <n v="0.57999999999999996"/>
    <s v="United States"/>
    <s v="East"/>
    <s v="New York"/>
    <s v="New York City"/>
    <n v="10154"/>
    <d v="2015-05-15T00:00:00"/>
    <d v="2015-05-17T00:00:00"/>
    <n v="-2.12"/>
    <n v="23"/>
    <x v="256"/>
    <n v="8353"/>
    <n v="1534.1000000000001"/>
  </r>
  <r>
    <n v="4.9800000000000004"/>
    <n v="6.07"/>
    <n v="491"/>
    <s v="Toni Swanson"/>
    <s v="Regular Air"/>
    <s v="Consumer"/>
    <x v="0"/>
    <x v="7"/>
    <s v="Small Box"/>
    <s v="Xerox 1897"/>
    <n v="0.36"/>
    <s v="United States"/>
    <s v="East"/>
    <s v="New York"/>
    <s v="New York City"/>
    <n v="10154"/>
    <d v="2015-02-10T00:00:00"/>
    <d v="2015-02-11T00:00:00"/>
    <n v="-69.069999999999993"/>
    <n v="41"/>
    <x v="257"/>
    <n v="10464"/>
    <n v="8897"/>
  </r>
  <r>
    <n v="1360.14"/>
    <n v="14.7"/>
    <n v="491"/>
    <s v="Toni Swanson"/>
    <s v="Delivery Truck"/>
    <s v="Consumer"/>
    <x v="2"/>
    <x v="6"/>
    <s v="Jumbo Drum"/>
    <s v="Okidata ML395C Color Dot Matrix Printer"/>
    <n v="0.59"/>
    <s v="United States"/>
    <s v="East"/>
    <s v="New York"/>
    <s v="New York City"/>
    <n v="10154"/>
    <d v="2015-06-20T00:00:00"/>
    <d v="2015-06-22T00:00:00"/>
    <n v="2028.12"/>
    <n v="22"/>
    <x v="258"/>
    <n v="6562"/>
    <n v="696753.2"/>
  </r>
  <r>
    <n v="9.06"/>
    <n v="9.86"/>
    <n v="491"/>
    <s v="Toni Swanson"/>
    <s v="Regular Air"/>
    <s v="Consumer"/>
    <x v="0"/>
    <x v="7"/>
    <s v="Small Box"/>
    <s v="Southworth 25% Cotton Linen-Finish Paper &amp; Envelopes"/>
    <n v="0.4"/>
    <s v="United States"/>
    <s v="East"/>
    <s v="New York"/>
    <s v="New York City"/>
    <n v="10154"/>
    <d v="2015-06-20T00:00:00"/>
    <d v="2015-06-22T00:00:00"/>
    <n v="-63.51"/>
    <n v="24"/>
    <x v="259"/>
    <n v="42852"/>
    <n v="5755.68"/>
  </r>
  <r>
    <n v="6.48"/>
    <n v="6.6"/>
    <n v="493"/>
    <s v="Douglas Buck"/>
    <s v="Regular Air"/>
    <s v="Consumer"/>
    <x v="0"/>
    <x v="7"/>
    <s v="Small Box"/>
    <s v="Xerox 21"/>
    <n v="0.37"/>
    <s v="United States"/>
    <s v="West"/>
    <s v="Washington"/>
    <s v="Seatac"/>
    <n v="98158"/>
    <d v="2015-01-20T00:00:00"/>
    <d v="2015-01-22T00:00:00"/>
    <n v="-92.05"/>
    <n v="10"/>
    <x v="260"/>
    <n v="88906"/>
    <n v="667.09999999999991"/>
  </r>
  <r>
    <n v="17.149999999999999"/>
    <n v="4.96"/>
    <n v="493"/>
    <s v="Douglas Buck"/>
    <s v="Regular Air"/>
    <s v="Consumer"/>
    <x v="0"/>
    <x v="10"/>
    <s v="Small Box"/>
    <s v="Advantus Rolling Storage Box"/>
    <n v="0.57999999999999996"/>
    <s v="United States"/>
    <s v="West"/>
    <s v="Washington"/>
    <s v="Seatac"/>
    <n v="98158"/>
    <d v="2015-01-20T00:00:00"/>
    <d v="2015-01-21T00:00:00"/>
    <n v="6.11"/>
    <n v="5"/>
    <x v="261"/>
    <n v="88906"/>
    <n v="435.79999999999995"/>
  </r>
  <r>
    <n v="8.32"/>
    <n v="2.38"/>
    <n v="494"/>
    <s v="Jimmy Alston Holder"/>
    <s v="Regular Air"/>
    <s v="Consumer"/>
    <x v="2"/>
    <x v="13"/>
    <s v="Small Pack"/>
    <s v="Imation 3.5 IBM Formatted Diskettes, 10/Box"/>
    <n v="0.74"/>
    <s v="United States"/>
    <s v="West"/>
    <s v="Washington"/>
    <s v="Seattle"/>
    <n v="98115"/>
    <d v="2015-05-15T00:00:00"/>
    <d v="2015-05-17T00:00:00"/>
    <n v="-36.630000000000003"/>
    <n v="12"/>
    <x v="262"/>
    <n v="88905"/>
    <n v="1215.1200000000001"/>
  </r>
  <r>
    <n v="2.94"/>
    <n v="0.96"/>
    <n v="494"/>
    <s v="Jimmy Alston Holder"/>
    <s v="Regular Air"/>
    <s v="Consumer"/>
    <x v="0"/>
    <x v="0"/>
    <s v="Wrap Bag"/>
    <s v="Newell 343"/>
    <n v="0.57999999999999996"/>
    <s v="United States"/>
    <s v="West"/>
    <s v="Washington"/>
    <s v="Seattle"/>
    <n v="98115"/>
    <d v="2015-05-15T00:00:00"/>
    <d v="2015-05-17T00:00:00"/>
    <n v="-2.12"/>
    <n v="6"/>
    <x v="263"/>
    <n v="88905"/>
    <n v="104.39999999999999"/>
  </r>
  <r>
    <n v="4.9800000000000004"/>
    <n v="6.07"/>
    <n v="494"/>
    <s v="Jimmy Alston Holder"/>
    <s v="Regular Air"/>
    <s v="Consumer"/>
    <x v="0"/>
    <x v="7"/>
    <s v="Small Box"/>
    <s v="Xerox 1897"/>
    <n v="0.36"/>
    <s v="United States"/>
    <s v="West"/>
    <s v="Washington"/>
    <s v="Seattle"/>
    <n v="98115"/>
    <d v="2015-02-10T00:00:00"/>
    <d v="2015-02-11T00:00:00"/>
    <n v="-35.916400000000003"/>
    <n v="10"/>
    <x v="264"/>
    <n v="88907"/>
    <n v="529.29999999999995"/>
  </r>
  <r>
    <n v="1360.14"/>
    <n v="14.7"/>
    <n v="494"/>
    <s v="Jimmy Alston Holder"/>
    <s v="Delivery Truck"/>
    <s v="Consumer"/>
    <x v="2"/>
    <x v="6"/>
    <s v="Jumbo Drum"/>
    <s v="Okidata ML395C Color Dot Matrix Printer"/>
    <n v="0.59"/>
    <s v="United States"/>
    <s v="West"/>
    <s v="Washington"/>
    <s v="Seattle"/>
    <n v="98115"/>
    <d v="2015-06-20T00:00:00"/>
    <d v="2015-06-22T00:00:00"/>
    <n v="3042.18"/>
    <n v="6"/>
    <x v="265"/>
    <n v="88908"/>
    <n v="51824.639999999999"/>
  </r>
  <r>
    <n v="9.06"/>
    <n v="9.86"/>
    <n v="494"/>
    <s v="Jimmy Alston Holder"/>
    <s v="Regular Air"/>
    <s v="Consumer"/>
    <x v="0"/>
    <x v="7"/>
    <s v="Small Box"/>
    <s v="Southworth 25% Cotton Linen-Finish Paper &amp; Envelopes"/>
    <n v="0.4"/>
    <s v="United States"/>
    <s v="West"/>
    <s v="Washington"/>
    <s v="Seattle"/>
    <n v="98115"/>
    <d v="2015-06-20T00:00:00"/>
    <d v="2015-06-22T00:00:00"/>
    <n v="-31.754999999999999"/>
    <n v="6"/>
    <x v="266"/>
    <n v="88908"/>
    <n v="359.70000000000005"/>
  </r>
  <r>
    <n v="152.47999999999999"/>
    <n v="6.5"/>
    <n v="497"/>
    <s v="Steve McKee"/>
    <s v="Regular Air"/>
    <s v="Small Business"/>
    <x v="2"/>
    <x v="13"/>
    <s v="Small Box"/>
    <s v="Adesso Programmable 142-Key Keyboard"/>
    <n v="0.74"/>
    <s v="United States"/>
    <s v="South"/>
    <s v="Tennessee"/>
    <s v="Murfreesboro"/>
    <n v="37130"/>
    <d v="2015-05-14T00:00:00"/>
    <d v="2015-05-16T00:00:00"/>
    <n v="171.83879999999999"/>
    <n v="35"/>
    <x v="267"/>
    <n v="90706"/>
    <n v="177187.15"/>
  </r>
  <r>
    <n v="55.98"/>
    <n v="4.8600000000000003"/>
    <n v="507"/>
    <s v="Carol Saunders"/>
    <s v="Express Air"/>
    <s v="Corporate"/>
    <x v="0"/>
    <x v="7"/>
    <s v="Small Box"/>
    <s v="Xerox 1908"/>
    <n v="0.36"/>
    <s v="United States"/>
    <s v="South"/>
    <s v="Kentucky"/>
    <s v="Bowling Green"/>
    <n v="42104"/>
    <d v="2015-04-18T00:00:00"/>
    <d v="2015-04-20T00:00:00"/>
    <n v="32.940899999999999"/>
    <n v="11"/>
    <x v="268"/>
    <n v="87357"/>
    <n v="7116.67"/>
  </r>
  <r>
    <n v="65.989999999999995"/>
    <n v="8.99"/>
    <n v="507"/>
    <s v="Carol Saunders"/>
    <s v="Regular Air"/>
    <s v="Corporate"/>
    <x v="2"/>
    <x v="5"/>
    <s v="Small Box"/>
    <s v="Talkabout T8367"/>
    <n v="0.56000000000000005"/>
    <s v="United States"/>
    <s v="South"/>
    <s v="Kentucky"/>
    <s v="Bowling Green"/>
    <n v="42104"/>
    <d v="2015-04-18T00:00:00"/>
    <d v="2015-04-19T00:00:00"/>
    <n v="131.334"/>
    <n v="17"/>
    <x v="269"/>
    <n v="87357"/>
    <n v="16086.93"/>
  </r>
  <r>
    <n v="20.98"/>
    <n v="53.03"/>
    <n v="508"/>
    <s v="Cameron Owens"/>
    <s v="Delivery Truck"/>
    <s v="Corporate"/>
    <x v="0"/>
    <x v="10"/>
    <s v="Jumbo Drum"/>
    <s v="Tennsco Lockers, Gray"/>
    <n v="0.78"/>
    <s v="United States"/>
    <s v="South"/>
    <s v="Kentucky"/>
    <s v="Covington"/>
    <n v="41011"/>
    <d v="2015-02-23T00:00:00"/>
    <d v="2015-02-23T00:00:00"/>
    <n v="-282.08179999999999"/>
    <n v="5"/>
    <x v="270"/>
    <n v="87356"/>
    <n v="615"/>
  </r>
  <r>
    <n v="128.24"/>
    <n v="12.65"/>
    <n v="508"/>
    <s v="Cameron Owens"/>
    <s v="Regular Air"/>
    <s v="Corporate"/>
    <x v="1"/>
    <x v="1"/>
    <s v="Medium Box"/>
    <s v="SAFCO Folding Chair Trolley"/>
    <m/>
    <s v="United States"/>
    <s v="South"/>
    <s v="Kentucky"/>
    <s v="Covington"/>
    <n v="41011"/>
    <d v="2015-04-18T00:00:00"/>
    <d v="2015-04-21T00:00:00"/>
    <n v="140.1354"/>
    <n v="4"/>
    <x v="271"/>
    <n v="87357"/>
    <n v="2216.3200000000002"/>
  </r>
  <r>
    <n v="48.04"/>
    <n v="5.09"/>
    <n v="510"/>
    <s v="Gregory Rao"/>
    <s v="Regular Air"/>
    <s v="Corporate"/>
    <x v="0"/>
    <x v="7"/>
    <s v="Small Box"/>
    <s v="Xerox 1910"/>
    <n v="0.37"/>
    <s v="United States"/>
    <s v="West"/>
    <s v="California"/>
    <s v="Manteca"/>
    <n v="95336"/>
    <d v="2015-01-13T00:00:00"/>
    <d v="2015-01-13T00:00:00"/>
    <n v="105.2526"/>
    <n v="3"/>
    <x v="272"/>
    <n v="90058"/>
    <n v="457.62"/>
  </r>
  <r>
    <n v="6.37"/>
    <n v="5.19"/>
    <n v="510"/>
    <s v="Gregory Rao"/>
    <s v="Regular Air"/>
    <s v="Corporate"/>
    <x v="0"/>
    <x v="8"/>
    <s v="Small Box"/>
    <s v="C-Line Peel &amp; Stick Add-On Filing Pockets, 8-3/4 x 5-1/8, 10/Pack"/>
    <n v="0.38"/>
    <s v="United States"/>
    <s v="West"/>
    <s v="California"/>
    <s v="Manteca"/>
    <n v="95336"/>
    <d v="2015-02-01T00:00:00"/>
    <d v="2015-02-02T00:00:00"/>
    <n v="-29.092700000000001"/>
    <n v="14"/>
    <x v="273"/>
    <n v="90059"/>
    <n v="1257.0600000000002"/>
  </r>
  <r>
    <n v="12.64"/>
    <n v="4.9800000000000004"/>
    <n v="518"/>
    <s v="Mark Ritchie"/>
    <s v="Regular Air"/>
    <s v="Home Office"/>
    <x v="1"/>
    <x v="2"/>
    <s v="Small Pack"/>
    <s v="Nu-Dell Executive Frame"/>
    <n v="0.48"/>
    <s v="United States"/>
    <s v="Central"/>
    <s v="Missouri"/>
    <s v="Clayton"/>
    <n v="63105"/>
    <d v="2015-06-05T00:00:00"/>
    <d v="2015-06-12T00:00:00"/>
    <n v="113.41500000000001"/>
    <n v="16"/>
    <x v="274"/>
    <n v="90867"/>
    <n v="3196.16"/>
  </r>
  <r>
    <n v="150.97999999999999"/>
    <n v="13.99"/>
    <n v="522"/>
    <s v="Aaron Riggs"/>
    <s v="Express Air"/>
    <s v="Small Business"/>
    <x v="2"/>
    <x v="6"/>
    <s v="Medium Box"/>
    <s v="Canon MP41DH Printing Calculator"/>
    <n v="0.38"/>
    <s v="United States"/>
    <s v="West"/>
    <s v="Oregon"/>
    <s v="Redmond"/>
    <n v="97756"/>
    <d v="2015-06-22T00:00:00"/>
    <d v="2015-06-24T00:00:00"/>
    <n v="26.1"/>
    <n v="3"/>
    <x v="275"/>
    <n v="89327"/>
    <n v="1441.1100000000001"/>
  </r>
  <r>
    <n v="5.43"/>
    <n v="0.95"/>
    <n v="522"/>
    <s v="Aaron Riggs"/>
    <s v="Regular Air"/>
    <s v="Small Business"/>
    <x v="0"/>
    <x v="7"/>
    <s v="Wrap Bag"/>
    <s v="Wirebound Message Book, 4 per Page"/>
    <n v="0.36"/>
    <s v="United States"/>
    <s v="West"/>
    <s v="Oregon"/>
    <s v="Redmond"/>
    <n v="97756"/>
    <d v="2015-06-22T00:00:00"/>
    <d v="2015-06-24T00:00:00"/>
    <n v="-2.58"/>
    <n v="1"/>
    <x v="276"/>
    <n v="89327"/>
    <n v="5.76"/>
  </r>
  <r>
    <n v="179.29"/>
    <n v="29.21"/>
    <n v="522"/>
    <s v="Aaron Riggs"/>
    <s v="Delivery Truck"/>
    <s v="Small Business"/>
    <x v="1"/>
    <x v="11"/>
    <s v="Jumbo Box"/>
    <s v="Bevis Round Conference Table Top, X-Base"/>
    <n v="0.74"/>
    <s v="United States"/>
    <s v="West"/>
    <s v="Oregon"/>
    <s v="Redmond"/>
    <n v="97756"/>
    <d v="2015-06-22T00:00:00"/>
    <d v="2015-06-23T00:00:00"/>
    <n v="2800.12"/>
    <n v="21"/>
    <x v="277"/>
    <n v="89327"/>
    <n v="65354.73"/>
  </r>
  <r>
    <n v="1270.99"/>
    <n v="19.989999999999998"/>
    <n v="524"/>
    <s v="Gina McKnight"/>
    <s v="Regular Air"/>
    <s v="Consumer"/>
    <x v="0"/>
    <x v="8"/>
    <s v="Small Box"/>
    <s v="Fellowes PB500 Electric Punch Plastic Comb Binding Machine with Manual Bind"/>
    <n v="0.35"/>
    <s v="United States"/>
    <s v="South"/>
    <s v="Tennessee"/>
    <s v="Farragut"/>
    <n v="37922"/>
    <d v="2015-01-20T00:00:00"/>
    <d v="2015-01-22T00:00:00"/>
    <n v="363.55200000000002"/>
    <n v="2"/>
    <x v="278"/>
    <n v="91127"/>
    <n v="5178.0200000000004"/>
  </r>
  <r>
    <n v="2036.48"/>
    <n v="14.7"/>
    <n v="524"/>
    <s v="Gina McKnight"/>
    <s v="Delivery Truck"/>
    <s v="Consumer"/>
    <x v="2"/>
    <x v="6"/>
    <s v="Jumbo Drum"/>
    <s v="Lexmark 4227 Plus Dot Matrix Printer"/>
    <n v="0.55000000000000004"/>
    <s v="United States"/>
    <s v="South"/>
    <s v="Tennessee"/>
    <s v="Farragut"/>
    <n v="37922"/>
    <d v="2015-01-20T00:00:00"/>
    <d v="2015-01-22T00:00:00"/>
    <n v="-11.536"/>
    <n v="1"/>
    <x v="279"/>
    <n v="91127"/>
    <n v="1893.93"/>
  </r>
  <r>
    <n v="17.98"/>
    <n v="8.51"/>
    <n v="526"/>
    <s v="April Hu"/>
    <s v="Regular Air"/>
    <s v="Home Office"/>
    <x v="2"/>
    <x v="6"/>
    <s v="Medium Box"/>
    <s v="Canon P1-DHIII Palm Printing Calculator"/>
    <n v="0.4"/>
    <s v="United States"/>
    <s v="West"/>
    <s v="Arizona"/>
    <s v="Mesa"/>
    <n v="85204"/>
    <d v="2015-05-25T00:00:00"/>
    <d v="2015-05-27T00:00:00"/>
    <n v="-6.6120000000000001"/>
    <n v="12"/>
    <x v="280"/>
    <n v="90026"/>
    <n v="2533.56"/>
  </r>
  <r>
    <n v="1.88"/>
    <n v="1.49"/>
    <n v="526"/>
    <s v="April Hu"/>
    <s v="Regular Air"/>
    <s v="Home Office"/>
    <x v="0"/>
    <x v="8"/>
    <s v="Small Box"/>
    <s v="Staples® General Use 3-Ring Binders"/>
    <n v="0.37"/>
    <s v="United States"/>
    <s v="West"/>
    <s v="Arizona"/>
    <s v="Mesa"/>
    <n v="85204"/>
    <d v="2015-01-17T00:00:00"/>
    <d v="2015-01-18T00:00:00"/>
    <n v="-15.5595"/>
    <n v="13"/>
    <x v="281"/>
    <n v="90027"/>
    <n v="330.07"/>
  </r>
  <r>
    <n v="5.78"/>
    <n v="5.67"/>
    <n v="526"/>
    <s v="April Hu"/>
    <s v="Regular Air"/>
    <s v="Home Office"/>
    <x v="0"/>
    <x v="7"/>
    <s v="Small Box"/>
    <s v="Xerox 1978"/>
    <n v="0.36"/>
    <s v="United States"/>
    <s v="West"/>
    <s v="Arizona"/>
    <s v="Mesa"/>
    <n v="85204"/>
    <d v="2015-01-17T00:00:00"/>
    <d v="2015-01-18T00:00:00"/>
    <n v="-108.19"/>
    <n v="15"/>
    <x v="282"/>
    <n v="90027"/>
    <n v="1309.05"/>
  </r>
  <r>
    <n v="15.99"/>
    <n v="13.18"/>
    <n v="535"/>
    <s v="Jill Clements"/>
    <s v="Regular Air"/>
    <s v="Corporate"/>
    <x v="0"/>
    <x v="8"/>
    <s v="Small Box"/>
    <s v="GBC Pre-Punched Binding Paper, Plastic, White, 8-1/2&quot; x 11&quot;"/>
    <n v="0.37"/>
    <s v="United States"/>
    <s v="South"/>
    <s v="Virginia"/>
    <s v="Montclair"/>
    <n v="22025"/>
    <d v="2015-04-21T00:00:00"/>
    <d v="2015-04-25T00:00:00"/>
    <n v="46.488"/>
    <n v="23"/>
    <x v="283"/>
    <n v="88511"/>
    <n v="9274.75"/>
  </r>
  <r>
    <n v="59.78"/>
    <n v="10.29"/>
    <n v="539"/>
    <s v="Alice Coley"/>
    <s v="Regular Air"/>
    <s v="Small Business"/>
    <x v="0"/>
    <x v="8"/>
    <s v="Small Box"/>
    <s v="GBC Recycled Regency Composition Covers"/>
    <n v="0.39"/>
    <s v="United States"/>
    <s v="Central"/>
    <s v="Illinois"/>
    <s v="Urbana"/>
    <n v="61801"/>
    <d v="2015-05-14T00:00:00"/>
    <d v="2015-05-15T00:00:00"/>
    <n v="159.52969999999999"/>
    <n v="7"/>
    <x v="284"/>
    <n v="91174"/>
    <n v="2901.4300000000003"/>
  </r>
  <r>
    <n v="20.99"/>
    <n v="1.25"/>
    <n v="540"/>
    <s v="Ruth Lamm"/>
    <s v="Regular Air"/>
    <s v="Small Business"/>
    <x v="2"/>
    <x v="5"/>
    <s v="Small Pack"/>
    <s v="Accessory29"/>
    <n v="0.83"/>
    <s v="United States"/>
    <s v="Central"/>
    <s v="Illinois"/>
    <s v="Vernon Hills"/>
    <n v="60061"/>
    <d v="2015-05-14T00:00:00"/>
    <d v="2015-05-16T00:00:00"/>
    <n v="15.3714"/>
    <n v="28"/>
    <x v="285"/>
    <n v="91174"/>
    <n v="13151.32"/>
  </r>
  <r>
    <n v="204.1"/>
    <n v="13.99"/>
    <n v="540"/>
    <s v="Ruth Lamm"/>
    <s v="Regular Air"/>
    <s v="Small Business"/>
    <x v="2"/>
    <x v="6"/>
    <s v="Medium Box"/>
    <s v="Soundgear Copyboard Conference Phone, Optional Battery"/>
    <n v="0.37"/>
    <s v="United States"/>
    <s v="Central"/>
    <s v="Illinois"/>
    <s v="Vernon Hills"/>
    <n v="60061"/>
    <d v="2015-05-23T00:00:00"/>
    <d v="2015-05-25T00:00:00"/>
    <n v="5924.1122999999998"/>
    <n v="41"/>
    <x v="286"/>
    <n v="91175"/>
    <n v="352012.47000000003"/>
  </r>
  <r>
    <n v="13.73"/>
    <n v="6.85"/>
    <n v="547"/>
    <s v="Henry Ball"/>
    <s v="Express Air"/>
    <s v="Corporate"/>
    <x v="1"/>
    <x v="2"/>
    <s v="Wrap Bag"/>
    <s v="DAX Wood Document Frame."/>
    <n v="0.54"/>
    <s v="United States"/>
    <s v="East"/>
    <s v="West Virginia"/>
    <s v="Morgantown"/>
    <n v="26501"/>
    <d v="2015-06-14T00:00:00"/>
    <d v="2015-06-15T00:00:00"/>
    <n v="39.585299999999997"/>
    <n v="4"/>
    <x v="287"/>
    <n v="86250"/>
    <n v="229.48"/>
  </r>
  <r>
    <n v="7.1"/>
    <n v="6.05"/>
    <n v="549"/>
    <s v="Dennis Boykin Townsend"/>
    <s v="Regular Air"/>
    <s v="Corporate"/>
    <x v="0"/>
    <x v="8"/>
    <s v="Small Box"/>
    <s v="Wilson Jones Hanging View Binder, White, 1&quot;"/>
    <n v="0.39"/>
    <s v="United States"/>
    <s v="West"/>
    <s v="New Mexico"/>
    <s v="Roswell"/>
    <n v="88201"/>
    <d v="2015-01-20T00:00:00"/>
    <d v="2015-01-20T00:00:00"/>
    <n v="-66.378"/>
    <n v="9"/>
    <x v="288"/>
    <n v="90908"/>
    <n v="596.87999999999988"/>
  </r>
  <r>
    <n v="1.68"/>
    <n v="1.57"/>
    <n v="550"/>
    <s v="Edna Monroe Talley"/>
    <s v="Regular Air"/>
    <s v="Corporate"/>
    <x v="0"/>
    <x v="0"/>
    <s v="Wrap Bag"/>
    <s v="Newell 323"/>
    <n v="0.59"/>
    <s v="United States"/>
    <s v="Central"/>
    <s v="Texas"/>
    <s v="Seguin"/>
    <n v="78155"/>
    <d v="2015-01-30T00:00:00"/>
    <d v="2015-01-31T00:00:00"/>
    <n v="-33.340000000000003"/>
    <n v="11"/>
    <x v="289"/>
    <n v="90909"/>
    <n v="206.25"/>
  </r>
  <r>
    <n v="218.75"/>
    <n v="69.64"/>
    <n v="550"/>
    <s v="Edna Monroe Talley"/>
    <s v="Delivery Truck"/>
    <s v="Corporate"/>
    <x v="1"/>
    <x v="11"/>
    <s v="Jumbo Box"/>
    <s v="BoxOffice By Design Rectangular and Half-Moon Meeting Room Tables"/>
    <n v="0.77"/>
    <s v="United States"/>
    <s v="Central"/>
    <s v="Texas"/>
    <s v="Seguin"/>
    <n v="78155"/>
    <d v="2015-01-30T00:00:00"/>
    <d v="2015-02-01T00:00:00"/>
    <n v="-201.27600000000001"/>
    <n v="1"/>
    <x v="290"/>
    <n v="90909"/>
    <n v="188.51"/>
  </r>
  <r>
    <n v="549.99"/>
    <n v="49"/>
    <n v="550"/>
    <s v="Edna Monroe Talley"/>
    <s v="Delivery Truck"/>
    <s v="Corporate"/>
    <x v="2"/>
    <x v="16"/>
    <s v="Jumbo Drum"/>
    <s v="Sharp 1540cs Digital Laser Copier"/>
    <n v="0.35"/>
    <s v="United States"/>
    <s v="Central"/>
    <s v="Texas"/>
    <s v="Seguin"/>
    <n v="78155"/>
    <d v="2015-06-12T00:00:00"/>
    <d v="2015-06-13T00:00:00"/>
    <n v="4637.4071999999996"/>
    <n v="13"/>
    <x v="291"/>
    <n v="90910"/>
    <n v="87371.44"/>
  </r>
  <r>
    <n v="115.99"/>
    <n v="5.99"/>
    <n v="550"/>
    <s v="Edna Monroe Talley"/>
    <s v="Express Air"/>
    <s v="Corporate"/>
    <x v="2"/>
    <x v="5"/>
    <s v="Small Box"/>
    <n v="2160"/>
    <n v="0.56999999999999995"/>
    <s v="United States"/>
    <s v="Central"/>
    <s v="Texas"/>
    <s v="Seguin"/>
    <n v="78155"/>
    <d v="2015-06-12T00:00:00"/>
    <d v="2015-06-13T00:00:00"/>
    <n v="-239.54150000000001"/>
    <n v="1"/>
    <x v="292"/>
    <n v="90910"/>
    <n v="102.21"/>
  </r>
  <r>
    <n v="15.04"/>
    <n v="1.97"/>
    <n v="551"/>
    <s v="Peggy Chan"/>
    <s v="Regular Air"/>
    <s v="Corporate"/>
    <x v="0"/>
    <x v="7"/>
    <s v="Wrap Bag"/>
    <s v="White GlueTop Scratch Pads"/>
    <n v="0.39"/>
    <s v="United States"/>
    <s v="Central"/>
    <s v="Texas"/>
    <s v="Sherman"/>
    <n v="75090"/>
    <d v="2015-01-30T00:00:00"/>
    <d v="2015-02-01T00:00:00"/>
    <n v="21.514199999999999"/>
    <n v="2"/>
    <x v="293"/>
    <n v="90909"/>
    <n v="62.36"/>
  </r>
  <r>
    <n v="6.88"/>
    <n v="2"/>
    <n v="553"/>
    <s v="Kristine Connolly"/>
    <s v="Express Air"/>
    <s v="Home Office"/>
    <x v="0"/>
    <x v="7"/>
    <s v="Wrap Bag"/>
    <s v="Adams Phone Message Book, 200 Message Capacity, 8 1/16” x 11”"/>
    <n v="0.39"/>
    <s v="United States"/>
    <s v="West"/>
    <s v="California"/>
    <s v="Los Angeles"/>
    <n v="90008"/>
    <d v="2015-01-28T00:00:00"/>
    <d v="2015-01-29T00:00:00"/>
    <n v="34.067999999999998"/>
    <n v="36"/>
    <x v="294"/>
    <n v="17155"/>
    <n v="9631.0799999999981"/>
  </r>
  <r>
    <n v="2036.48"/>
    <n v="14.7"/>
    <n v="553"/>
    <s v="Kristine Connolly"/>
    <s v="Delivery Truck"/>
    <s v="Corporate"/>
    <x v="2"/>
    <x v="6"/>
    <s v="Jumbo Drum"/>
    <s v="Lexmark 4227 Plus Dot Matrix Printer"/>
    <n v="0.55000000000000004"/>
    <s v="United States"/>
    <s v="West"/>
    <s v="California"/>
    <s v="Los Angeles"/>
    <n v="90008"/>
    <d v="2015-02-21T00:00:00"/>
    <d v="2015-02-21T00:00:00"/>
    <n v="4073.25"/>
    <n v="25"/>
    <x v="295"/>
    <n v="2433"/>
    <n v="1076155"/>
  </r>
  <r>
    <n v="4.9800000000000004"/>
    <n v="7.44"/>
    <n v="553"/>
    <s v="Kristine Connolly"/>
    <s v="Regular Air"/>
    <s v="Corporate"/>
    <x v="0"/>
    <x v="7"/>
    <s v="Small Box"/>
    <s v="Xerox 1922"/>
    <n v="0.36"/>
    <s v="United States"/>
    <s v="West"/>
    <s v="California"/>
    <s v="Los Angeles"/>
    <n v="90008"/>
    <d v="2015-04-15T00:00:00"/>
    <d v="2015-04-24T00:00:00"/>
    <n v="-179.59200000000001"/>
    <n v="63"/>
    <x v="296"/>
    <n v="8165"/>
    <n v="20803.23"/>
  </r>
  <r>
    <n v="124.49"/>
    <n v="51.94"/>
    <n v="553"/>
    <s v="Kristine Connolly"/>
    <s v="Delivery Truck"/>
    <s v="Corporate"/>
    <x v="1"/>
    <x v="11"/>
    <s v="Jumbo Box"/>
    <s v="Bevis 36 x 72 Conference Tables"/>
    <n v="0.63"/>
    <s v="United States"/>
    <s v="West"/>
    <s v="California"/>
    <s v="Los Angeles"/>
    <n v="90008"/>
    <d v="2015-06-18T00:00:00"/>
    <d v="2015-06-19T00:00:00"/>
    <n v="-500.38"/>
    <n v="56"/>
    <x v="297"/>
    <n v="359"/>
    <n v="382556.72"/>
  </r>
  <r>
    <n v="2036.48"/>
    <n v="14.7"/>
    <n v="555"/>
    <s v="Walter Young"/>
    <s v="Delivery Truck"/>
    <s v="Corporate"/>
    <x v="2"/>
    <x v="6"/>
    <s v="Jumbo Drum"/>
    <s v="Lexmark 4227 Plus Dot Matrix Printer"/>
    <n v="0.55000000000000004"/>
    <s v="United States"/>
    <s v="West"/>
    <s v="Utah"/>
    <s v="Pleasant Grove"/>
    <n v="84062"/>
    <d v="2015-02-21T00:00:00"/>
    <d v="2015-02-21T00:00:00"/>
    <n v="6028.41"/>
    <n v="6"/>
    <x v="298"/>
    <n v="86190"/>
    <n v="61986.54"/>
  </r>
  <r>
    <n v="4.9800000000000004"/>
    <n v="7.44"/>
    <n v="555"/>
    <s v="Walter Young"/>
    <s v="Regular Air"/>
    <s v="Corporate"/>
    <x v="0"/>
    <x v="7"/>
    <s v="Small Box"/>
    <s v="Xerox 1922"/>
    <n v="0.36"/>
    <s v="United States"/>
    <s v="West"/>
    <s v="Utah"/>
    <s v="Pleasant Grove"/>
    <n v="84062"/>
    <d v="2015-04-15T00:00:00"/>
    <d v="2015-04-24T00:00:00"/>
    <n v="-161.6328"/>
    <n v="16"/>
    <x v="299"/>
    <n v="86191"/>
    <n v="1341.76"/>
  </r>
  <r>
    <n v="124.49"/>
    <n v="51.94"/>
    <n v="555"/>
    <s v="Walter Young"/>
    <s v="Delivery Truck"/>
    <s v="Corporate"/>
    <x v="1"/>
    <x v="11"/>
    <s v="Jumbo Box"/>
    <s v="Bevis 36 x 72 Conference Tables"/>
    <n v="0.63"/>
    <s v="United States"/>
    <s v="West"/>
    <s v="Utah"/>
    <s v="Pleasant Grove"/>
    <n v="84062"/>
    <d v="2015-06-18T00:00:00"/>
    <d v="2015-06-19T00:00:00"/>
    <n v="-250.19"/>
    <n v="14"/>
    <x v="300"/>
    <n v="86192"/>
    <n v="23909.759999999998"/>
  </r>
  <r>
    <n v="6.88"/>
    <n v="2"/>
    <n v="556"/>
    <s v="Kristina Sanders"/>
    <s v="Express Air"/>
    <s v="Home Office"/>
    <x v="0"/>
    <x v="7"/>
    <s v="Wrap Bag"/>
    <s v="Adams Phone Message Book, 200 Message Capacity, 8 1/16” x 11”"/>
    <n v="0.39"/>
    <s v="United States"/>
    <s v="West"/>
    <s v="Utah"/>
    <s v="Provo"/>
    <n v="84604"/>
    <d v="2015-01-28T00:00:00"/>
    <d v="2015-01-29T00:00:00"/>
    <n v="46.147199999999998"/>
    <n v="9"/>
    <x v="301"/>
    <n v="86189"/>
    <n v="601.91999999999996"/>
  </r>
  <r>
    <n v="32.479999999999997"/>
    <n v="35"/>
    <n v="556"/>
    <s v="Kristina Sanders"/>
    <s v="Express Air"/>
    <s v="Home Office"/>
    <x v="0"/>
    <x v="10"/>
    <s v="Large Box"/>
    <s v="Fellowes Neat Ideas® Storage Cubes"/>
    <n v="0.81"/>
    <s v="United States"/>
    <s v="West"/>
    <s v="Utah"/>
    <s v="Provo"/>
    <n v="84604"/>
    <d v="2015-01-28T00:00:00"/>
    <d v="2015-01-28T00:00:00"/>
    <n v="-1116.3348000000001"/>
    <n v="8"/>
    <x v="302"/>
    <n v="86189"/>
    <n v="2199.2800000000002"/>
  </r>
  <r>
    <n v="280.98"/>
    <n v="57"/>
    <n v="568"/>
    <s v="Peter McConnell"/>
    <s v="Delivery Truck"/>
    <s v="Consumer"/>
    <x v="1"/>
    <x v="1"/>
    <s v="Jumbo Drum"/>
    <s v="Hon 2090 “Pillow Soft” Series Mid Back Swivel/Tilt Chairs"/>
    <n v="0.78"/>
    <s v="United States"/>
    <s v="South"/>
    <s v="Mississippi"/>
    <s v="Columbus"/>
    <n v="39701"/>
    <d v="2015-03-04T00:00:00"/>
    <d v="2015-03-05T00:00:00"/>
    <n v="1141.7940000000001"/>
    <n v="4"/>
    <x v="303"/>
    <n v="88879"/>
    <n v="4514.96"/>
  </r>
  <r>
    <n v="70.97"/>
    <n v="3.5"/>
    <n v="568"/>
    <s v="Peter McConnell"/>
    <s v="Regular Air"/>
    <s v="Consumer"/>
    <x v="0"/>
    <x v="15"/>
    <s v="Small Box"/>
    <s v="Tripp Lite Isotel 8 Ultra 8 Outlet Metal Surge"/>
    <n v="0.59"/>
    <s v="United States"/>
    <s v="South"/>
    <s v="Mississippi"/>
    <s v="Columbus"/>
    <n v="39701"/>
    <d v="2015-04-15T00:00:00"/>
    <d v="2015-04-15T00:00:00"/>
    <n v="-99.567999999999998"/>
    <n v="12"/>
    <x v="304"/>
    <n v="88880"/>
    <n v="9671.880000000001"/>
  </r>
  <r>
    <n v="67.28"/>
    <n v="19.989999999999998"/>
    <n v="568"/>
    <s v="Peter McConnell"/>
    <s v="Express Air"/>
    <s v="Consumer"/>
    <x v="0"/>
    <x v="8"/>
    <s v="Small Box"/>
    <s v="Catalog Binders with Expanding Posts"/>
    <n v="0.4"/>
    <s v="United States"/>
    <s v="South"/>
    <s v="Mississippi"/>
    <s v="Columbus"/>
    <n v="39701"/>
    <d v="2015-04-01T00:00:00"/>
    <d v="2015-04-03T00:00:00"/>
    <n v="224.85059999999999"/>
    <n v="16"/>
    <x v="305"/>
    <n v="88882"/>
    <n v="17064.64"/>
  </r>
  <r>
    <n v="7.99"/>
    <n v="5.03"/>
    <n v="570"/>
    <s v="Katharine Bass"/>
    <s v="Regular Air"/>
    <s v="Consumer"/>
    <x v="2"/>
    <x v="5"/>
    <s v="Medium Box"/>
    <s v="Bell Sonecor JB700 Caller ID"/>
    <n v="0.6"/>
    <s v="United States"/>
    <s v="West"/>
    <s v="Nevada"/>
    <s v="Henderson"/>
    <n v="89015"/>
    <d v="2015-01-13T00:00:00"/>
    <d v="2015-01-13T00:00:00"/>
    <n v="-122.133"/>
    <n v="10"/>
    <x v="306"/>
    <n v="88881"/>
    <n v="657.4"/>
  </r>
  <r>
    <n v="4.13"/>
    <n v="5.04"/>
    <n v="573"/>
    <s v="Vanessa Winstead"/>
    <s v="Regular Air"/>
    <s v="Home Office"/>
    <x v="0"/>
    <x v="8"/>
    <s v="Small Box"/>
    <s v="ACCOHIDE® 3-Ring Binder, Blue, 1&quot;"/>
    <n v="0.38"/>
    <s v="United States"/>
    <s v="Central"/>
    <s v="Illinois"/>
    <s v="Pekin"/>
    <n v="61554"/>
    <d v="2015-03-13T00:00:00"/>
    <d v="2015-03-14T00:00:00"/>
    <n v="-12.1555"/>
    <n v="1"/>
    <x v="307"/>
    <n v="86555"/>
    <n v="5.84"/>
  </r>
  <r>
    <n v="415.88"/>
    <n v="11.37"/>
    <n v="573"/>
    <s v="Vanessa Winstead"/>
    <s v="Regular Air"/>
    <s v="Corporate"/>
    <x v="0"/>
    <x v="10"/>
    <s v="Small Box"/>
    <s v="Deluxe Rollaway Locking File with Drawer"/>
    <n v="0.56999999999999995"/>
    <s v="United States"/>
    <s v="Central"/>
    <s v="Illinois"/>
    <s v="Pekin"/>
    <n v="61554"/>
    <d v="2015-02-26T00:00:00"/>
    <d v="2015-02-27T00:00:00"/>
    <n v="-269.08440000000002"/>
    <n v="1"/>
    <x v="308"/>
    <n v="86556"/>
    <n v="405.57"/>
  </r>
  <r>
    <n v="4.4800000000000004"/>
    <n v="49"/>
    <n v="576"/>
    <s v="Gordon Lyon"/>
    <s v="Regular Air"/>
    <s v="Corporate"/>
    <x v="0"/>
    <x v="15"/>
    <s v="Large Box"/>
    <s v="Hoover Portapower™ Portable Vacuum"/>
    <n v="0.6"/>
    <s v="United States"/>
    <s v="West"/>
    <s v="California"/>
    <s v="Pomona"/>
    <n v="91767"/>
    <d v="2015-01-13T00:00:00"/>
    <d v="2015-01-17T00:00:00"/>
    <n v="-566"/>
    <n v="4"/>
    <x v="309"/>
    <n v="88645"/>
    <n v="130.4"/>
  </r>
  <r>
    <n v="162.93"/>
    <n v="19.989999999999998"/>
    <n v="578"/>
    <s v="Evan K Bullard"/>
    <s v="Regular Air"/>
    <s v="Corporate"/>
    <x v="0"/>
    <x v="4"/>
    <s v="Small Box"/>
    <s v="Multimedia Mailers"/>
    <n v="0.39"/>
    <s v="United States"/>
    <s v="East"/>
    <s v="Connecticut"/>
    <s v="Naugatuck"/>
    <n v="6770"/>
    <d v="2015-05-13T00:00:00"/>
    <d v="2015-05-14T00:00:00"/>
    <n v="293.14"/>
    <n v="3"/>
    <x v="310"/>
    <n v="88644"/>
    <n v="1547.6399999999999"/>
  </r>
  <r>
    <n v="11.58"/>
    <n v="5.72"/>
    <n v="579"/>
    <s v="Marlene Abrams"/>
    <s v="Regular Air"/>
    <s v="Corporate"/>
    <x v="0"/>
    <x v="4"/>
    <s v="Small Box"/>
    <s v="Peel &amp; Seel® Recycled Catalog Envelopes, Brown"/>
    <n v="0.35"/>
    <s v="United States"/>
    <s v="East"/>
    <s v="Connecticut"/>
    <s v="Seymour"/>
    <n v="6478"/>
    <d v="2015-05-13T00:00:00"/>
    <d v="2015-05-15T00:00:00"/>
    <n v="-6.61"/>
    <n v="2"/>
    <x v="311"/>
    <n v="88644"/>
    <n v="50.12"/>
  </r>
  <r>
    <n v="55.99"/>
    <n v="5"/>
    <n v="580"/>
    <s v="Kathryn Patrick"/>
    <s v="Regular Air"/>
    <s v="Corporate"/>
    <x v="2"/>
    <x v="5"/>
    <s v="Small Pack"/>
    <s v="Accessory6"/>
    <n v="0.8"/>
    <s v="United States"/>
    <s v="East"/>
    <s v="Maine"/>
    <s v="Auburn"/>
    <n v="4210"/>
    <d v="2015-05-13T00:00:00"/>
    <d v="2015-05-14T00:00:00"/>
    <n v="-57.540999999999997"/>
    <n v="12"/>
    <x v="312"/>
    <n v="88644"/>
    <n v="6938.88"/>
  </r>
  <r>
    <n v="15.51"/>
    <n v="17.78"/>
    <n v="584"/>
    <s v="Timothy Currie"/>
    <s v="Regular Air"/>
    <s v="Corporate"/>
    <x v="0"/>
    <x v="10"/>
    <s v="Small Box"/>
    <s v="Tenex File Box, Personal Filing Tote with Lid, Black"/>
    <n v="0.59"/>
    <s v="United States"/>
    <s v="East"/>
    <s v="Massachusetts"/>
    <s v="Woburn"/>
    <n v="1801"/>
    <d v="2015-01-21T00:00:00"/>
    <d v="2015-01-23T00:00:00"/>
    <n v="-266.22000000000003"/>
    <n v="7"/>
    <x v="313"/>
    <n v="88646"/>
    <n v="818.51"/>
  </r>
  <r>
    <n v="13.9"/>
    <n v="7.59"/>
    <n v="585"/>
    <s v="William Larson"/>
    <s v="Regular Air"/>
    <s v="Corporate"/>
    <x v="0"/>
    <x v="12"/>
    <s v="Small Pack"/>
    <s v="Acme Hot Forged Carbon Steel Scissors with Nickel-Plated Handles, 3 7/8&quot; Cut, 8&quot;L"/>
    <n v="0.56000000000000005"/>
    <s v="United States"/>
    <s v="East"/>
    <s v="New Hampshire"/>
    <s v="Concord"/>
    <n v="3301"/>
    <d v="2015-05-13T00:00:00"/>
    <d v="2015-05-14T00:00:00"/>
    <n v="-67.59"/>
    <n v="12"/>
    <x v="314"/>
    <n v="88644"/>
    <n v="2045.3999999999999"/>
  </r>
  <r>
    <n v="30.53"/>
    <n v="19.989999999999998"/>
    <n v="592"/>
    <s v="Eva Silverman"/>
    <s v="Regular Air"/>
    <s v="Small Business"/>
    <x v="0"/>
    <x v="9"/>
    <s v="Small Box"/>
    <s v="Avery 4027 File Folder Labels for Dot Matrix Printers, 5000 Labels per Box, White"/>
    <n v="0.39"/>
    <s v="United States"/>
    <s v="Central"/>
    <s v="Illinois"/>
    <s v="Wilmette"/>
    <n v="60091"/>
    <d v="2015-01-17T00:00:00"/>
    <d v="2015-01-17T00:00:00"/>
    <n v="-239.8656"/>
    <n v="10"/>
    <x v="315"/>
    <n v="86307"/>
    <n v="2858.7"/>
  </r>
  <r>
    <n v="1.68"/>
    <n v="1.57"/>
    <n v="593"/>
    <s v="Joel Huffman"/>
    <s v="Regular Air"/>
    <s v="Small Business"/>
    <x v="0"/>
    <x v="0"/>
    <s v="Wrap Bag"/>
    <s v="Newell 323"/>
    <n v="0.59"/>
    <s v="United States"/>
    <s v="Central"/>
    <s v="Illinois"/>
    <s v="Woodridge"/>
    <n v="60517"/>
    <d v="2015-01-17T00:00:00"/>
    <d v="2015-01-19T00:00:00"/>
    <n v="-53.444000000000003"/>
    <n v="12"/>
    <x v="316"/>
    <n v="86307"/>
    <n v="244.44"/>
  </r>
  <r>
    <n v="13.79"/>
    <n v="8.7799999999999994"/>
    <n v="594"/>
    <s v="Charlie Moore"/>
    <s v="Regular Air"/>
    <s v="Consumer"/>
    <x v="1"/>
    <x v="2"/>
    <s v="Small Box"/>
    <s v="9-3/4 Diameter Round Wall Clock"/>
    <n v="0.43"/>
    <s v="United States"/>
    <s v="Central"/>
    <s v="Indiana"/>
    <s v="Anderson"/>
    <n v="46016"/>
    <d v="2015-03-15T00:00:00"/>
    <d v="2015-03-17T00:00:00"/>
    <n v="-22.12"/>
    <n v="1"/>
    <x v="317"/>
    <n v="86309"/>
    <n v="17.440000000000001"/>
  </r>
  <r>
    <n v="39.479999999999997"/>
    <n v="1.99"/>
    <n v="594"/>
    <s v="Charlie Moore"/>
    <s v="Regular Air"/>
    <s v="Consumer"/>
    <x v="2"/>
    <x v="13"/>
    <s v="Small Pack"/>
    <s v="80 Minute CD-R Spindle, 100/Pack - Staples"/>
    <n v="0.54"/>
    <s v="United States"/>
    <s v="Central"/>
    <s v="Indiana"/>
    <s v="Anderson"/>
    <n v="46016"/>
    <d v="2015-06-19T00:00:00"/>
    <d v="2015-06-22T00:00:00"/>
    <n v="484.8492"/>
    <n v="18"/>
    <x v="318"/>
    <n v="86311"/>
    <n v="12648.24"/>
  </r>
  <r>
    <n v="3.7"/>
    <n v="1.61"/>
    <n v="594"/>
    <s v="Charlie Moore"/>
    <s v="Regular Air"/>
    <s v="Consumer"/>
    <x v="1"/>
    <x v="2"/>
    <s v="Wrap Bag"/>
    <s v="3M Hangers With Command Adhesive"/>
    <n v="0.44"/>
    <s v="United States"/>
    <s v="Central"/>
    <s v="Indiana"/>
    <s v="Anderson"/>
    <n v="46016"/>
    <d v="2015-06-19T00:00:00"/>
    <d v="2015-06-20T00:00:00"/>
    <n v="18"/>
    <n v="18"/>
    <x v="319"/>
    <n v="86311"/>
    <n v="1210.32"/>
  </r>
  <r>
    <n v="3.8"/>
    <n v="1.49"/>
    <n v="596"/>
    <s v="Doris Fitzpatrick"/>
    <s v="Regular Air"/>
    <s v="Consumer"/>
    <x v="0"/>
    <x v="8"/>
    <s v="Small Box"/>
    <s v="Durable Pressboard Binders"/>
    <n v="0.38"/>
    <s v="United States"/>
    <s v="Central"/>
    <s v="Indiana"/>
    <s v="Carmel"/>
    <n v="46032"/>
    <d v="2015-02-15T00:00:00"/>
    <d v="2015-02-17T00:00:00"/>
    <n v="15.2745"/>
    <n v="6"/>
    <x v="320"/>
    <n v="86308"/>
    <n v="145.62"/>
  </r>
  <r>
    <n v="7.98"/>
    <n v="1.25"/>
    <n v="596"/>
    <s v="Doris Fitzpatrick"/>
    <s v="Regular Air"/>
    <s v="Consumer"/>
    <x v="0"/>
    <x v="7"/>
    <s v="Wrap Bag"/>
    <s v="Adams Telephone Message Book w/Frequently-Called Numbers Space, 400 Messages per Book"/>
    <n v="0.35"/>
    <s v="United States"/>
    <s v="Central"/>
    <s v="Indiana"/>
    <s v="Carmel"/>
    <n v="46032"/>
    <d v="2015-02-15T00:00:00"/>
    <d v="2015-02-17T00:00:00"/>
    <n v="26.585699999999999"/>
    <n v="5"/>
    <x v="321"/>
    <n v="86308"/>
    <n v="192.65"/>
  </r>
  <r>
    <n v="417.4"/>
    <n v="75.23"/>
    <n v="596"/>
    <s v="Doris Fitzpatrick"/>
    <s v="Delivery Truck"/>
    <s v="Consumer"/>
    <x v="1"/>
    <x v="11"/>
    <s v="Jumbo Box"/>
    <s v="Bretford “Just In Time” Height-Adjustable Multi-Task Work Tables"/>
    <n v="0.79"/>
    <s v="United States"/>
    <s v="Central"/>
    <s v="Indiana"/>
    <s v="Carmel"/>
    <n v="46032"/>
    <d v="2015-02-15T00:00:00"/>
    <d v="2015-02-16T00:00:00"/>
    <n v="-575.35199999999998"/>
    <n v="12"/>
    <x v="322"/>
    <n v="86308"/>
    <n v="58928.639999999999"/>
  </r>
  <r>
    <n v="6.48"/>
    <n v="5.9"/>
    <n v="597"/>
    <s v="Alexandra Wise"/>
    <s v="Regular Air"/>
    <s v="Small Business"/>
    <x v="0"/>
    <x v="7"/>
    <s v="Small Box"/>
    <s v="Xerox 1976"/>
    <n v="0.37"/>
    <s v="United States"/>
    <s v="Central"/>
    <s v="Indiana"/>
    <s v="Columbus"/>
    <n v="47201"/>
    <d v="2015-06-10T00:00:00"/>
    <d v="2015-06-10T00:00:00"/>
    <n v="-51.634999999999998"/>
    <n v="19"/>
    <x v="323"/>
    <n v="86310"/>
    <n v="2219.1999999999998"/>
  </r>
  <r>
    <n v="6.48"/>
    <n v="7.37"/>
    <n v="600"/>
    <s v="Vickie Morse"/>
    <s v="Regular Air"/>
    <s v="Corporate"/>
    <x v="0"/>
    <x v="7"/>
    <s v="Small Box"/>
    <s v="Xerox 210"/>
    <n v="0.37"/>
    <s v="United States"/>
    <s v="East"/>
    <s v="Maryland"/>
    <s v="Reisterstown"/>
    <n v="21136"/>
    <d v="2015-03-13T00:00:00"/>
    <d v="2015-03-14T00:00:00"/>
    <n v="-75.44"/>
    <n v="5"/>
    <x v="324"/>
    <n v="87579"/>
    <n v="161.94999999999999"/>
  </r>
  <r>
    <n v="35.99"/>
    <n v="5"/>
    <n v="603"/>
    <s v="Gretchen Ball"/>
    <s v="Regular Air"/>
    <s v="Home Office"/>
    <x v="2"/>
    <x v="5"/>
    <s v="Small Box"/>
    <s v="Accessory27"/>
    <n v="0.85"/>
    <s v="United States"/>
    <s v="West"/>
    <s v="Colorado"/>
    <s v="Pueblo"/>
    <n v="81001"/>
    <d v="2015-02-03T00:00:00"/>
    <d v="2015-02-05T00:00:00"/>
    <n v="-120.934"/>
    <n v="7"/>
    <x v="325"/>
    <n v="87020"/>
    <n v="1594.53"/>
  </r>
  <r>
    <n v="154.13"/>
    <n v="69"/>
    <n v="604"/>
    <s v="Lindsay P Ashley"/>
    <s v="Express Air"/>
    <s v="Corporate"/>
    <x v="1"/>
    <x v="11"/>
    <s v="Large Box"/>
    <s v="Laminate Occasional Tables"/>
    <n v="0.68"/>
    <s v="United States"/>
    <s v="West"/>
    <s v="California"/>
    <s v="Los Angeles"/>
    <n v="90045"/>
    <d v="2015-03-14T00:00:00"/>
    <d v="2015-03-15T00:00:00"/>
    <n v="-1763.7476999999999"/>
    <n v="38"/>
    <x v="326"/>
    <n v="28647"/>
    <n v="215824.42"/>
  </r>
  <r>
    <n v="1.88"/>
    <n v="1.49"/>
    <n v="604"/>
    <s v="Lindsay P Ashley"/>
    <s v="Regular Air"/>
    <s v="Home Office"/>
    <x v="0"/>
    <x v="8"/>
    <s v="Small Box"/>
    <s v="Staples® General Use 3-Ring Binders"/>
    <n v="0.37"/>
    <s v="United States"/>
    <s v="West"/>
    <s v="California"/>
    <s v="Los Angeles"/>
    <n v="90045"/>
    <d v="2015-01-24T00:00:00"/>
    <d v="2015-01-25T00:00:00"/>
    <n v="-15.099500000000001"/>
    <n v="52"/>
    <x v="327"/>
    <n v="34882"/>
    <n v="5320.6399999999994"/>
  </r>
  <r>
    <n v="154.13"/>
    <n v="69"/>
    <n v="605"/>
    <s v="Alison Peters Wooten"/>
    <s v="Express Air"/>
    <s v="Corporate"/>
    <x v="1"/>
    <x v="11"/>
    <s v="Large Box"/>
    <s v="Laminate Occasional Tables"/>
    <n v="0.68"/>
    <s v="United States"/>
    <s v="East"/>
    <s v="New York"/>
    <s v="West Islip"/>
    <n v="11795"/>
    <d v="2015-03-14T00:00:00"/>
    <d v="2015-03-15T00:00:00"/>
    <n v="-1763.7476999999999"/>
    <n v="10"/>
    <x v="328"/>
    <n v="91144"/>
    <n v="14946.300000000001"/>
  </r>
  <r>
    <n v="15.57"/>
    <n v="1.39"/>
    <n v="617"/>
    <s v="Brett Schultz"/>
    <s v="Regular Air"/>
    <s v="Consumer"/>
    <x v="0"/>
    <x v="4"/>
    <s v="Small Box"/>
    <s v="Park Ridge™ Embossed Executive Business Envelopes"/>
    <n v="0.38"/>
    <s v="United States"/>
    <s v="West"/>
    <s v="Colorado"/>
    <s v="Pueblo"/>
    <n v="81001"/>
    <d v="2015-04-29T00:00:00"/>
    <d v="2015-04-30T00:00:00"/>
    <n v="23.5428"/>
    <n v="3"/>
    <x v="329"/>
    <n v="88198"/>
    <n v="138.69"/>
  </r>
  <r>
    <n v="20.89"/>
    <n v="11.52"/>
    <n v="617"/>
    <s v="Brett Schultz"/>
    <s v="Regular Air"/>
    <s v="Consumer"/>
    <x v="0"/>
    <x v="10"/>
    <s v="Small Box"/>
    <s v="Iris® 3-Drawer Stacking Bin, Black"/>
    <n v="0.83"/>
    <s v="United States"/>
    <s v="West"/>
    <s v="Colorado"/>
    <s v="Pueblo"/>
    <n v="81001"/>
    <d v="2015-04-29T00:00:00"/>
    <d v="2015-04-30T00:00:00"/>
    <n v="-276.11279999999999"/>
    <n v="13"/>
    <x v="330"/>
    <n v="88198"/>
    <n v="3630.6399999999994"/>
  </r>
  <r>
    <n v="17.98"/>
    <n v="4"/>
    <n v="618"/>
    <s v="Robert Cowan"/>
    <s v="Regular Air"/>
    <s v="Consumer"/>
    <x v="2"/>
    <x v="13"/>
    <s v="Small Box"/>
    <s v="Belkin 107-key enhanced keyboard, USB/PS/2 interface"/>
    <n v="0.79"/>
    <s v="United States"/>
    <s v="West"/>
    <s v="Colorado"/>
    <s v="Pueblo West"/>
    <n v="81007"/>
    <d v="2015-03-24T00:00:00"/>
    <d v="2015-03-25T00:00:00"/>
    <n v="-78.13"/>
    <n v="4"/>
    <x v="331"/>
    <n v="88197"/>
    <n v="280.24"/>
  </r>
  <r>
    <n v="5.38"/>
    <n v="5.24"/>
    <n v="618"/>
    <s v="Robert Cowan"/>
    <s v="Express Air"/>
    <s v="Consumer"/>
    <x v="0"/>
    <x v="8"/>
    <s v="Small Box"/>
    <s v="Acco PRESSTEX® Data Binder with Storage Hooks, Dark Blue, 14 7/8&quot; X 11&quot;"/>
    <n v="0.36"/>
    <s v="United States"/>
    <s v="West"/>
    <s v="Colorado"/>
    <s v="Pueblo West"/>
    <n v="81007"/>
    <d v="2015-04-29T00:00:00"/>
    <d v="2015-04-30T00:00:00"/>
    <n v="-64.670940000000002"/>
    <n v="14"/>
    <x v="332"/>
    <n v="88198"/>
    <n v="1145.48"/>
  </r>
  <r>
    <n v="7.35"/>
    <n v="5.96"/>
    <n v="618"/>
    <s v="Robert Cowan"/>
    <s v="Regular Air"/>
    <s v="Consumer"/>
    <x v="0"/>
    <x v="7"/>
    <s v="Small Box"/>
    <s v="1/4 Fold Party Design Invitations &amp; White Envelopes, 24 8-1/2&quot; X 11&quot; Cards, 25 Env./Pack"/>
    <n v="0.38"/>
    <s v="United States"/>
    <s v="West"/>
    <s v="Colorado"/>
    <s v="Pueblo West"/>
    <n v="81007"/>
    <d v="2015-04-29T00:00:00"/>
    <d v="2015-04-30T00:00:00"/>
    <n v="-11.113200000000001"/>
    <n v="1"/>
    <x v="333"/>
    <n v="88198"/>
    <n v="13.16"/>
  </r>
  <r>
    <n v="14.2"/>
    <n v="5.3"/>
    <n v="619"/>
    <s v="Howard Rogers"/>
    <s v="Regular Air"/>
    <s v="Consumer"/>
    <x v="1"/>
    <x v="2"/>
    <s v="Wrap Bag"/>
    <s v="Coloredge Poster Frame"/>
    <n v="0.46"/>
    <s v="United States"/>
    <s v="Central"/>
    <s v="Michigan"/>
    <s v="Southgate"/>
    <n v="48195"/>
    <d v="2015-01-07T00:00:00"/>
    <d v="2015-01-08T00:00:00"/>
    <n v="107.02"/>
    <n v="14"/>
    <x v="334"/>
    <n v="88196"/>
    <n v="2883.72"/>
  </r>
  <r>
    <n v="6.88"/>
    <n v="2"/>
    <n v="621"/>
    <s v="Heather Stern"/>
    <s v="Regular Air"/>
    <s v="Home Office"/>
    <x v="0"/>
    <x v="7"/>
    <s v="Wrap Bag"/>
    <s v="Adams Phone Message Book, 200 Message Capacity, 8 1/16” x 11”"/>
    <n v="0.39"/>
    <s v="United States"/>
    <s v="East"/>
    <s v="Connecticut"/>
    <s v="Newington"/>
    <n v="6111"/>
    <d v="2015-02-26T00:00:00"/>
    <d v="2015-02-27T00:00:00"/>
    <n v="18.420000000000002"/>
    <n v="5"/>
    <x v="335"/>
    <n v="91432"/>
    <n v="157.30000000000001"/>
  </r>
  <r>
    <n v="195.99"/>
    <n v="8.99"/>
    <n v="622"/>
    <s v="Hazel Khan"/>
    <s v="Regular Air"/>
    <s v="Home Office"/>
    <x v="2"/>
    <x v="5"/>
    <s v="Small Box"/>
    <s v="T28 WORLD"/>
    <n v="0.6"/>
    <s v="United States"/>
    <s v="East"/>
    <s v="Maine"/>
    <s v="Auburn"/>
    <n v="4210"/>
    <d v="2015-02-26T00:00:00"/>
    <d v="2015-02-28T00:00:00"/>
    <n v="349.47"/>
    <n v="6"/>
    <x v="336"/>
    <n v="91432"/>
    <n v="5693.82"/>
  </r>
  <r>
    <n v="6.48"/>
    <n v="8.4"/>
    <n v="623"/>
    <s v="Jenny Petty"/>
    <s v="Regular Air"/>
    <s v="Home Office"/>
    <x v="0"/>
    <x v="7"/>
    <s v="Small Box"/>
    <s v="Xerox 212"/>
    <n v="0.37"/>
    <s v="United States"/>
    <s v="East"/>
    <s v="New Hampshire"/>
    <s v="Manchester"/>
    <n v="3101"/>
    <d v="2015-04-01T00:00:00"/>
    <d v="2015-04-03T00:00:00"/>
    <n v="-226.34639999999999"/>
    <n v="21"/>
    <x v="337"/>
    <n v="91433"/>
    <n v="2876.79"/>
  </r>
  <r>
    <n v="55.99"/>
    <n v="5"/>
    <n v="624"/>
    <s v="Terry Klein"/>
    <s v="Regular Air"/>
    <s v="Home Office"/>
    <x v="2"/>
    <x v="5"/>
    <s v="Small Pack"/>
    <s v="Accessory6"/>
    <n v="0.8"/>
    <s v="United States"/>
    <s v="East"/>
    <s v="Vermont"/>
    <s v="Rutland"/>
    <n v="5701"/>
    <d v="2015-04-01T00:00:00"/>
    <d v="2015-04-01T00:00:00"/>
    <n v="-281.17583999999999"/>
    <n v="2"/>
    <x v="338"/>
    <n v="91433"/>
    <n v="198.72"/>
  </r>
  <r>
    <n v="419.19"/>
    <n v="19.989999999999998"/>
    <n v="627"/>
    <s v="Scott McKenna"/>
    <s v="Regular Air"/>
    <s v="Corporate"/>
    <x v="0"/>
    <x v="10"/>
    <s v="Small Box"/>
    <s v="Smead Adjustable Mobile File Trolley with Lockable Top"/>
    <n v="0.57999999999999996"/>
    <s v="United States"/>
    <s v="East"/>
    <s v="Ohio"/>
    <s v="Steubenville"/>
    <n v="43952"/>
    <d v="2015-04-21T00:00:00"/>
    <d v="2015-04-22T00:00:00"/>
    <n v="6610.2"/>
    <n v="22"/>
    <x v="339"/>
    <n v="90469"/>
    <n v="210760"/>
  </r>
  <r>
    <n v="2.08"/>
    <n v="5.33"/>
    <n v="635"/>
    <s v="Juan Justice"/>
    <s v="Regular Air"/>
    <s v="Corporate"/>
    <x v="1"/>
    <x v="2"/>
    <s v="Small Box"/>
    <s v="Eldon® Wave Desk Accessories"/>
    <n v="0.43"/>
    <s v="United States"/>
    <s v="Central"/>
    <s v="Minnesota"/>
    <s v="Saint Paul"/>
    <n v="55106"/>
    <d v="2015-04-05T00:00:00"/>
    <d v="2015-04-05T00:00:00"/>
    <n v="-103.7124"/>
    <n v="12"/>
    <x v="340"/>
    <n v="89284"/>
    <n v="339.84000000000003"/>
  </r>
  <r>
    <n v="370.98"/>
    <n v="99"/>
    <n v="635"/>
    <s v="Juan Justice"/>
    <s v="Delivery Truck"/>
    <s v="Corporate"/>
    <x v="0"/>
    <x v="10"/>
    <s v="Jumbo Drum"/>
    <s v="Sauder Facets Collection Locker/File Cabinet, Sky Alder Finish"/>
    <n v="0.65"/>
    <s v="United States"/>
    <s v="Central"/>
    <s v="Minnesota"/>
    <s v="Saint Paul"/>
    <n v="55106"/>
    <d v="2015-04-05T00:00:00"/>
    <d v="2015-04-06T00:00:00"/>
    <n v="-124.2864"/>
    <n v="6"/>
    <x v="341"/>
    <n v="89284"/>
    <n v="13856.939999999999"/>
  </r>
  <r>
    <n v="160.97999999999999"/>
    <n v="35.020000000000003"/>
    <n v="637"/>
    <s v="Christopher Bryant"/>
    <s v="Delivery Truck"/>
    <s v="Consumer"/>
    <x v="1"/>
    <x v="14"/>
    <s v="Jumbo Box"/>
    <s v="Rush Hierlooms Collection Rich Wood Bookcases"/>
    <n v="0.72"/>
    <s v="United States"/>
    <s v="West"/>
    <s v="California"/>
    <s v="Santa Clara"/>
    <n v="95051"/>
    <d v="2015-03-20T00:00:00"/>
    <d v="2015-03-24T00:00:00"/>
    <n v="-229.68"/>
    <n v="8"/>
    <x v="342"/>
    <n v="87953"/>
    <n v="9856.08"/>
  </r>
  <r>
    <n v="65.989999999999995"/>
    <n v="8.8000000000000007"/>
    <n v="638"/>
    <s v="Brooke Shepherd"/>
    <s v="Express Air"/>
    <s v="Consumer"/>
    <x v="2"/>
    <x v="5"/>
    <s v="Small Box"/>
    <n v="6120"/>
    <n v="0.57999999999999996"/>
    <s v="United States"/>
    <s v="West"/>
    <s v="California"/>
    <s v="Santa Cruz"/>
    <n v="95062"/>
    <d v="2015-04-30T00:00:00"/>
    <d v="2015-05-01T00:00:00"/>
    <n v="288.08999999999997"/>
    <n v="9"/>
    <x v="343"/>
    <n v="87954"/>
    <n v="4557.42"/>
  </r>
  <r>
    <n v="195.99"/>
    <n v="4.2"/>
    <n v="638"/>
    <s v="Brooke Shepherd"/>
    <s v="Express Air"/>
    <s v="Consumer"/>
    <x v="2"/>
    <x v="5"/>
    <s v="Small Box"/>
    <s v="KH 688"/>
    <n v="0.56999999999999995"/>
    <s v="United States"/>
    <s v="West"/>
    <s v="California"/>
    <s v="Santa Cruz"/>
    <n v="95062"/>
    <d v="2015-04-30T00:00:00"/>
    <d v="2015-05-02T00:00:00"/>
    <n v="719.47680000000003"/>
    <n v="6"/>
    <x v="344"/>
    <n v="87954"/>
    <n v="6256.32"/>
  </r>
  <r>
    <n v="236.97"/>
    <n v="59.24"/>
    <n v="639"/>
    <s v="Lois Rowland"/>
    <s v="Delivery Truck"/>
    <s v="Consumer"/>
    <x v="1"/>
    <x v="11"/>
    <s v="Jumbo Box"/>
    <s v="Chromcraft Rectangular Conference Tables"/>
    <n v="0.61"/>
    <s v="United States"/>
    <s v="West"/>
    <s v="California"/>
    <s v="Santa Maria"/>
    <n v="93454"/>
    <d v="2015-02-14T00:00:00"/>
    <d v="2015-02-15T00:00:00"/>
    <n v="1192.04"/>
    <n v="9"/>
    <x v="345"/>
    <n v="87952"/>
    <n v="15929.19"/>
  </r>
  <r>
    <n v="236.97"/>
    <n v="59.24"/>
    <n v="640"/>
    <s v="Neal Wolfe"/>
    <s v="Delivery Truck"/>
    <s v="Consumer"/>
    <x v="1"/>
    <x v="11"/>
    <s v="Jumbo Box"/>
    <s v="Chromcraft Rectangular Conference Tables"/>
    <n v="0.61"/>
    <s v="United States"/>
    <s v="West"/>
    <s v="Washington"/>
    <s v="Seattle"/>
    <n v="98119"/>
    <d v="2015-02-14T00:00:00"/>
    <d v="2015-02-15T00:00:00"/>
    <n v="1192.04"/>
    <n v="34"/>
    <x v="346"/>
    <n v="56452"/>
    <n v="227335.56"/>
  </r>
  <r>
    <n v="160.97999999999999"/>
    <n v="35.020000000000003"/>
    <n v="640"/>
    <s v="Neal Wolfe"/>
    <s v="Delivery Truck"/>
    <s v="Consumer"/>
    <x v="1"/>
    <x v="14"/>
    <s v="Jumbo Box"/>
    <s v="Rush Hierlooms Collection Rich Wood Bookcases"/>
    <n v="0.72"/>
    <s v="United States"/>
    <s v="West"/>
    <s v="Washington"/>
    <s v="Seattle"/>
    <n v="98119"/>
    <d v="2015-03-20T00:00:00"/>
    <d v="2015-03-24T00:00:00"/>
    <n v="-229.68"/>
    <n v="30"/>
    <x v="347"/>
    <n v="11077"/>
    <n v="138601.5"/>
  </r>
  <r>
    <n v="65.989999999999995"/>
    <n v="8.8000000000000007"/>
    <n v="640"/>
    <s v="Neal Wolfe"/>
    <s v="Express Air"/>
    <s v="Consumer"/>
    <x v="2"/>
    <x v="5"/>
    <s v="Small Box"/>
    <n v="6120"/>
    <n v="0.57999999999999996"/>
    <s v="United States"/>
    <s v="West"/>
    <s v="Washington"/>
    <s v="Seattle"/>
    <n v="98119"/>
    <d v="2015-04-30T00:00:00"/>
    <d v="2015-05-01T00:00:00"/>
    <n v="288.08999999999997"/>
    <n v="34"/>
    <x v="348"/>
    <n v="45380"/>
    <n v="65041.32"/>
  </r>
  <r>
    <n v="195.99"/>
    <n v="4.2"/>
    <n v="640"/>
    <s v="Neal Wolfe"/>
    <s v="Express Air"/>
    <s v="Consumer"/>
    <x v="2"/>
    <x v="5"/>
    <s v="Small Box"/>
    <s v="KH 688"/>
    <n v="0.56999999999999995"/>
    <s v="United States"/>
    <s v="West"/>
    <s v="Washington"/>
    <s v="Seattle"/>
    <n v="98119"/>
    <d v="2015-04-30T00:00:00"/>
    <d v="2015-05-02T00:00:00"/>
    <n v="1030.509"/>
    <n v="24"/>
    <x v="349"/>
    <n v="45380"/>
    <n v="100100.88"/>
  </r>
  <r>
    <n v="51.75"/>
    <n v="19.989999999999998"/>
    <n v="646"/>
    <s v="Robin High"/>
    <s v="Regular Air"/>
    <s v="Corporate"/>
    <x v="1"/>
    <x v="2"/>
    <s v="Small Box"/>
    <s v="Howard Miller 13-3/4&quot; Diameter Brushed Chrome Round Wall Clock"/>
    <n v="0.55000000000000004"/>
    <s v="United States"/>
    <s v="Central"/>
    <s v="Minnesota"/>
    <s v="Shakopee"/>
    <n v="55379"/>
    <d v="2015-06-17T00:00:00"/>
    <d v="2015-06-22T00:00:00"/>
    <n v="261.44400000000002"/>
    <n v="16"/>
    <x v="350"/>
    <n v="90735"/>
    <n v="13100.96"/>
  </r>
  <r>
    <n v="25.38"/>
    <n v="8.99"/>
    <n v="648"/>
    <s v="Steve O'Brien"/>
    <s v="Regular Air"/>
    <s v="Home Office"/>
    <x v="1"/>
    <x v="2"/>
    <s v="Small Pack"/>
    <s v="Executive Impressions 13&quot; Chairman Wall Clock"/>
    <n v="0.5"/>
    <s v="United States"/>
    <s v="Central"/>
    <s v="Illinois"/>
    <s v="Bolingbrook"/>
    <n v="60440"/>
    <d v="2015-06-21T00:00:00"/>
    <d v="2015-06-22T00:00:00"/>
    <n v="-10.36"/>
    <n v="1"/>
    <x v="351"/>
    <n v="91365"/>
    <n v="34.11"/>
  </r>
  <r>
    <n v="3.78"/>
    <n v="0.71"/>
    <n v="649"/>
    <s v="Roger Meyer"/>
    <s v="Regular Air"/>
    <s v="Home Office"/>
    <x v="0"/>
    <x v="3"/>
    <s v="Wrap Bag"/>
    <s v="Staples Bulldog Clip"/>
    <n v="0.39"/>
    <s v="United States"/>
    <s v="Central"/>
    <s v="Illinois"/>
    <s v="Buffalo Grove"/>
    <n v="60089"/>
    <d v="2015-05-29T00:00:00"/>
    <d v="2015-05-30T00:00:00"/>
    <n v="106.7499"/>
    <n v="40"/>
    <x v="352"/>
    <n v="91366"/>
    <n v="6188.4000000000005"/>
  </r>
  <r>
    <n v="15.99"/>
    <n v="13.18"/>
    <n v="651"/>
    <s v="Leah Clapp"/>
    <s v="Regular Air"/>
    <s v="Consumer"/>
    <x v="0"/>
    <x v="8"/>
    <s v="Small Box"/>
    <s v="GBC Pre-Punched Binding Paper, Plastic, White, 8-1/2&quot; x 11&quot;"/>
    <n v="0.37"/>
    <s v="United States"/>
    <s v="West"/>
    <s v="Nevada"/>
    <s v="Las Vegas"/>
    <n v="89115"/>
    <d v="2015-01-07T00:00:00"/>
    <d v="2015-01-08T00:00:00"/>
    <n v="-246.92616000000001"/>
    <n v="12"/>
    <x v="353"/>
    <n v="91575"/>
    <n v="2307.96"/>
  </r>
  <r>
    <n v="880.98"/>
    <n v="44.55"/>
    <n v="651"/>
    <s v="Leah Clapp"/>
    <s v="Delivery Truck"/>
    <s v="Consumer"/>
    <x v="1"/>
    <x v="14"/>
    <s v="Jumbo Box"/>
    <s v="Riverside Palais Royal Lawyers Bookcase, Royale Cherry Finish"/>
    <n v="0.62"/>
    <s v="United States"/>
    <s v="West"/>
    <s v="Nevada"/>
    <s v="Las Vegas"/>
    <n v="89115"/>
    <d v="2015-02-15T00:00:00"/>
    <d v="2015-02-19T00:00:00"/>
    <n v="4233.2587999999996"/>
    <n v="8"/>
    <x v="354"/>
    <n v="91576"/>
    <n v="55210"/>
  </r>
  <r>
    <n v="13.4"/>
    <n v="4.95"/>
    <n v="651"/>
    <s v="Leah Clapp"/>
    <s v="Regular Air"/>
    <s v="Consumer"/>
    <x v="1"/>
    <x v="2"/>
    <s v="Small Pack"/>
    <s v="Electrix 20W Halogen Replacement Bulb for Zoom-In Desk Lamp"/>
    <n v="0.37"/>
    <s v="United States"/>
    <s v="West"/>
    <s v="Nevada"/>
    <s v="Las Vegas"/>
    <n v="89115"/>
    <d v="2015-02-15T00:00:00"/>
    <d v="2015-02-20T00:00:00"/>
    <n v="102.76860000000001"/>
    <n v="11"/>
    <x v="355"/>
    <n v="91576"/>
    <n v="1638.34"/>
  </r>
  <r>
    <n v="15.99"/>
    <n v="11.28"/>
    <n v="651"/>
    <s v="Leah Clapp"/>
    <s v="Regular Air"/>
    <s v="Consumer"/>
    <x v="2"/>
    <x v="6"/>
    <s v="Medium Box"/>
    <s v="210 Trimline Phone, White"/>
    <n v="0.38"/>
    <s v="United States"/>
    <s v="West"/>
    <s v="Nevada"/>
    <s v="Las Vegas"/>
    <n v="89115"/>
    <d v="2015-02-15T00:00:00"/>
    <d v="2015-02-22T00:00:00"/>
    <n v="-36.671543999999997"/>
    <n v="12"/>
    <x v="356"/>
    <n v="91576"/>
    <n v="2408.16"/>
  </r>
  <r>
    <n v="2.78"/>
    <n v="1.49"/>
    <n v="653"/>
    <s v="Ann Katz"/>
    <s v="Express Air"/>
    <s v="Consumer"/>
    <x v="0"/>
    <x v="8"/>
    <s v="Small Box"/>
    <s v="Wilson Jones Suede Grain Vinyl Binders"/>
    <n v="0.36"/>
    <s v="United States"/>
    <s v="West"/>
    <s v="California"/>
    <s v="Rancho Cucamonga"/>
    <n v="91730"/>
    <d v="2015-04-16T00:00:00"/>
    <d v="2015-04-17T00:00:00"/>
    <n v="20.6448"/>
    <n v="9"/>
    <x v="357"/>
    <n v="91213"/>
    <n v="269.28000000000003"/>
  </r>
  <r>
    <n v="18.97"/>
    <n v="9.0299999999999994"/>
    <n v="657"/>
    <s v="Derek McCormick"/>
    <s v="Regular Air"/>
    <s v="Consumer"/>
    <x v="0"/>
    <x v="7"/>
    <s v="Small Box"/>
    <s v="Computer Printout Paper with Letter-Trim Perforations"/>
    <n v="0.37"/>
    <s v="United States"/>
    <s v="East"/>
    <s v="Massachusetts"/>
    <s v="Oxford"/>
    <n v="1540"/>
    <d v="2015-01-19T00:00:00"/>
    <d v="2015-01-21T00:00:00"/>
    <n v="-24.204799999999999"/>
    <n v="1"/>
    <x v="358"/>
    <n v="91212"/>
    <n v="19.73"/>
  </r>
  <r>
    <n v="119.99"/>
    <n v="56.14"/>
    <n v="659"/>
    <s v="Marjorie Arthur"/>
    <s v="Delivery Truck"/>
    <s v="Consumer"/>
    <x v="2"/>
    <x v="6"/>
    <s v="Jumbo Box"/>
    <s v="Hewlett-Packard 2600DN Business Color Inkjet Printer"/>
    <n v="0.39"/>
    <s v="United States"/>
    <s v="East"/>
    <s v="Vermont"/>
    <s v="South Burlington"/>
    <n v="5403"/>
    <d v="2015-01-19T00:00:00"/>
    <d v="2015-01-20T00:00:00"/>
    <n v="-126.05777999999999"/>
    <n v="5"/>
    <x v="359"/>
    <n v="91212"/>
    <n v="3077.7"/>
  </r>
  <r>
    <n v="14.58"/>
    <n v="7.4"/>
    <n v="663"/>
    <s v="Hilda Bennett"/>
    <s v="Regular Air"/>
    <s v="Home Office"/>
    <x v="1"/>
    <x v="2"/>
    <s v="Small Box"/>
    <s v="DAX Clear Channel Poster Frame"/>
    <n v="0.48"/>
    <s v="United States"/>
    <s v="East"/>
    <s v="Ohio"/>
    <s v="Steubenville"/>
    <n v="43952"/>
    <d v="2015-05-29T00:00:00"/>
    <d v="2015-06-01T00:00:00"/>
    <n v="10.802"/>
    <n v="17"/>
    <x v="360"/>
    <n v="90922"/>
    <n v="4442.78"/>
  </r>
  <r>
    <n v="22.72"/>
    <n v="8.99"/>
    <n v="665"/>
    <s v="Miriam Mueller"/>
    <s v="Regular Air"/>
    <s v="Corporate"/>
    <x v="1"/>
    <x v="2"/>
    <s v="Small Pack"/>
    <s v="Executive Impressions 14&quot; Two-Color Numerals Wall Clock"/>
    <n v="0.44"/>
    <s v="United States"/>
    <s v="South"/>
    <s v="Tennessee"/>
    <s v="Murfreesboro"/>
    <n v="37130"/>
    <d v="2015-01-16T00:00:00"/>
    <d v="2015-01-20T00:00:00"/>
    <n v="-678.49599999999998"/>
    <n v="9"/>
    <x v="361"/>
    <n v="88677"/>
    <n v="1821.69"/>
  </r>
  <r>
    <n v="130.97999999999999"/>
    <n v="30"/>
    <n v="665"/>
    <s v="Miriam Mueller"/>
    <s v="Delivery Truck"/>
    <s v="Corporate"/>
    <x v="1"/>
    <x v="1"/>
    <s v="Jumbo Drum"/>
    <s v="Office Star - Contemporary Task Swivel chair with 2-way adjustable arms, Plum"/>
    <n v="0.78"/>
    <s v="United States"/>
    <s v="South"/>
    <s v="Tennessee"/>
    <s v="Murfreesboro"/>
    <n v="37130"/>
    <d v="2015-04-18T00:00:00"/>
    <d v="2015-04-19T00:00:00"/>
    <n v="90.762"/>
    <n v="6"/>
    <x v="362"/>
    <n v="88678"/>
    <n v="4760.34"/>
  </r>
  <r>
    <n v="4.57"/>
    <n v="5.42"/>
    <n v="666"/>
    <s v="Emily Sims"/>
    <s v="Regular Air"/>
    <s v="Corporate"/>
    <x v="0"/>
    <x v="8"/>
    <s v="Small Box"/>
    <s v="Newell® 3-Hole Punched Plastic Slotted Magazine Holders for Binders"/>
    <n v="0.37"/>
    <s v="United States"/>
    <s v="South"/>
    <s v="Tennessee"/>
    <s v="Nashville"/>
    <n v="37211"/>
    <d v="2015-04-22T00:00:00"/>
    <d v="2015-04-26T00:00:00"/>
    <n v="-352.81400000000002"/>
    <n v="11"/>
    <x v="363"/>
    <n v="88679"/>
    <n v="594.43999999999994"/>
  </r>
  <r>
    <n v="22.72"/>
    <n v="8.99"/>
    <n v="667"/>
    <s v="Allison Kirby"/>
    <s v="Regular Air"/>
    <s v="Corporate"/>
    <x v="1"/>
    <x v="2"/>
    <s v="Small Pack"/>
    <s v="Executive Impressions 14&quot; Two-Color Numerals Wall Clock"/>
    <n v="0.44"/>
    <s v="United States"/>
    <s v="Central"/>
    <s v="Texas"/>
    <s v="Dallas"/>
    <n v="75203"/>
    <d v="2015-01-16T00:00:00"/>
    <d v="2015-01-20T00:00:00"/>
    <n v="70.028000000000006"/>
    <n v="37"/>
    <x v="364"/>
    <n v="22147"/>
    <n v="30789.18"/>
  </r>
  <r>
    <n v="4.57"/>
    <n v="5.42"/>
    <n v="667"/>
    <s v="Allison Kirby"/>
    <s v="Regular Air"/>
    <s v="Corporate"/>
    <x v="0"/>
    <x v="8"/>
    <s v="Small Box"/>
    <s v="Newell® 3-Hole Punched Plastic Slotted Magazine Holders for Binders"/>
    <n v="0.37"/>
    <s v="United States"/>
    <s v="Central"/>
    <s v="Texas"/>
    <s v="Dallas"/>
    <n v="75203"/>
    <d v="2015-04-22T00:00:00"/>
    <d v="2015-04-26T00:00:00"/>
    <n v="-124.2805"/>
    <n v="45"/>
    <x v="365"/>
    <n v="48257"/>
    <n v="9947.7000000000007"/>
  </r>
  <r>
    <n v="2.89"/>
    <n v="0.5"/>
    <n v="669"/>
    <s v="Amy Shea"/>
    <s v="Regular Air"/>
    <s v="Home Office"/>
    <x v="0"/>
    <x v="9"/>
    <s v="Small Box"/>
    <s v="Avery 498"/>
    <n v="0.38"/>
    <s v="United States"/>
    <s v="Central"/>
    <s v="Iowa"/>
    <s v="Ottumwa"/>
    <n v="52501"/>
    <d v="2015-03-20T00:00:00"/>
    <d v="2015-03-22T00:00:00"/>
    <n v="40.482300000000002"/>
    <n v="22"/>
    <x v="366"/>
    <n v="88475"/>
    <n v="1290.74"/>
  </r>
  <r>
    <n v="48.91"/>
    <n v="5.81"/>
    <n v="669"/>
    <s v="Amy Shea"/>
    <s v="Regular Air"/>
    <s v="Home Office"/>
    <x v="0"/>
    <x v="7"/>
    <s v="Small Box"/>
    <s v="Xerox 1891"/>
    <n v="0.38"/>
    <s v="United States"/>
    <s v="Central"/>
    <s v="Iowa"/>
    <s v="Ottumwa"/>
    <n v="52501"/>
    <d v="2015-03-20T00:00:00"/>
    <d v="2015-03-21T00:00:00"/>
    <n v="32.86"/>
    <n v="2"/>
    <x v="367"/>
    <n v="88475"/>
    <n v="202.12"/>
  </r>
  <r>
    <n v="296.18"/>
    <n v="54.12"/>
    <n v="670"/>
    <s v="Lewis Baldwin"/>
    <s v="Delivery Truck"/>
    <s v="Home Office"/>
    <x v="1"/>
    <x v="11"/>
    <s v="Jumbo Box"/>
    <s v="Hon 94000 Series Round Tables"/>
    <n v="0.76"/>
    <s v="United States"/>
    <s v="South"/>
    <s v="Virginia"/>
    <s v="Montclair"/>
    <n v="22025"/>
    <d v="2015-03-05T00:00:00"/>
    <d v="2015-03-12T00:00:00"/>
    <n v="-187.22200000000001"/>
    <n v="5"/>
    <x v="368"/>
    <n v="88474"/>
    <n v="7149.0499999999993"/>
  </r>
  <r>
    <n v="2.88"/>
    <n v="1.01"/>
    <n v="672"/>
    <s v="Brian Leach"/>
    <s v="Regular Air"/>
    <s v="Small Business"/>
    <x v="0"/>
    <x v="0"/>
    <s v="Wrap Bag"/>
    <s v="Sanford Colorific Colored Pencils, 12/Box"/>
    <n v="0.55000000000000004"/>
    <s v="United States"/>
    <s v="Central"/>
    <s v="Iowa"/>
    <s v="Newton"/>
    <n v="50208"/>
    <d v="2015-02-05T00:00:00"/>
    <d v="2015-02-09T00:00:00"/>
    <n v="9.59"/>
    <n v="12"/>
    <x v="369"/>
    <n v="88173"/>
    <n v="419.64"/>
  </r>
  <r>
    <n v="195.99"/>
    <n v="3.99"/>
    <n v="672"/>
    <s v="Brian Leach"/>
    <s v="Regular Air"/>
    <s v="Small Business"/>
    <x v="2"/>
    <x v="5"/>
    <s v="Small Box"/>
    <s v="R380"/>
    <n v="0.57999999999999996"/>
    <s v="United States"/>
    <s v="Central"/>
    <s v="Iowa"/>
    <s v="Newton"/>
    <n v="50208"/>
    <d v="2015-02-05T00:00:00"/>
    <d v="2015-02-12T00:00:00"/>
    <n v="-655.42399999999998"/>
    <n v="2"/>
    <x v="370"/>
    <n v="88173"/>
    <n v="617.72"/>
  </r>
  <r>
    <n v="161.55000000000001"/>
    <n v="19.989999999999998"/>
    <n v="674"/>
    <s v="Albert Frost"/>
    <s v="Regular Air"/>
    <s v="Small Business"/>
    <x v="0"/>
    <x v="10"/>
    <s v="Small Box"/>
    <s v="Fellowes Super Stor/Drawer® Files"/>
    <n v="0.66"/>
    <s v="United States"/>
    <s v="Central"/>
    <s v="Missouri"/>
    <s v="Raytown"/>
    <n v="64133"/>
    <d v="2015-01-02T00:00:00"/>
    <d v="2015-01-03T00:00:00"/>
    <n v="-7.58"/>
    <n v="3"/>
    <x v="371"/>
    <n v="88174"/>
    <n v="1455.03"/>
  </r>
  <r>
    <n v="15.42"/>
    <n v="10.68"/>
    <n v="678"/>
    <s v="Edward McKenzie"/>
    <s v="Express Air"/>
    <s v="Corporate"/>
    <x v="0"/>
    <x v="10"/>
    <s v="Small Box"/>
    <s v="Decoflex Hanging Personal Folder File, Blue"/>
    <n v="0.57999999999999996"/>
    <s v="United States"/>
    <s v="South"/>
    <s v="Virginia"/>
    <s v="Rose Hill"/>
    <n v="24281"/>
    <d v="2015-04-22T00:00:00"/>
    <d v="2015-04-23T00:00:00"/>
    <n v="-109.70399999999999"/>
    <n v="5"/>
    <x v="372"/>
    <n v="88889"/>
    <n v="405.7"/>
  </r>
  <r>
    <n v="3.95"/>
    <n v="5.13"/>
    <n v="679"/>
    <s v="Katie Dougherty"/>
    <s v="Regular Air"/>
    <s v="Corporate"/>
    <x v="0"/>
    <x v="15"/>
    <s v="Small Box"/>
    <s v="Hoover Replacement Belts For Soft Guard™ &amp; Commercial Ltweight Upright Vacs, 2/Pk"/>
    <n v="0.59"/>
    <s v="United States"/>
    <s v="West"/>
    <s v="Washington"/>
    <s v="Spanaway"/>
    <n v="98387"/>
    <d v="2015-03-04T00:00:00"/>
    <d v="2015-03-05T00:00:00"/>
    <n v="-19.93"/>
    <n v="2"/>
    <x v="373"/>
    <n v="88890"/>
    <n v="20.22"/>
  </r>
  <r>
    <n v="367.99"/>
    <n v="19.989999999999998"/>
    <n v="679"/>
    <s v="Katie Dougherty"/>
    <s v="Regular Air"/>
    <s v="Corporate"/>
    <x v="0"/>
    <x v="8"/>
    <s v="Small Box"/>
    <s v="Ibico Ibimaster 300 Manual Binding System"/>
    <n v="0.4"/>
    <s v="United States"/>
    <s v="West"/>
    <s v="Washington"/>
    <s v="Spanaway"/>
    <n v="98387"/>
    <d v="2015-03-04T00:00:00"/>
    <d v="2015-03-05T00:00:00"/>
    <n v="4568.6072999999997"/>
    <n v="17"/>
    <x v="374"/>
    <n v="88890"/>
    <n v="112559.89"/>
  </r>
  <r>
    <n v="95.99"/>
    <n v="4.9000000000000004"/>
    <n v="680"/>
    <s v="Laurence Poe"/>
    <s v="Regular Air"/>
    <s v="Corporate"/>
    <x v="2"/>
    <x v="5"/>
    <s v="Small Box"/>
    <s v="T60"/>
    <n v="0.56000000000000005"/>
    <s v="United States"/>
    <s v="West"/>
    <s v="Washington"/>
    <s v="Spokane"/>
    <n v="99207"/>
    <d v="2015-03-04T00:00:00"/>
    <d v="2015-03-06T00:00:00"/>
    <n v="-258.22500000000002"/>
    <n v="3"/>
    <x v="375"/>
    <n v="88890"/>
    <n v="761.34"/>
  </r>
  <r>
    <n v="17.670000000000002"/>
    <n v="8.99"/>
    <n v="683"/>
    <s v="Seth Merrill"/>
    <s v="Express Air"/>
    <s v="Small Business"/>
    <x v="1"/>
    <x v="2"/>
    <s v="Small Pack"/>
    <s v="Executive Impressions 12&quot; Wall Clock"/>
    <n v="0.47"/>
    <s v="United States"/>
    <s v="Central"/>
    <s v="Nebraska"/>
    <s v="Papillion"/>
    <n v="68046"/>
    <d v="2015-04-07T00:00:00"/>
    <d v="2015-04-08T00:00:00"/>
    <n v="38.06"/>
    <n v="4"/>
    <x v="376"/>
    <n v="87765"/>
    <n v="279.83999999999997"/>
  </r>
  <r>
    <n v="279.48"/>
    <n v="35"/>
    <n v="688"/>
    <s v="Ashley Reese"/>
    <s v="Regular Air"/>
    <s v="Small Business"/>
    <x v="0"/>
    <x v="10"/>
    <s v="Large Box"/>
    <s v="Tennsco Snap-Together Open Shelving Units, Starter Sets and Add-On Units"/>
    <n v="0.8"/>
    <s v="United States"/>
    <s v="Central"/>
    <s v="Missouri"/>
    <s v="Saint Louis"/>
    <n v="63116"/>
    <d v="2015-05-16T00:00:00"/>
    <d v="2015-05-16T00:00:00"/>
    <n v="-207.28"/>
    <n v="10"/>
    <x v="377"/>
    <n v="88503"/>
    <n v="27160.9"/>
  </r>
  <r>
    <n v="4.18"/>
    <n v="2.99"/>
    <n v="688"/>
    <s v="Ashley Reese"/>
    <s v="Regular Air"/>
    <s v="Small Business"/>
    <x v="0"/>
    <x v="8"/>
    <s v="Small Box"/>
    <s v="Avery® Durable Slant Ring Binders With Label Holder"/>
    <n v="0.37"/>
    <s v="United States"/>
    <s v="Central"/>
    <s v="Missouri"/>
    <s v="Saint Louis"/>
    <n v="63116"/>
    <d v="2015-03-06T00:00:00"/>
    <d v="2015-03-08T00:00:00"/>
    <n v="-12.718999999999999"/>
    <n v="5"/>
    <x v="378"/>
    <n v="88504"/>
    <n v="106.7"/>
  </r>
  <r>
    <n v="1.7"/>
    <n v="1.99"/>
    <n v="689"/>
    <s v="Tommy Honeycutt"/>
    <s v="Regular Air"/>
    <s v="Small Business"/>
    <x v="2"/>
    <x v="13"/>
    <s v="Small Pack"/>
    <s v="BASF Silver 74 Minute CD-R"/>
    <n v="0.51"/>
    <s v="United States"/>
    <s v="Central"/>
    <s v="Missouri"/>
    <s v="Saint Peters"/>
    <n v="63376"/>
    <d v="2015-02-04T00:00:00"/>
    <d v="2015-02-05T00:00:00"/>
    <n v="-51.42"/>
    <n v="10"/>
    <x v="379"/>
    <n v="88502"/>
    <n v="174.20000000000002"/>
  </r>
  <r>
    <n v="6.48"/>
    <n v="6.35"/>
    <n v="691"/>
    <s v="Alicia Curtis"/>
    <s v="Regular Air"/>
    <s v="Home Office"/>
    <x v="0"/>
    <x v="7"/>
    <s v="Small Box"/>
    <s v="Xerox 200"/>
    <n v="0.37"/>
    <s v="United States"/>
    <s v="West"/>
    <s v="Washington"/>
    <s v="Tacoma"/>
    <n v="98408"/>
    <d v="2015-03-21T00:00:00"/>
    <d v="2015-03-22T00:00:00"/>
    <n v="-88.6"/>
    <n v="8"/>
    <x v="380"/>
    <n v="89915"/>
    <n v="398.48"/>
  </r>
  <r>
    <n v="500.98"/>
    <n v="41.44"/>
    <n v="693"/>
    <s v="Richard McClure"/>
    <s v="Delivery Truck"/>
    <s v="Small Business"/>
    <x v="1"/>
    <x v="14"/>
    <s v="Jumbo Box"/>
    <s v="DMI Eclipse Executive Suite Bookcases"/>
    <n v="0.66"/>
    <s v="United States"/>
    <s v="West"/>
    <s v="Colorado"/>
    <s v="Thornton"/>
    <n v="80229"/>
    <d v="2015-03-25T00:00:00"/>
    <d v="2015-03-25T00:00:00"/>
    <n v="2568.4629"/>
    <n v="7"/>
    <x v="381"/>
    <n v="87811"/>
    <n v="26056.87"/>
  </r>
  <r>
    <n v="5.34"/>
    <n v="2.99"/>
    <n v="693"/>
    <s v="Richard McClure"/>
    <s v="Express Air"/>
    <s v="Small Business"/>
    <x v="0"/>
    <x v="8"/>
    <s v="Small Box"/>
    <s v="Wilson Jones 14 Line Acrylic Coated Pressboard Data Binders"/>
    <n v="0.38"/>
    <s v="United States"/>
    <s v="West"/>
    <s v="Colorado"/>
    <s v="Thornton"/>
    <n v="80229"/>
    <d v="2015-03-08T00:00:00"/>
    <d v="2015-03-15T00:00:00"/>
    <n v="9.4860000000000007"/>
    <n v="17"/>
    <x v="382"/>
    <n v="87812"/>
    <n v="1616.6999999999998"/>
  </r>
  <r>
    <n v="140.97999999999999"/>
    <n v="53.48"/>
    <n v="693"/>
    <s v="Richard McClure"/>
    <s v="Delivery Truck"/>
    <s v="Small Business"/>
    <x v="1"/>
    <x v="14"/>
    <s v="Jumbo Box"/>
    <s v="Bush Heritage Pine Collection 5-Shelf Bookcase, Albany Pine Finish, *Special Order"/>
    <n v="0.65"/>
    <s v="United States"/>
    <s v="West"/>
    <s v="Colorado"/>
    <s v="Thornton"/>
    <n v="80229"/>
    <d v="2015-03-08T00:00:00"/>
    <d v="2015-03-15T00:00:00"/>
    <n v="-263.64999999999998"/>
    <n v="5"/>
    <x v="383"/>
    <n v="87812"/>
    <n v="3673.7"/>
  </r>
  <r>
    <n v="205.99"/>
    <n v="5.26"/>
    <n v="693"/>
    <s v="Richard McClure"/>
    <s v="Regular Air"/>
    <s v="Small Business"/>
    <x v="2"/>
    <x v="5"/>
    <s v="Small Box"/>
    <s v="i470"/>
    <n v="0.56000000000000005"/>
    <s v="United States"/>
    <s v="West"/>
    <s v="Colorado"/>
    <s v="Thornton"/>
    <n v="80229"/>
    <d v="2015-03-08T00:00:00"/>
    <d v="2015-03-15T00:00:00"/>
    <n v="890.18100000000004"/>
    <n v="11"/>
    <x v="384"/>
    <n v="87812"/>
    <n v="20711.57"/>
  </r>
  <r>
    <n v="230.98"/>
    <n v="23.78"/>
    <n v="693"/>
    <s v="Richard McClure"/>
    <s v="Delivery Truck"/>
    <s v="Small Business"/>
    <x v="1"/>
    <x v="11"/>
    <s v="Jumbo Box"/>
    <s v="Bush® Cubix Conference Tables, Fully Assembled"/>
    <n v="0.6"/>
    <s v="United States"/>
    <s v="West"/>
    <s v="Colorado"/>
    <s v="Thornton"/>
    <n v="80229"/>
    <d v="2015-05-05T00:00:00"/>
    <d v="2015-05-07T00:00:00"/>
    <n v="6095.8602000000001"/>
    <n v="36"/>
    <x v="385"/>
    <n v="87813"/>
    <n v="318044.88"/>
  </r>
  <r>
    <n v="8.1199999999999992"/>
    <n v="2.83"/>
    <n v="696"/>
    <s v="Johnny Reid"/>
    <s v="Regular Air"/>
    <s v="Corporate"/>
    <x v="2"/>
    <x v="13"/>
    <s v="Small Pack"/>
    <s v="Imation Neon Mac Format Diskettes, 10/Pack"/>
    <n v="0.77"/>
    <s v="United States"/>
    <s v="Central"/>
    <s v="Indiana"/>
    <s v="Crown Point"/>
    <n v="46307"/>
    <d v="2015-03-27T00:00:00"/>
    <d v="2015-03-28T00:00:00"/>
    <n v="-82.83"/>
    <n v="10"/>
    <x v="386"/>
    <n v="89847"/>
    <n v="785.40000000000009"/>
  </r>
  <r>
    <n v="51.65"/>
    <n v="18.45"/>
    <n v="696"/>
    <s v="Johnny Reid"/>
    <s v="Regular Air"/>
    <s v="Corporate"/>
    <x v="1"/>
    <x v="2"/>
    <s v="Medium Box"/>
    <s v="Deflect-o EconoMat Nonstudded, No Bevel Mat"/>
    <n v="0.65"/>
    <s v="United States"/>
    <s v="Central"/>
    <s v="Indiana"/>
    <s v="Crown Point"/>
    <n v="46307"/>
    <d v="2015-03-27T00:00:00"/>
    <d v="2015-03-28T00:00:00"/>
    <n v="25.04"/>
    <n v="12"/>
    <x v="387"/>
    <n v="89847"/>
    <n v="7261.2000000000007"/>
  </r>
  <r>
    <n v="40.479999999999997"/>
    <n v="19.989999999999998"/>
    <n v="696"/>
    <s v="Johnny Reid"/>
    <s v="Regular Air"/>
    <s v="Corporate"/>
    <x v="2"/>
    <x v="13"/>
    <s v="Small Box"/>
    <s v="Keytronic Designer 104- Key Black Keyboard"/>
    <n v="0.77"/>
    <s v="United States"/>
    <s v="Central"/>
    <s v="Indiana"/>
    <s v="Crown Point"/>
    <n v="46307"/>
    <d v="2015-04-07T00:00:00"/>
    <d v="2015-04-09T00:00:00"/>
    <n v="-580.32000000000005"/>
    <n v="9"/>
    <x v="388"/>
    <n v="89848"/>
    <n v="3202.56"/>
  </r>
  <r>
    <n v="175.99"/>
    <n v="8.99"/>
    <n v="697"/>
    <s v="Adam G Sawyer"/>
    <s v="Regular Air"/>
    <s v="Corporate"/>
    <x v="2"/>
    <x v="5"/>
    <s v="Small Box"/>
    <n v="2180"/>
    <n v="0.56999999999999995"/>
    <s v="United States"/>
    <s v="Central"/>
    <s v="Indiana"/>
    <s v="East Chicago"/>
    <n v="46312"/>
    <d v="2015-03-27T00:00:00"/>
    <d v="2015-03-28T00:00:00"/>
    <n v="928.96079999999995"/>
    <n v="10"/>
    <x v="389"/>
    <n v="89847"/>
    <n v="13463.199999999999"/>
  </r>
  <r>
    <n v="14.81"/>
    <n v="13.32"/>
    <n v="697"/>
    <s v="Adam G Sawyer"/>
    <s v="Regular Air"/>
    <s v="Corporate"/>
    <x v="0"/>
    <x v="15"/>
    <s v="Small Box"/>
    <s v="Holmes Replacement Filter for HEPA Air Cleaner, Large Room"/>
    <n v="0.43"/>
    <s v="United States"/>
    <s v="Central"/>
    <s v="Indiana"/>
    <s v="East Chicago"/>
    <n v="46312"/>
    <d v="2015-02-07T00:00:00"/>
    <d v="2015-02-09T00:00:00"/>
    <n v="-131.6172"/>
    <n v="20"/>
    <x v="390"/>
    <n v="89849"/>
    <n v="5843.6"/>
  </r>
  <r>
    <n v="8.1199999999999992"/>
    <n v="2.83"/>
    <n v="698"/>
    <s v="Nelson Hensley"/>
    <s v="Regular Air"/>
    <s v="Corporate"/>
    <x v="2"/>
    <x v="13"/>
    <s v="Small Pack"/>
    <s v="Imation Neon Mac Format Diskettes, 10/Pack"/>
    <n v="0.77"/>
    <s v="United States"/>
    <s v="West"/>
    <s v="Washington"/>
    <s v="Seattle"/>
    <n v="98105"/>
    <d v="2015-03-27T00:00:00"/>
    <d v="2015-03-28T00:00:00"/>
    <n v="-82.83"/>
    <n v="41"/>
    <x v="391"/>
    <n v="32869"/>
    <n v="13203.23"/>
  </r>
  <r>
    <n v="51.65"/>
    <n v="18.45"/>
    <n v="698"/>
    <s v="Nelson Hensley"/>
    <s v="Regular Air"/>
    <s v="Corporate"/>
    <x v="1"/>
    <x v="2"/>
    <s v="Medium Box"/>
    <s v="Deflect-o EconoMat Nonstudded, No Bevel Mat"/>
    <n v="0.65"/>
    <s v="United States"/>
    <s v="West"/>
    <s v="Washington"/>
    <s v="Seattle"/>
    <n v="98105"/>
    <d v="2015-03-27T00:00:00"/>
    <d v="2015-03-28T00:00:00"/>
    <n v="25.04"/>
    <n v="49"/>
    <x v="392"/>
    <n v="32869"/>
    <n v="121071.16"/>
  </r>
  <r>
    <n v="175.99"/>
    <n v="8.99"/>
    <n v="698"/>
    <s v="Nelson Hensley"/>
    <s v="Regular Air"/>
    <s v="Corporate"/>
    <x v="2"/>
    <x v="5"/>
    <s v="Small Box"/>
    <n v="2180"/>
    <n v="0.56999999999999995"/>
    <s v="United States"/>
    <s v="West"/>
    <s v="Washington"/>
    <s v="Seattle"/>
    <n v="98105"/>
    <d v="2015-03-27T00:00:00"/>
    <d v="2015-03-28T00:00:00"/>
    <n v="930.98699999999997"/>
    <n v="39"/>
    <x v="393"/>
    <n v="32869"/>
    <n v="204775.74"/>
  </r>
  <r>
    <n v="40.479999999999997"/>
    <n v="19.989999999999998"/>
    <n v="698"/>
    <s v="Nelson Hensley"/>
    <s v="Regular Air"/>
    <s v="Corporate"/>
    <x v="2"/>
    <x v="13"/>
    <s v="Small Box"/>
    <s v="Keytronic Designer 104- Key Black Keyboard"/>
    <n v="0.77"/>
    <s v="United States"/>
    <s v="West"/>
    <s v="Washington"/>
    <s v="Seattle"/>
    <n v="98105"/>
    <d v="2015-04-07T00:00:00"/>
    <d v="2015-04-09T00:00:00"/>
    <n v="-580.32000000000005"/>
    <n v="36"/>
    <x v="394"/>
    <n v="8994"/>
    <n v="51240.6"/>
  </r>
  <r>
    <n v="14.81"/>
    <n v="13.32"/>
    <n v="698"/>
    <s v="Nelson Hensley"/>
    <s v="Regular Air"/>
    <s v="Corporate"/>
    <x v="0"/>
    <x v="15"/>
    <s v="Small Box"/>
    <s v="Holmes Replacement Filter for HEPA Air Cleaner, Large Room"/>
    <n v="0.43"/>
    <s v="United States"/>
    <s v="West"/>
    <s v="Washington"/>
    <s v="Seattle"/>
    <n v="98105"/>
    <d v="2015-02-07T00:00:00"/>
    <d v="2015-02-09T00:00:00"/>
    <n v="-253.11"/>
    <n v="79"/>
    <x v="395"/>
    <n v="53410"/>
    <n v="91175.48"/>
  </r>
  <r>
    <n v="5.28"/>
    <n v="5.61"/>
    <n v="699"/>
    <s v="Jenny Gold"/>
    <s v="Regular Air"/>
    <s v="Consumer"/>
    <x v="0"/>
    <x v="7"/>
    <s v="Small Box"/>
    <s v="Xerox 1954"/>
    <n v="0.4"/>
    <s v="United States"/>
    <s v="West"/>
    <s v="California"/>
    <s v="Los Angeles"/>
    <n v="90041"/>
    <d v="2015-04-23T00:00:00"/>
    <d v="2015-04-24T00:00:00"/>
    <n v="-16.670000000000002"/>
    <n v="5"/>
    <x v="396"/>
    <n v="44517"/>
    <n v="162.5"/>
  </r>
  <r>
    <n v="6.47"/>
    <n v="1.22"/>
    <n v="699"/>
    <s v="Jenny Gold"/>
    <s v="Regular Air"/>
    <s v="Consumer"/>
    <x v="0"/>
    <x v="0"/>
    <s v="Wrap Bag"/>
    <s v="Staples Pen Style Liquid Stix; Assorted (yellow, pink, green, blue, orange), 5/Pack"/>
    <n v="0.4"/>
    <s v="United States"/>
    <s v="West"/>
    <s v="California"/>
    <s v="Los Angeles"/>
    <n v="90041"/>
    <d v="2015-06-06T00:00:00"/>
    <d v="2015-06-07T00:00:00"/>
    <n v="40.200000000000003"/>
    <n v="30"/>
    <x v="397"/>
    <n v="55392"/>
    <n v="5818.5"/>
  </r>
  <r>
    <n v="2.84"/>
    <n v="0.93"/>
    <n v="699"/>
    <s v="Jenny Gold"/>
    <s v="Regular Air"/>
    <s v="Consumer"/>
    <x v="0"/>
    <x v="0"/>
    <s v="Wrap Bag"/>
    <s v="SANFORD Liquid Accent™ Tank-Style Highlighters"/>
    <n v="0.54"/>
    <s v="United States"/>
    <s v="West"/>
    <s v="California"/>
    <s v="Los Angeles"/>
    <n v="90041"/>
    <d v="2015-06-06T00:00:00"/>
    <d v="2015-06-08T00:00:00"/>
    <n v="3.21"/>
    <n v="59"/>
    <x v="398"/>
    <n v="55392"/>
    <n v="9369.2000000000007"/>
  </r>
  <r>
    <n v="7.89"/>
    <n v="2.82"/>
    <n v="699"/>
    <s v="Jenny Gold"/>
    <s v="Regular Air"/>
    <s v="Consumer"/>
    <x v="0"/>
    <x v="3"/>
    <s v="Wrap Bag"/>
    <s v="Staples Vinyl Coated Paper Clips, 800/Box"/>
    <n v="0.4"/>
    <s v="United States"/>
    <s v="West"/>
    <s v="California"/>
    <s v="Los Angeles"/>
    <n v="90041"/>
    <d v="2015-06-30T00:00:00"/>
    <d v="2015-07-01T00:00:00"/>
    <n v="38.700000000000003"/>
    <n v="32"/>
    <x v="399"/>
    <n v="36647"/>
    <n v="8776.32"/>
  </r>
  <r>
    <n v="3.68"/>
    <n v="1.32"/>
    <n v="699"/>
    <s v="Jenny Gold"/>
    <s v="Regular Air"/>
    <s v="Consumer"/>
    <x v="0"/>
    <x v="12"/>
    <s v="Wrap Bag"/>
    <s v="*Staples* vLetter Openers, 2/Pack"/>
    <n v="0.83"/>
    <s v="United States"/>
    <s v="West"/>
    <s v="California"/>
    <s v="Los Angeles"/>
    <n v="90041"/>
    <d v="2015-06-30T00:00:00"/>
    <d v="2015-07-01T00:00:00"/>
    <n v="-21.91"/>
    <n v="24"/>
    <x v="400"/>
    <n v="36647"/>
    <n v="1995.84"/>
  </r>
  <r>
    <n v="9.7100000000000009"/>
    <n v="9.4499999999999993"/>
    <n v="699"/>
    <s v="Jenny Gold"/>
    <s v="Regular Air"/>
    <s v="Consumer"/>
    <x v="0"/>
    <x v="10"/>
    <s v="Small Box"/>
    <s v="Filing/Storage Totes and Swivel Casters"/>
    <n v="0.6"/>
    <s v="United States"/>
    <s v="West"/>
    <s v="California"/>
    <s v="Los Angeles"/>
    <n v="90041"/>
    <d v="2015-06-30T00:00:00"/>
    <d v="2015-07-03T00:00:00"/>
    <n v="-119.77"/>
    <n v="27"/>
    <x v="401"/>
    <n v="36647"/>
    <n v="7072.1100000000006"/>
  </r>
  <r>
    <n v="5.0199999999999996"/>
    <n v="5.14"/>
    <n v="699"/>
    <s v="Jenny Gold"/>
    <s v="Regular Air"/>
    <s v="Consumer"/>
    <x v="2"/>
    <x v="13"/>
    <s v="Small Pack"/>
    <s v="Imation 3.5, DISKETTE 44766 HGHLD3.52HD/FM, 10/Pack"/>
    <n v="0.79"/>
    <s v="United States"/>
    <s v="West"/>
    <s v="California"/>
    <s v="Los Angeles"/>
    <n v="90041"/>
    <d v="2015-01-29T00:00:00"/>
    <d v="2015-01-31T00:00:00"/>
    <n v="-168.72"/>
    <n v="42"/>
    <x v="402"/>
    <n v="32420"/>
    <n v="8824.1999999999989"/>
  </r>
  <r>
    <n v="280.98"/>
    <n v="57"/>
    <n v="699"/>
    <s v="Jenny Gold"/>
    <s v="Delivery Truck"/>
    <s v="Consumer"/>
    <x v="1"/>
    <x v="1"/>
    <s v="Jumbo Drum"/>
    <s v="Hon 2090 “Pillow Soft” Series Mid Back Swivel/Tilt Chairs"/>
    <n v="0.78"/>
    <s v="United States"/>
    <s v="West"/>
    <s v="California"/>
    <s v="Los Angeles"/>
    <n v="90041"/>
    <d v="2015-01-29T00:00:00"/>
    <d v="2015-01-31T00:00:00"/>
    <n v="-439.62"/>
    <n v="23"/>
    <x v="403"/>
    <n v="32420"/>
    <n v="149497.01"/>
  </r>
  <r>
    <n v="4.26"/>
    <n v="1.2"/>
    <n v="699"/>
    <s v="Jenny Gold"/>
    <s v="Regular Air"/>
    <s v="Consumer"/>
    <x v="0"/>
    <x v="0"/>
    <s v="Wrap Bag"/>
    <s v="Dixon Prang® Watercolor Pencils, 10-Color Set with Brush"/>
    <n v="0.44"/>
    <s v="United States"/>
    <s v="West"/>
    <s v="California"/>
    <s v="Los Angeles"/>
    <n v="90041"/>
    <d v="2015-05-20T00:00:00"/>
    <d v="2015-05-21T00:00:00"/>
    <n v="15.42"/>
    <n v="88"/>
    <x v="404"/>
    <n v="3042"/>
    <n v="30937.279999999999"/>
  </r>
  <r>
    <n v="4.26"/>
    <n v="1.2"/>
    <n v="700"/>
    <s v="Joseph Grossman"/>
    <s v="Regular Air"/>
    <s v="Consumer"/>
    <x v="0"/>
    <x v="0"/>
    <s v="Wrap Bag"/>
    <s v="Dixon Prang® Watercolor Pencils, 10-Color Set with Brush"/>
    <n v="0.44"/>
    <s v="United States"/>
    <s v="West"/>
    <s v="California"/>
    <s v="Santa Maria"/>
    <n v="93454"/>
    <d v="2015-05-20T00:00:00"/>
    <d v="2015-05-21T00:00:00"/>
    <n v="33.923999999999999"/>
    <n v="22"/>
    <x v="405"/>
    <n v="87980"/>
    <n v="1933.58"/>
  </r>
  <r>
    <n v="5.28"/>
    <n v="5.61"/>
    <n v="702"/>
    <s v="Kelly O'Connor"/>
    <s v="Regular Air"/>
    <s v="Consumer"/>
    <x v="0"/>
    <x v="7"/>
    <s v="Small Box"/>
    <s v="Xerox 1954"/>
    <n v="0.4"/>
    <s v="United States"/>
    <s v="West"/>
    <s v="California"/>
    <s v="Santa Rosa"/>
    <n v="95404"/>
    <d v="2015-04-23T00:00:00"/>
    <d v="2015-04-24T00:00:00"/>
    <n v="-16.670000000000002"/>
    <n v="1"/>
    <x v="406"/>
    <n v="87977"/>
    <n v="6.5"/>
  </r>
  <r>
    <n v="7.89"/>
    <n v="2.82"/>
    <n v="702"/>
    <s v="Kelly O'Connor"/>
    <s v="Regular Air"/>
    <s v="Consumer"/>
    <x v="0"/>
    <x v="3"/>
    <s v="Wrap Bag"/>
    <s v="Staples Vinyl Coated Paper Clips, 800/Box"/>
    <n v="0.4"/>
    <s v="United States"/>
    <s v="West"/>
    <s v="California"/>
    <s v="Santa Rosa"/>
    <n v="95404"/>
    <d v="2015-06-30T00:00:00"/>
    <d v="2015-07-01T00:00:00"/>
    <n v="46.44"/>
    <n v="8"/>
    <x v="407"/>
    <n v="87979"/>
    <n v="548.48"/>
  </r>
  <r>
    <n v="3.68"/>
    <n v="1.32"/>
    <n v="702"/>
    <s v="Kelly O'Connor"/>
    <s v="Regular Air"/>
    <s v="Consumer"/>
    <x v="0"/>
    <x v="12"/>
    <s v="Wrap Bag"/>
    <s v="*Staples* vLetter Openers, 2/Pack"/>
    <n v="0.83"/>
    <s v="United States"/>
    <s v="West"/>
    <s v="California"/>
    <s v="Santa Rosa"/>
    <n v="95404"/>
    <d v="2015-06-30T00:00:00"/>
    <d v="2015-07-01T00:00:00"/>
    <n v="-17.527999999999999"/>
    <n v="6"/>
    <x v="408"/>
    <n v="87979"/>
    <n v="124.74"/>
  </r>
  <r>
    <n v="9.7100000000000009"/>
    <n v="9.4499999999999993"/>
    <n v="702"/>
    <s v="Kelly O'Connor"/>
    <s v="Regular Air"/>
    <s v="Consumer"/>
    <x v="0"/>
    <x v="10"/>
    <s v="Small Box"/>
    <s v="Filing/Storage Totes and Swivel Casters"/>
    <n v="0.6"/>
    <s v="United States"/>
    <s v="West"/>
    <s v="California"/>
    <s v="Santa Rosa"/>
    <n v="95404"/>
    <d v="2015-06-30T00:00:00"/>
    <d v="2015-07-03T00:00:00"/>
    <n v="-95.816000000000003"/>
    <n v="7"/>
    <x v="409"/>
    <n v="87979"/>
    <n v="475.37"/>
  </r>
  <r>
    <n v="2.84"/>
    <n v="0.93"/>
    <n v="711"/>
    <s v="Pam Anthony"/>
    <s v="Regular Air"/>
    <s v="Consumer"/>
    <x v="0"/>
    <x v="0"/>
    <s v="Wrap Bag"/>
    <s v="SANFORD Liquid Accent™ Tank-Style Highlighters"/>
    <n v="0.54"/>
    <s v="United States"/>
    <s v="East"/>
    <s v="Massachusetts"/>
    <s v="Winthrop"/>
    <n v="2152"/>
    <d v="2015-06-06T00:00:00"/>
    <d v="2015-06-08T00:00:00"/>
    <n v="3.8519999999999999"/>
    <n v="15"/>
    <x v="410"/>
    <n v="87978"/>
    <n v="605.54999999999995"/>
  </r>
  <r>
    <n v="8.5"/>
    <n v="1.99"/>
    <n v="719"/>
    <s v="Stephen Lam"/>
    <s v="Regular Air"/>
    <s v="Corporate"/>
    <x v="2"/>
    <x v="13"/>
    <s v="Small Pack"/>
    <s v="Hewlett-Packard 4.7GB DVD+R Discs"/>
    <n v="0.49"/>
    <s v="United States"/>
    <s v="West"/>
    <s v="Nevada"/>
    <s v="Pahrump"/>
    <n v="89041"/>
    <d v="2015-02-28T00:00:00"/>
    <d v="2015-03-02T00:00:00"/>
    <n v="71.735600000000005"/>
    <n v="14"/>
    <x v="411"/>
    <n v="89344"/>
    <n v="1711.5"/>
  </r>
  <r>
    <n v="95.43"/>
    <n v="19.989999999999998"/>
    <n v="719"/>
    <s v="Stephen Lam"/>
    <s v="Regular Air"/>
    <s v="Corporate"/>
    <x v="0"/>
    <x v="10"/>
    <s v="Small Box"/>
    <s v="Fellowes Stor/Drawer® Steel Plus™ Storage Drawers"/>
    <n v="0.79"/>
    <s v="United States"/>
    <s v="West"/>
    <s v="Nevada"/>
    <s v="Pahrump"/>
    <n v="89041"/>
    <d v="2015-02-28T00:00:00"/>
    <d v="2015-03-02T00:00:00"/>
    <n v="-79.320800000000006"/>
    <n v="2"/>
    <x v="412"/>
    <n v="89344"/>
    <n v="412.18"/>
  </r>
  <r>
    <n v="10.64"/>
    <n v="5.16"/>
    <n v="721"/>
    <s v="Melvin Duke"/>
    <s v="Regular Air"/>
    <s v="Corporate"/>
    <x v="1"/>
    <x v="2"/>
    <s v="Small Box"/>
    <s v="Eldon Expressions Punched Metal &amp; Wood Desk Accessories, Pewter &amp; Cherry"/>
    <n v="0.56999999999999995"/>
    <s v="United States"/>
    <s v="Central"/>
    <s v="Indiana"/>
    <s v="Frankfort"/>
    <n v="46041"/>
    <d v="2015-06-24T00:00:00"/>
    <d v="2015-06-25T00:00:00"/>
    <n v="24.096"/>
    <n v="6"/>
    <x v="413"/>
    <n v="91053"/>
    <n v="401.40000000000003"/>
  </r>
  <r>
    <n v="2.78"/>
    <n v="1.34"/>
    <n v="721"/>
    <s v="Melvin Duke"/>
    <s v="Express Air"/>
    <s v="Corporate"/>
    <x v="0"/>
    <x v="0"/>
    <s v="Wrap Bag"/>
    <s v="Prang Drawing Pencil Set"/>
    <n v="0.45"/>
    <s v="United States"/>
    <s v="Central"/>
    <s v="Indiana"/>
    <s v="Frankfort"/>
    <n v="46041"/>
    <d v="2015-06-24T00:00:00"/>
    <d v="2015-06-26T00:00:00"/>
    <n v="6.9720000000000004"/>
    <n v="15"/>
    <x v="414"/>
    <n v="91053"/>
    <n v="646.95000000000005"/>
  </r>
  <r>
    <n v="7.28"/>
    <n v="11.15"/>
    <n v="721"/>
    <s v="Melvin Duke"/>
    <s v="Regular Air"/>
    <s v="Corporate"/>
    <x v="0"/>
    <x v="7"/>
    <s v="Small Box"/>
    <s v="Array® Parchment Paper, Assorted Colors"/>
    <n v="0.37"/>
    <s v="United States"/>
    <s v="Central"/>
    <s v="Indiana"/>
    <s v="Frankfort"/>
    <n v="46041"/>
    <d v="2015-04-11T00:00:00"/>
    <d v="2015-04-13T00:00:00"/>
    <n v="-24.245999999999999"/>
    <n v="1"/>
    <x v="415"/>
    <n v="91054"/>
    <n v="11.21"/>
  </r>
  <r>
    <n v="125.99"/>
    <n v="8.99"/>
    <n v="724"/>
    <s v="Beverly Cooke Brooks"/>
    <s v="Regular Air"/>
    <s v="Consumer"/>
    <x v="2"/>
    <x v="5"/>
    <s v="Small Box"/>
    <s v="SC7868i"/>
    <n v="0.55000000000000004"/>
    <s v="United States"/>
    <s v="East"/>
    <s v="Connecticut"/>
    <s v="Stratford"/>
    <n v="6614"/>
    <d v="2015-03-15T00:00:00"/>
    <d v="2015-03-16T00:00:00"/>
    <n v="-605.37400000000002"/>
    <n v="1"/>
    <x v="416"/>
    <n v="90359"/>
    <n v="100.38"/>
  </r>
  <r>
    <n v="17.98"/>
    <n v="4"/>
    <n v="727"/>
    <s v="Lindsay Link"/>
    <s v="Regular Air"/>
    <s v="Consumer"/>
    <x v="2"/>
    <x v="13"/>
    <s v="Small Box"/>
    <s v="Belkin 107-key enhanced keyboard, USB/PS/2 interface"/>
    <n v="0.79"/>
    <s v="United States"/>
    <s v="East"/>
    <s v="Maine"/>
    <s v="Lewiston"/>
    <n v="4240"/>
    <d v="2015-03-15T00:00:00"/>
    <d v="2015-03-16T00:00:00"/>
    <n v="-99.55"/>
    <n v="4"/>
    <x v="288"/>
    <n v="90359"/>
    <n v="265.27999999999997"/>
  </r>
  <r>
    <n v="101.41"/>
    <n v="35"/>
    <n v="731"/>
    <s v="June Herbert"/>
    <s v="Regular Air"/>
    <s v="Consumer"/>
    <x v="0"/>
    <x v="10"/>
    <s v="Large Box"/>
    <s v="Tennsco Regal Shelving Units"/>
    <n v="0.82"/>
    <s v="United States"/>
    <s v="East"/>
    <s v="Massachusetts"/>
    <s v="Burlington"/>
    <n v="1803"/>
    <d v="2015-04-26T00:00:00"/>
    <d v="2015-04-27T00:00:00"/>
    <n v="-801.15480000000002"/>
    <n v="12"/>
    <x v="417"/>
    <n v="90362"/>
    <n v="14139.84"/>
  </r>
  <r>
    <n v="350.98"/>
    <n v="30"/>
    <n v="736"/>
    <s v="Meredith Walters"/>
    <s v="Delivery Truck"/>
    <s v="Consumer"/>
    <x v="1"/>
    <x v="1"/>
    <s v="Jumbo Drum"/>
    <s v="Office Star - Professional Matrix Back Chair with 2-to-1 Synchro Tilt and Mesh Fabric Seat"/>
    <n v="0.61"/>
    <s v="United States"/>
    <s v="East"/>
    <s v="New Hampshire"/>
    <s v="Salem"/>
    <n v="3079"/>
    <d v="2015-06-15T00:00:00"/>
    <d v="2015-06-17T00:00:00"/>
    <n v="797.85599999999999"/>
    <n v="6"/>
    <x v="418"/>
    <n v="90361"/>
    <n v="12097.92"/>
  </r>
  <r>
    <n v="48.04"/>
    <n v="5.79"/>
    <n v="737"/>
    <s v="Danny Vaughn"/>
    <s v="Regular Air"/>
    <s v="Consumer"/>
    <x v="0"/>
    <x v="7"/>
    <s v="Small Box"/>
    <s v="Xerox 1937"/>
    <n v="0.37"/>
    <s v="United States"/>
    <s v="East"/>
    <s v="New Jersey"/>
    <s v="Bloomfield"/>
    <n v="7003"/>
    <d v="2015-06-07T00:00:00"/>
    <d v="2015-06-14T00:00:00"/>
    <n v="422.45249999999999"/>
    <n v="12"/>
    <x v="419"/>
    <n v="90360"/>
    <n v="7347"/>
  </r>
  <r>
    <n v="70.98"/>
    <n v="46.74"/>
    <n v="738"/>
    <s v="Peggy Rowe"/>
    <s v="Delivery Truck"/>
    <s v="Consumer"/>
    <x v="1"/>
    <x v="14"/>
    <s v="Jumbo Box"/>
    <s v="Hon Metal Bookcases, Putty"/>
    <n v="0.56000000000000005"/>
    <s v="United States"/>
    <s v="East"/>
    <s v="New Jersey"/>
    <s v="Cranford"/>
    <n v="7016"/>
    <d v="2015-06-15T00:00:00"/>
    <d v="2015-06-16T00:00:00"/>
    <n v="-178.21600000000001"/>
    <n v="4"/>
    <x v="420"/>
    <n v="90361"/>
    <n v="1254.52"/>
  </r>
  <r>
    <n v="27.48"/>
    <n v="4"/>
    <n v="741"/>
    <s v="Stacey Hale"/>
    <s v="Regular Air"/>
    <s v="Consumer"/>
    <x v="2"/>
    <x v="13"/>
    <s v="Small Box"/>
    <s v="Belkin MediaBoard 104- Keyboard"/>
    <n v="0.75"/>
    <s v="United States"/>
    <s v="East"/>
    <s v="New Jersey"/>
    <s v="Summit"/>
    <n v="7901"/>
    <d v="2015-06-15T00:00:00"/>
    <d v="2015-06-17T00:00:00"/>
    <n v="-26.655999999999999"/>
    <n v="15"/>
    <x v="421"/>
    <n v="90361"/>
    <n v="5957.55"/>
  </r>
  <r>
    <n v="59.98"/>
    <n v="3.99"/>
    <n v="744"/>
    <s v="Joy Maxwell"/>
    <s v="Regular Air"/>
    <s v="Corporate"/>
    <x v="0"/>
    <x v="15"/>
    <s v="Small Box"/>
    <s v="Belkin 8 Outlet SurgeMaster II Gold Surge Protector"/>
    <n v="0.56999999999999995"/>
    <s v="United States"/>
    <s v="West"/>
    <s v="Arizona"/>
    <s v="Oro Valley"/>
    <n v="85737"/>
    <d v="2015-01-28T00:00:00"/>
    <d v="2015-02-06T00:00:00"/>
    <n v="-54.622"/>
    <n v="1"/>
    <x v="422"/>
    <n v="87725"/>
    <n v="63.48"/>
  </r>
  <r>
    <n v="5.18"/>
    <n v="5.74"/>
    <n v="744"/>
    <s v="Joy Maxwell"/>
    <s v="Regular Air"/>
    <s v="Corporate"/>
    <x v="0"/>
    <x v="8"/>
    <s v="Small Box"/>
    <s v="Wilson Jones Impact Binders"/>
    <n v="0.36"/>
    <s v="United States"/>
    <s v="West"/>
    <s v="Arizona"/>
    <s v="Oro Valley"/>
    <n v="85737"/>
    <d v="2015-01-28T00:00:00"/>
    <d v="2015-02-01T00:00:00"/>
    <n v="-126.81417999999999"/>
    <n v="9"/>
    <x v="423"/>
    <n v="87725"/>
    <n v="428.76"/>
  </r>
  <r>
    <n v="119.99"/>
    <n v="56.14"/>
    <n v="744"/>
    <s v="Joy Maxwell"/>
    <s v="Delivery Truck"/>
    <s v="Consumer"/>
    <x v="2"/>
    <x v="6"/>
    <s v="Jumbo Box"/>
    <s v="Hewlett-Packard 2600DN Business Color Inkjet Printer"/>
    <n v="0.39"/>
    <s v="United States"/>
    <s v="West"/>
    <s v="Arizona"/>
    <s v="Oro Valley"/>
    <n v="85737"/>
    <d v="2015-01-17T00:00:00"/>
    <d v="2015-01-19T00:00:00"/>
    <n v="1400.1"/>
    <n v="13"/>
    <x v="424"/>
    <n v="87726"/>
    <n v="20092.54"/>
  </r>
  <r>
    <n v="125.99"/>
    <n v="8.99"/>
    <n v="744"/>
    <s v="Joy Maxwell"/>
    <s v="Regular Air"/>
    <s v="Consumer"/>
    <x v="2"/>
    <x v="5"/>
    <s v="Small Box"/>
    <s v="SC7868i"/>
    <n v="0.55000000000000004"/>
    <s v="United States"/>
    <s v="West"/>
    <s v="Arizona"/>
    <s v="Oro Valley"/>
    <n v="85737"/>
    <d v="2015-05-25T00:00:00"/>
    <d v="2015-06-02T00:00:00"/>
    <n v="916.68060000000003"/>
    <n v="20"/>
    <x v="425"/>
    <n v="87727"/>
    <n v="42099.799999999996"/>
  </r>
  <r>
    <n v="115.79"/>
    <n v="1.99"/>
    <n v="745"/>
    <s v="Mary Page"/>
    <s v="Regular Air"/>
    <s v="Consumer"/>
    <x v="2"/>
    <x v="13"/>
    <s v="Small Pack"/>
    <s v="Verbatim DVD-R, 4.7GB, Spindle, WE, Blank, Ink Jet/Thermal, 20/Spindle"/>
    <n v="0.49"/>
    <s v="United States"/>
    <s v="West"/>
    <s v="Arizona"/>
    <s v="Peoria"/>
    <n v="85345"/>
    <d v="2015-01-17T00:00:00"/>
    <d v="2015-01-19T00:00:00"/>
    <n v="67.599999999999994"/>
    <n v="3"/>
    <x v="426"/>
    <n v="87726"/>
    <n v="1059.3000000000002"/>
  </r>
  <r>
    <n v="27.75"/>
    <n v="19.989999999999998"/>
    <n v="750"/>
    <s v="Jordan Wilkinson"/>
    <s v="Regular Air"/>
    <s v="Corporate"/>
    <x v="0"/>
    <x v="10"/>
    <s v="Small Box"/>
    <s v="Fellowes Super Stor/Drawer®"/>
    <n v="0.67"/>
    <s v="United States"/>
    <s v="South"/>
    <s v="Kentucky"/>
    <s v="Florence"/>
    <n v="41042"/>
    <d v="2015-01-12T00:00:00"/>
    <d v="2015-01-13T00:00:00"/>
    <n v="-224.64400000000001"/>
    <n v="10"/>
    <x v="427"/>
    <n v="91200"/>
    <n v="2575.1999999999998"/>
  </r>
  <r>
    <n v="130.97999999999999"/>
    <n v="54.74"/>
    <n v="751"/>
    <s v="David Wrenn"/>
    <s v="Delivery Truck"/>
    <s v="Corporate"/>
    <x v="1"/>
    <x v="14"/>
    <s v="Jumbo Box"/>
    <s v="O'Sullivan Elevations Bookcase, Cherry Finish"/>
    <n v="0.69"/>
    <s v="United States"/>
    <s v="South"/>
    <s v="Kentucky"/>
    <s v="Georgetown"/>
    <n v="40324"/>
    <d v="2015-02-27T00:00:00"/>
    <d v="2015-03-06T00:00:00"/>
    <n v="14.76"/>
    <n v="3"/>
    <x v="428"/>
    <n v="91201"/>
    <n v="1234.92"/>
  </r>
  <r>
    <n v="2.61"/>
    <n v="0.5"/>
    <n v="753"/>
    <s v="Elisabeth Massey"/>
    <s v="Express Air"/>
    <s v="Corporate"/>
    <x v="0"/>
    <x v="9"/>
    <s v="Small Box"/>
    <s v="Avery 479"/>
    <n v="0.39"/>
    <s v="United States"/>
    <s v="West"/>
    <s v="Arizona"/>
    <s v="Prescott"/>
    <n v="86301"/>
    <d v="2015-03-11T00:00:00"/>
    <d v="2015-03-11T00:00:00"/>
    <n v="10.85"/>
    <n v="1"/>
    <x v="429"/>
    <n v="90438"/>
    <n v="17.59"/>
  </r>
  <r>
    <n v="6.35"/>
    <n v="1.02"/>
    <n v="753"/>
    <s v="Elisabeth Massey"/>
    <s v="Regular Air"/>
    <s v="Corporate"/>
    <x v="0"/>
    <x v="7"/>
    <s v="Wrap Bag"/>
    <s v="Telephone Message Books with Fax/Mobile Section, 5 1/2&quot; x 3 3/16&quot;"/>
    <n v="0.39"/>
    <s v="United States"/>
    <s v="West"/>
    <s v="Arizona"/>
    <s v="Prescott"/>
    <n v="86301"/>
    <d v="2015-03-11T00:00:00"/>
    <d v="2015-03-13T00:00:00"/>
    <n v="97.662599999999998"/>
    <n v="22"/>
    <x v="430"/>
    <n v="90438"/>
    <n v="3113.8799999999997"/>
  </r>
  <r>
    <n v="218.75"/>
    <n v="69.64"/>
    <n v="754"/>
    <s v="Helen Lyons"/>
    <s v="Delivery Truck"/>
    <s v="Corporate"/>
    <x v="1"/>
    <x v="11"/>
    <s v="Jumbo Box"/>
    <s v="BoxOffice By Design Rectangular and Half-Moon Meeting Room Tables"/>
    <n v="0.77"/>
    <s v="United States"/>
    <s v="West"/>
    <s v="Arizona"/>
    <s v="Prescott Valley"/>
    <n v="86314"/>
    <d v="2015-06-04T00:00:00"/>
    <d v="2015-06-05T00:00:00"/>
    <n v="-453.2"/>
    <n v="4"/>
    <x v="431"/>
    <n v="90437"/>
    <n v="3621.6"/>
  </r>
  <r>
    <n v="119.99"/>
    <n v="14"/>
    <n v="754"/>
    <s v="Helen Lyons"/>
    <s v="Delivery Truck"/>
    <s v="Consumer"/>
    <x v="2"/>
    <x v="6"/>
    <s v="Jumbo Drum"/>
    <s v="Epson C82 Color Inkjet Printer"/>
    <n v="0.36"/>
    <s v="United States"/>
    <s v="West"/>
    <s v="Arizona"/>
    <s v="Prescott Valley"/>
    <n v="86314"/>
    <d v="2015-04-12T00:00:00"/>
    <d v="2015-04-19T00:00:00"/>
    <n v="-207.679788"/>
    <n v="2"/>
    <x v="432"/>
    <n v="90439"/>
    <n v="487.72"/>
  </r>
  <r>
    <n v="37.94"/>
    <n v="5.08"/>
    <n v="757"/>
    <s v="Neil Hogan"/>
    <s v="Regular Air"/>
    <s v="Home Office"/>
    <x v="0"/>
    <x v="7"/>
    <s v="Wrap Bag"/>
    <s v="Snap-A-Way® Black Print Carbonless Ruled Speed Letter, Triplicate"/>
    <n v="0.38"/>
    <s v="United States"/>
    <s v="West"/>
    <s v="Oregon"/>
    <s v="Tualatin"/>
    <n v="97062"/>
    <d v="2015-02-11T00:00:00"/>
    <d v="2015-02-13T00:00:00"/>
    <n v="-7.5244"/>
    <n v="1"/>
    <x v="433"/>
    <n v="90258"/>
    <n v="39.97"/>
  </r>
  <r>
    <n v="20.99"/>
    <n v="3.3"/>
    <n v="759"/>
    <s v="Bernice F Day"/>
    <s v="Regular Air"/>
    <s v="Small Business"/>
    <x v="2"/>
    <x v="5"/>
    <s v="Small Pack"/>
    <s v="Accessory39"/>
    <n v="0.81"/>
    <s v="United States"/>
    <s v="Central"/>
    <s v="Illinois"/>
    <s v="Quincy"/>
    <n v="62301"/>
    <d v="2015-05-29T00:00:00"/>
    <d v="2015-06-05T00:00:00"/>
    <n v="-92.960999999999999"/>
    <n v="5"/>
    <x v="434"/>
    <n v="86639"/>
    <n v="464.79999999999995"/>
  </r>
  <r>
    <n v="125.99"/>
    <n v="8.99"/>
    <n v="762"/>
    <s v="Stuart Holloway"/>
    <s v="Regular Air"/>
    <s v="Small Business"/>
    <x v="2"/>
    <x v="5"/>
    <s v="Small Box"/>
    <s v="5170i"/>
    <n v="0.56999999999999995"/>
    <s v="United States"/>
    <s v="West"/>
    <s v="Washington"/>
    <s v="Vancouver"/>
    <n v="98661"/>
    <d v="2015-04-27T00:00:00"/>
    <d v="2015-04-29T00:00:00"/>
    <n v="613.89576"/>
    <n v="12"/>
    <x v="435"/>
    <n v="87525"/>
    <n v="16346.400000000001"/>
  </r>
  <r>
    <n v="31.78"/>
    <n v="1.99"/>
    <n v="767"/>
    <s v="Jeffrey Mueller"/>
    <s v="Regular Air"/>
    <s v="Corporate"/>
    <x v="2"/>
    <x v="13"/>
    <s v="Small Pack"/>
    <s v="Memorex 4.7GB DVD-RAM, 3/Pack"/>
    <n v="0.42"/>
    <s v="United States"/>
    <s v="Central"/>
    <s v="Illinois"/>
    <s v="Rock Island"/>
    <n v="61201"/>
    <d v="2015-01-30T00:00:00"/>
    <d v="2015-02-01T00:00:00"/>
    <n v="232.2816"/>
    <n v="11"/>
    <x v="436"/>
    <n v="86279"/>
    <n v="3703.04"/>
  </r>
  <r>
    <n v="30.73"/>
    <n v="4"/>
    <n v="770"/>
    <s v="Geraldine Puckett"/>
    <s v="Regular Air"/>
    <s v="Small Business"/>
    <x v="2"/>
    <x v="13"/>
    <s v="Small Box"/>
    <s v="Fellowes 17-key keypad for PS/2 interface"/>
    <n v="0.75"/>
    <s v="United States"/>
    <s v="West"/>
    <s v="Oregon"/>
    <s v="Tualatin"/>
    <n v="97062"/>
    <d v="2015-03-19T00:00:00"/>
    <d v="2015-03-19T00:00:00"/>
    <n v="-45.07"/>
    <n v="14"/>
    <x v="437"/>
    <n v="88667"/>
    <n v="6010.62"/>
  </r>
  <r>
    <n v="14.56"/>
    <n v="3.5"/>
    <n v="771"/>
    <s v="Deborah Paul"/>
    <s v="Regular Air"/>
    <s v="Small Business"/>
    <x v="0"/>
    <x v="15"/>
    <s v="Small Box"/>
    <s v="Acco 6 Outlet Guardian Premium Surge Suppressor"/>
    <n v="0.57999999999999996"/>
    <s v="United States"/>
    <s v="West"/>
    <s v="Oregon"/>
    <s v="West Linn"/>
    <n v="97068"/>
    <d v="2015-03-19T00:00:00"/>
    <d v="2015-03-21T00:00:00"/>
    <n v="-8.5299999999999994"/>
    <n v="3"/>
    <x v="438"/>
    <n v="88667"/>
    <n v="133.97999999999999"/>
  </r>
  <r>
    <n v="299.99"/>
    <n v="11.64"/>
    <n v="771"/>
    <s v="Deborah Paul"/>
    <s v="Regular Air"/>
    <s v="Small Business"/>
    <x v="2"/>
    <x v="16"/>
    <s v="Large Box"/>
    <s v="Brother DCP1000 Digital 3 in 1 Multifunction Machine"/>
    <n v="0.5"/>
    <s v="United States"/>
    <s v="West"/>
    <s v="Oregon"/>
    <s v="West Linn"/>
    <n v="97068"/>
    <d v="2015-03-19T00:00:00"/>
    <d v="2015-03-21T00:00:00"/>
    <n v="285.95"/>
    <n v="5"/>
    <x v="439"/>
    <n v="88667"/>
    <n v="8099.75"/>
  </r>
  <r>
    <n v="7.77"/>
    <n v="9.23"/>
    <n v="772"/>
    <s v="Jean Webster"/>
    <s v="Regular Air"/>
    <s v="Small Business"/>
    <x v="0"/>
    <x v="15"/>
    <s v="Small Box"/>
    <s v="Hoover Commercial Soft Guard Upright Vacuum And Disposable Filtration Bags"/>
    <n v="0.57999999999999996"/>
    <s v="United States"/>
    <s v="East"/>
    <s v="Pennsylvania"/>
    <s v="Allentown"/>
    <n v="18103"/>
    <d v="2015-01-14T00:00:00"/>
    <d v="2015-01-16T00:00:00"/>
    <n v="-209.25"/>
    <n v="7"/>
    <x v="440"/>
    <n v="88666"/>
    <n v="395.08"/>
  </r>
  <r>
    <n v="18.97"/>
    <n v="9.5399999999999991"/>
    <n v="772"/>
    <s v="Jean Webster"/>
    <s v="Express Air"/>
    <s v="Small Business"/>
    <x v="0"/>
    <x v="7"/>
    <s v="Small Box"/>
    <s v="Xerox 1939"/>
    <n v="0.37"/>
    <s v="United States"/>
    <s v="East"/>
    <s v="Pennsylvania"/>
    <s v="Allentown"/>
    <n v="18103"/>
    <d v="2015-01-14T00:00:00"/>
    <d v="2015-01-16T00:00:00"/>
    <n v="-9.1636000000000006"/>
    <n v="3"/>
    <x v="441"/>
    <n v="88666"/>
    <n v="170.19"/>
  </r>
  <r>
    <n v="4.0599999999999996"/>
    <n v="6.89"/>
    <n v="772"/>
    <s v="Jean Webster"/>
    <s v="Express Air"/>
    <s v="Small Business"/>
    <x v="0"/>
    <x v="15"/>
    <s v="Small Box"/>
    <s v="Eureka Disposable Bags for Sanitaire® Vibra Groomer I® Upright Vac"/>
    <n v="0.6"/>
    <s v="United States"/>
    <s v="East"/>
    <s v="Pennsylvania"/>
    <s v="Allentown"/>
    <n v="18103"/>
    <d v="2015-05-17T00:00:00"/>
    <d v="2015-05-21T00:00:00"/>
    <n v="12.706"/>
    <n v="12"/>
    <x v="442"/>
    <n v="88668"/>
    <n v="772.92"/>
  </r>
  <r>
    <n v="9.49"/>
    <n v="5.76"/>
    <n v="772"/>
    <s v="Jean Webster"/>
    <s v="Regular Air"/>
    <s v="Small Business"/>
    <x v="2"/>
    <x v="6"/>
    <s v="Medium Box"/>
    <s v="Sharp EL501VB Scientific Calculator, Battery Operated, 10-Digit Display, Hard Case"/>
    <n v="0.39"/>
    <s v="United States"/>
    <s v="East"/>
    <s v="Pennsylvania"/>
    <s v="Allentown"/>
    <n v="18103"/>
    <d v="2015-05-17T00:00:00"/>
    <d v="2015-05-21T00:00:00"/>
    <n v="7.71516"/>
    <n v="37"/>
    <x v="443"/>
    <n v="88668"/>
    <n v="12749.09"/>
  </r>
  <r>
    <n v="34.76"/>
    <n v="5.49"/>
    <n v="782"/>
    <s v="Sarah N Becker"/>
    <s v="Regular Air"/>
    <s v="Small Business"/>
    <x v="0"/>
    <x v="10"/>
    <s v="Small Box"/>
    <s v="Home/Office Personal File Carts"/>
    <n v="0.6"/>
    <s v="United States"/>
    <s v="West"/>
    <s v="California"/>
    <s v="Whittier"/>
    <n v="90604"/>
    <d v="2015-04-29T00:00:00"/>
    <d v="2015-04-30T00:00:00"/>
    <n v="192.51689999999999"/>
    <n v="8"/>
    <x v="444"/>
    <n v="90962"/>
    <n v="2232.08"/>
  </r>
  <r>
    <n v="100.98"/>
    <n v="35.840000000000003"/>
    <n v="783"/>
    <s v="Carlos Byrd"/>
    <s v="Delivery Truck"/>
    <s v="Small Business"/>
    <x v="1"/>
    <x v="14"/>
    <s v="Jumbo Box"/>
    <s v="Bush Westfield Collection Bookcases, Fully Assembled"/>
    <n v="0.62"/>
    <s v="United States"/>
    <s v="East"/>
    <s v="Connecticut"/>
    <s v="Bristol"/>
    <n v="6010"/>
    <d v="2015-01-06T00:00:00"/>
    <d v="2015-01-06T00:00:00"/>
    <n v="-134.91200000000001"/>
    <n v="6"/>
    <x v="445"/>
    <n v="90961"/>
    <n v="3689.94"/>
  </r>
  <r>
    <n v="8.34"/>
    <n v="4.82"/>
    <n v="786"/>
    <s v="Jason Bray"/>
    <s v="Regular Air"/>
    <s v="Home Office"/>
    <x v="0"/>
    <x v="7"/>
    <s v="Small Box"/>
    <s v="Southworth 25% Cotton Antique Laid Paper &amp; Envelopes"/>
    <n v="0.4"/>
    <s v="United States"/>
    <s v="West"/>
    <s v="California"/>
    <s v="Mission Viejo"/>
    <n v="92691"/>
    <d v="2015-04-06T00:00:00"/>
    <d v="2015-04-07T00:00:00"/>
    <n v="-5.05"/>
    <n v="9"/>
    <x v="446"/>
    <n v="91513"/>
    <n v="686.07"/>
  </r>
  <r>
    <n v="6.48"/>
    <n v="9.68"/>
    <n v="792"/>
    <s v="Holly Pate"/>
    <s v="Regular Air"/>
    <s v="Corporate"/>
    <x v="0"/>
    <x v="7"/>
    <s v="Small Box"/>
    <s v="Xerox 1993"/>
    <n v="0.36"/>
    <s v="United States"/>
    <s v="Central"/>
    <s v="Oklahoma"/>
    <s v="Mustang"/>
    <n v="73064"/>
    <d v="2015-06-21T00:00:00"/>
    <d v="2015-06-22T00:00:00"/>
    <n v="-204.16"/>
    <n v="16"/>
    <x v="447"/>
    <n v="88753"/>
    <n v="1598.72"/>
  </r>
  <r>
    <n v="8.6"/>
    <n v="6.19"/>
    <n v="796"/>
    <s v="Amanda Conner"/>
    <s v="Regular Air"/>
    <s v="Corporate"/>
    <x v="0"/>
    <x v="8"/>
    <s v="Small Box"/>
    <s v="Avery Printable Repositionable Plastic Tabs"/>
    <n v="0.38"/>
    <s v="United States"/>
    <s v="Central"/>
    <s v="Nebraska"/>
    <s v="Papillion"/>
    <n v="68046"/>
    <d v="2015-03-11T00:00:00"/>
    <d v="2015-03-12T00:00:00"/>
    <n v="-46.115000000000002"/>
    <n v="9"/>
    <x v="448"/>
    <n v="86867"/>
    <n v="714.6"/>
  </r>
  <r>
    <n v="14.42"/>
    <n v="6.75"/>
    <n v="796"/>
    <s v="Amanda Conner"/>
    <s v="Regular Air"/>
    <s v="Corporate"/>
    <x v="0"/>
    <x v="15"/>
    <s v="Medium Box"/>
    <s v="Holmes Odor Grabber"/>
    <n v="0.52"/>
    <s v="United States"/>
    <s v="Central"/>
    <s v="Nebraska"/>
    <s v="Papillion"/>
    <n v="68046"/>
    <d v="2015-06-19T00:00:00"/>
    <d v="2015-06-22T00:00:00"/>
    <n v="-20.103999999999999"/>
    <n v="1"/>
    <x v="449"/>
    <n v="86869"/>
    <n v="15.49"/>
  </r>
  <r>
    <n v="9.11"/>
    <n v="2.25"/>
    <n v="797"/>
    <s v="Eileen Riddle"/>
    <s v="Regular Air"/>
    <s v="Corporate"/>
    <x v="0"/>
    <x v="0"/>
    <s v="Wrap Bag"/>
    <s v="Dixon Ticonderoga Core-Lock Colored Pencils"/>
    <n v="0.52"/>
    <s v="United States"/>
    <s v="West"/>
    <s v="Utah"/>
    <s v="Roy"/>
    <n v="84067"/>
    <d v="2015-06-01T00:00:00"/>
    <d v="2015-06-04T00:00:00"/>
    <n v="-3.496"/>
    <n v="2"/>
    <x v="450"/>
    <n v="86868"/>
    <n v="37.18"/>
  </r>
  <r>
    <n v="64.650000000000006"/>
    <n v="35"/>
    <n v="797"/>
    <s v="Eileen Riddle"/>
    <s v="Regular Air"/>
    <s v="Corporate"/>
    <x v="0"/>
    <x v="10"/>
    <s v="Large Box"/>
    <s v="Space Solutions Commercial Steel Shelving"/>
    <n v="0.8"/>
    <s v="United States"/>
    <s v="West"/>
    <s v="Utah"/>
    <s v="Roy"/>
    <n v="84067"/>
    <d v="2015-06-01T00:00:00"/>
    <d v="2015-06-03T00:00:00"/>
    <n v="-717.072"/>
    <n v="13"/>
    <x v="451"/>
    <n v="86868"/>
    <n v="10843.04"/>
  </r>
  <r>
    <n v="6.48"/>
    <n v="6.86"/>
    <n v="797"/>
    <s v="Eileen Riddle"/>
    <s v="Regular Air"/>
    <s v="Corporate"/>
    <x v="0"/>
    <x v="7"/>
    <s v="Small Box"/>
    <s v="Xerox 204"/>
    <n v="0.37"/>
    <s v="United States"/>
    <s v="West"/>
    <s v="Utah"/>
    <s v="Roy"/>
    <n v="84067"/>
    <d v="2015-03-06T00:00:00"/>
    <d v="2015-03-08T00:00:00"/>
    <n v="-62.23"/>
    <n v="8"/>
    <x v="452"/>
    <n v="86870"/>
    <n v="407.04"/>
  </r>
  <r>
    <n v="150.97999999999999"/>
    <n v="30"/>
    <n v="799"/>
    <s v="Lee McKenna Gregory"/>
    <s v="Delivery Truck"/>
    <s v="Consumer"/>
    <x v="1"/>
    <x v="1"/>
    <s v="Jumbo Drum"/>
    <s v="Novimex Swivel Fabric Task Chair"/>
    <n v="0.74"/>
    <s v="United States"/>
    <s v="South"/>
    <s v="South Carolina"/>
    <s v="Hilton Head Island"/>
    <n v="29915"/>
    <d v="2015-01-06T00:00:00"/>
    <d v="2015-01-08T00:00:00"/>
    <n v="131.38200000000001"/>
    <n v="6"/>
    <x v="453"/>
    <n v="89909"/>
    <n v="5750.76"/>
  </r>
  <r>
    <n v="28.28"/>
    <n v="13.99"/>
    <n v="799"/>
    <s v="Lee McKenna Gregory"/>
    <s v="Express Air"/>
    <s v="Consumer"/>
    <x v="0"/>
    <x v="10"/>
    <s v="Medium Box"/>
    <s v="Eldon Portable Mobile Manager"/>
    <n v="0.57999999999999996"/>
    <s v="United States"/>
    <s v="South"/>
    <s v="South Carolina"/>
    <s v="Hilton Head Island"/>
    <n v="29915"/>
    <d v="2015-01-06T00:00:00"/>
    <d v="2015-01-08T00:00:00"/>
    <n v="-89.292000000000002"/>
    <n v="12"/>
    <x v="454"/>
    <n v="89909"/>
    <n v="4426.08"/>
  </r>
  <r>
    <n v="35.99"/>
    <n v="1.1000000000000001"/>
    <n v="799"/>
    <s v="Lee McKenna Gregory"/>
    <s v="Regular Air"/>
    <s v="Consumer"/>
    <x v="2"/>
    <x v="5"/>
    <s v="Small Box"/>
    <s v="Accessory35"/>
    <n v="0.55000000000000004"/>
    <s v="United States"/>
    <s v="South"/>
    <s v="South Carolina"/>
    <s v="Hilton Head Island"/>
    <n v="29915"/>
    <d v="2015-01-06T00:00:00"/>
    <d v="2015-01-07T00:00:00"/>
    <n v="-211.036"/>
    <n v="1"/>
    <x v="455"/>
    <n v="89909"/>
    <n v="30.86"/>
  </r>
  <r>
    <n v="50.98"/>
    <n v="6.5"/>
    <n v="800"/>
    <s v="Cheryl Guthrie"/>
    <s v="Regular Air"/>
    <s v="Consumer"/>
    <x v="2"/>
    <x v="13"/>
    <s v="Small Box"/>
    <s v="Microsoft Natural Multimedia Keyboard"/>
    <n v="0.73"/>
    <s v="United States"/>
    <s v="West"/>
    <s v="Utah"/>
    <s v="Roy"/>
    <n v="84067"/>
    <d v="2015-03-28T00:00:00"/>
    <d v="2015-04-03T00:00:00"/>
    <n v="-13.28"/>
    <n v="11"/>
    <x v="456"/>
    <n v="89910"/>
    <n v="6250.75"/>
  </r>
  <r>
    <n v="6.48"/>
    <n v="5.14"/>
    <n v="800"/>
    <s v="Cheryl Guthrie"/>
    <s v="Regular Air"/>
    <s v="Consumer"/>
    <x v="0"/>
    <x v="7"/>
    <s v="Small Box"/>
    <s v="Xerox 23"/>
    <n v="0.37"/>
    <s v="United States"/>
    <s v="West"/>
    <s v="Utah"/>
    <s v="Roy"/>
    <n v="84067"/>
    <d v="2015-03-28T00:00:00"/>
    <d v="2015-03-30T00:00:00"/>
    <n v="-48.68"/>
    <n v="19"/>
    <x v="457"/>
    <n v="89910"/>
    <n v="2406.54"/>
  </r>
  <r>
    <n v="35.99"/>
    <n v="5"/>
    <n v="803"/>
    <s v="Marianne Goldstein"/>
    <s v="Regular Air"/>
    <s v="Small Business"/>
    <x v="2"/>
    <x v="5"/>
    <s v="Small Box"/>
    <s v="Accessory27"/>
    <n v="0.85"/>
    <s v="United States"/>
    <s v="South"/>
    <s v="Florida"/>
    <s v="New Smyrna Beach"/>
    <n v="32168"/>
    <d v="2015-04-29T00:00:00"/>
    <d v="2015-04-30T00:00:00"/>
    <n v="-184.548"/>
    <n v="3"/>
    <x v="458"/>
    <n v="90048"/>
    <n v="281.45999999999998"/>
  </r>
  <r>
    <n v="179.99"/>
    <n v="13.99"/>
    <n v="806"/>
    <s v="Judy Singer"/>
    <s v="Express Air"/>
    <s v="Small Business"/>
    <x v="2"/>
    <x v="5"/>
    <s v="Medium Box"/>
    <s v="VTech VT20-2481 2.4GHz Two-Line Phone System w/Answering Machine"/>
    <n v="0.56999999999999995"/>
    <s v="United States"/>
    <s v="South"/>
    <s v="Florida"/>
    <s v="Miami"/>
    <n v="33132"/>
    <d v="2015-01-09T00:00:00"/>
    <d v="2015-01-11T00:00:00"/>
    <n v="1220.03784"/>
    <n v="54"/>
    <x v="459"/>
    <n v="40547"/>
    <n v="449977.14"/>
  </r>
  <r>
    <n v="5.84"/>
    <n v="0.83"/>
    <n v="820"/>
    <s v="Catherine Mullins"/>
    <s v="Regular Air"/>
    <s v="Small Business"/>
    <x v="0"/>
    <x v="0"/>
    <s v="Wrap Bag"/>
    <s v="Avery Hi-Liter® Smear-Safe Highlighters"/>
    <n v="0.49"/>
    <s v="United States"/>
    <s v="West"/>
    <s v="Washington"/>
    <s v="Walla Walla"/>
    <n v="99362"/>
    <d v="2015-05-21T00:00:00"/>
    <d v="2015-05-25T00:00:00"/>
    <n v="-2.87"/>
    <n v="1"/>
    <x v="460"/>
    <n v="90244"/>
    <n v="5.9"/>
  </r>
  <r>
    <n v="6.24"/>
    <n v="5.22"/>
    <n v="823"/>
    <s v="Christian Albright"/>
    <s v="Regular Air"/>
    <s v="Small Business"/>
    <x v="1"/>
    <x v="2"/>
    <s v="Small Box"/>
    <s v="Eldon Expressions Mahogany Wood Desk Collection"/>
    <n v="0.6"/>
    <s v="United States"/>
    <s v="South"/>
    <s v="Tennessee"/>
    <s v="Smyrna"/>
    <n v="37167"/>
    <d v="2015-01-12T00:00:00"/>
    <d v="2015-01-17T00:00:00"/>
    <n v="4.3808999999999996"/>
    <n v="13"/>
    <x v="461"/>
    <n v="89257"/>
    <n v="1042.99"/>
  </r>
  <r>
    <n v="260.98"/>
    <n v="41.91"/>
    <n v="824"/>
    <s v="Joann Moser"/>
    <s v="Delivery Truck"/>
    <s v="Small Business"/>
    <x v="1"/>
    <x v="14"/>
    <s v="Jumbo Box"/>
    <s v="Atlantic Metals Mobile 3-Shelf Bookcases, Custom Colors"/>
    <n v="0.59"/>
    <s v="United States"/>
    <s v="South"/>
    <s v="Tennessee"/>
    <s v="Spring Hill"/>
    <n v="37174"/>
    <d v="2015-01-12T00:00:00"/>
    <d v="2015-01-19T00:00:00"/>
    <n v="-100.744"/>
    <n v="8"/>
    <x v="462"/>
    <n v="89257"/>
    <n v="16359.2"/>
  </r>
  <r>
    <n v="11.97"/>
    <n v="4.9800000000000004"/>
    <n v="825"/>
    <s v="Marvin Hunt"/>
    <s v="Regular Air"/>
    <s v="Home Office"/>
    <x v="0"/>
    <x v="15"/>
    <s v="Small Box"/>
    <s v="Staples 6 Outlet Surge"/>
    <n v="0.57999999999999996"/>
    <s v="United States"/>
    <s v="Central"/>
    <s v="Texas"/>
    <s v="Abilene"/>
    <n v="79605"/>
    <d v="2015-05-21T00:00:00"/>
    <d v="2015-05-24T00:00:00"/>
    <n v="3.3839999999999999"/>
    <n v="4"/>
    <x v="463"/>
    <n v="89258"/>
    <n v="213.2"/>
  </r>
  <r>
    <n v="6.98"/>
    <n v="1.6"/>
    <n v="827"/>
    <s v="Sheryl Marsh"/>
    <s v="Regular Air"/>
    <s v="Home Office"/>
    <x v="0"/>
    <x v="7"/>
    <s v="Wrap Bag"/>
    <s v="Adams Phone Message Book, Professional, 400 Message Capacity, 5 3/6” x 11”"/>
    <n v="0.38"/>
    <s v="United States"/>
    <s v="Central"/>
    <s v="Texas"/>
    <s v="Amarillo"/>
    <n v="79109"/>
    <d v="2015-05-25T00:00:00"/>
    <d v="2015-05-26T00:00:00"/>
    <n v="0.34599999999999997"/>
    <n v="3"/>
    <x v="464"/>
    <n v="89259"/>
    <n v="65.789999999999992"/>
  </r>
  <r>
    <n v="5.18"/>
    <n v="2.04"/>
    <n v="829"/>
    <s v="Monica Law Thompson"/>
    <s v="Regular Air"/>
    <s v="Corporate"/>
    <x v="0"/>
    <x v="7"/>
    <s v="Wrap Bag"/>
    <s v="Array® Memo Cubes"/>
    <n v="0.36"/>
    <s v="United States"/>
    <s v="South"/>
    <s v="Arkansas"/>
    <s v="Texarkana"/>
    <n v="71854"/>
    <d v="2015-02-22T00:00:00"/>
    <d v="2015-02-24T00:00:00"/>
    <n v="-17.654"/>
    <n v="5"/>
    <x v="178"/>
    <n v="90271"/>
    <n v="142.30000000000001"/>
  </r>
  <r>
    <n v="14.42"/>
    <n v="6.75"/>
    <n v="830"/>
    <s v="Douglas Sutton"/>
    <s v="Regular Air"/>
    <s v="Corporate"/>
    <x v="0"/>
    <x v="15"/>
    <s v="Medium Box"/>
    <s v="Holmes Odor Grabber"/>
    <n v="0.52"/>
    <s v="United States"/>
    <s v="West"/>
    <s v="Colorado"/>
    <s v="Wheat Ridge"/>
    <n v="80033"/>
    <d v="2015-01-24T00:00:00"/>
    <d v="2015-01-24T00:00:00"/>
    <n v="-13.826000000000001"/>
    <n v="6"/>
    <x v="465"/>
    <n v="90270"/>
    <n v="539.46"/>
  </r>
  <r>
    <n v="11.66"/>
    <n v="8.99"/>
    <n v="833"/>
    <s v="Gerald Love"/>
    <s v="Express Air"/>
    <s v="Corporate"/>
    <x v="0"/>
    <x v="0"/>
    <s v="Small Pack"/>
    <s v="Boston 16765 Mini Stand Up Battery Pencil Sharpener"/>
    <n v="0.59"/>
    <s v="United States"/>
    <s v="West"/>
    <s v="California"/>
    <s v="Gilroy"/>
    <n v="95020"/>
    <d v="2015-01-09T00:00:00"/>
    <d v="2015-01-11T00:00:00"/>
    <n v="-203.67"/>
    <n v="11"/>
    <x v="466"/>
    <n v="89770"/>
    <n v="1523.61"/>
  </r>
  <r>
    <n v="6.08"/>
    <n v="0.91"/>
    <n v="850"/>
    <s v="Jesse Hutchinson"/>
    <s v="Regular Air"/>
    <s v="Corporate"/>
    <x v="0"/>
    <x v="0"/>
    <s v="Wrap Bag"/>
    <s v="Zebra Zazzle Fluorescent Highlighters"/>
    <n v="0.51"/>
    <s v="United States"/>
    <s v="West"/>
    <s v="California"/>
    <s v="Goleta"/>
    <n v="93117"/>
    <d v="2015-03-07T00:00:00"/>
    <d v="2015-03-08T00:00:00"/>
    <n v="19.57"/>
    <n v="7"/>
    <x v="467"/>
    <n v="88569"/>
    <n v="293.72000000000003"/>
  </r>
  <r>
    <n v="50.98"/>
    <n v="22.24"/>
    <n v="851"/>
    <s v="Helen H Heller"/>
    <s v="Regular Air"/>
    <s v="Corporate"/>
    <x v="1"/>
    <x v="2"/>
    <s v="Large Box"/>
    <s v="Dana Fluorescent Magnifying Lamp, White, 36&quot;"/>
    <n v="0.55000000000000004"/>
    <s v="United States"/>
    <s v="West"/>
    <s v="California"/>
    <s v="Hacienda Heights"/>
    <n v="91745"/>
    <d v="2015-02-25T00:00:00"/>
    <d v="2015-02-27T00:00:00"/>
    <n v="98.12"/>
    <n v="6"/>
    <x v="468"/>
    <n v="88568"/>
    <n v="1803.78"/>
  </r>
  <r>
    <n v="19.899999999999999"/>
    <n v="5.29"/>
    <n v="851"/>
    <s v="Helen H Heller"/>
    <s v="Regular Air"/>
    <s v="Corporate"/>
    <x v="0"/>
    <x v="15"/>
    <s v="Medium Box"/>
    <s v="Holmes Cool Mist Humidifier for the Whole House with 8-Gallon Output per Day, Extended Life Filter"/>
    <n v="0.4"/>
    <s v="United States"/>
    <s v="West"/>
    <s v="California"/>
    <s v="Hacienda Heights"/>
    <n v="91745"/>
    <d v="2015-03-07T00:00:00"/>
    <d v="2015-03-09T00:00:00"/>
    <n v="107.11"/>
    <n v="13"/>
    <x v="469"/>
    <n v="88569"/>
    <n v="3125.98"/>
  </r>
  <r>
    <n v="3.36"/>
    <n v="6.27"/>
    <n v="851"/>
    <s v="Helen H Heller"/>
    <s v="Regular Air"/>
    <s v="Corporate"/>
    <x v="0"/>
    <x v="8"/>
    <s v="Small Box"/>
    <s v="Cardinal Poly Pocket Divider Pockets for Ring Binders"/>
    <n v="0.4"/>
    <s v="United States"/>
    <s v="West"/>
    <s v="California"/>
    <s v="Hacienda Heights"/>
    <n v="91745"/>
    <d v="2015-03-07T00:00:00"/>
    <d v="2015-03-09T00:00:00"/>
    <n v="-216.154"/>
    <n v="21"/>
    <x v="470"/>
    <n v="88569"/>
    <n v="1555.68"/>
  </r>
  <r>
    <n v="1.26"/>
    <n v="0.7"/>
    <n v="851"/>
    <s v="Helen H Heller"/>
    <s v="Regular Air"/>
    <s v="Corporate"/>
    <x v="0"/>
    <x v="3"/>
    <s v="Wrap Bag"/>
    <s v="Bagged Rubber Bands"/>
    <n v="0.81"/>
    <s v="United States"/>
    <s v="West"/>
    <s v="California"/>
    <s v="Hacienda Heights"/>
    <n v="91745"/>
    <d v="2015-04-30T00:00:00"/>
    <d v="2015-04-30T00:00:00"/>
    <n v="-6.6096000000000004"/>
    <n v="4"/>
    <x v="471"/>
    <n v="88571"/>
    <n v="21.12"/>
  </r>
  <r>
    <n v="4.24"/>
    <n v="5.41"/>
    <n v="853"/>
    <s v="Leah Davenport"/>
    <s v="Regular Air"/>
    <s v="Small Business"/>
    <x v="0"/>
    <x v="8"/>
    <s v="Small Box"/>
    <s v="Storex DuraTech Recycled Plastic Frosted Binders"/>
    <n v="0.35"/>
    <s v="United States"/>
    <s v="West"/>
    <s v="California"/>
    <s v="Hesperia"/>
    <n v="92345"/>
    <d v="2015-03-16T00:00:00"/>
    <d v="2015-03-18T00:00:00"/>
    <n v="-89.216999999999999"/>
    <n v="12"/>
    <x v="472"/>
    <n v="88570"/>
    <n v="609.96"/>
  </r>
  <r>
    <n v="1.76"/>
    <n v="0.7"/>
    <n v="854"/>
    <s v="Karen Hendricks"/>
    <s v="Regular Air"/>
    <s v="Corporate"/>
    <x v="0"/>
    <x v="0"/>
    <s v="Wrap Bag"/>
    <s v="Newell 310"/>
    <n v="0.56000000000000005"/>
    <s v="United States"/>
    <s v="East"/>
    <s v="Connecticut"/>
    <s v="Branford"/>
    <n v="6405"/>
    <d v="2015-04-30T00:00:00"/>
    <d v="2015-05-02T00:00:00"/>
    <n v="1.2236"/>
    <n v="22"/>
    <x v="473"/>
    <n v="88571"/>
    <n v="863.71999999999991"/>
  </r>
  <r>
    <n v="24.98"/>
    <n v="8.7899999999999991"/>
    <n v="855"/>
    <s v="Jacob Lanier"/>
    <s v="Regular Air"/>
    <s v="Corporate"/>
    <x v="0"/>
    <x v="10"/>
    <s v="Small Box"/>
    <s v="2300 Heavy-Duty Transfer File Systems by Perma"/>
    <n v="0.66"/>
    <s v="United States"/>
    <s v="East"/>
    <s v="Connecticut"/>
    <s v="Danbury"/>
    <n v="6810"/>
    <d v="2015-04-30T00:00:00"/>
    <d v="2015-05-01T00:00:00"/>
    <n v="4.3148"/>
    <n v="23"/>
    <x v="474"/>
    <n v="88571"/>
    <n v="13949.73"/>
  </r>
  <r>
    <n v="35.99"/>
    <n v="5.99"/>
    <n v="858"/>
    <s v="Arthur Brady"/>
    <s v="Express Air"/>
    <s v="Corporate"/>
    <x v="2"/>
    <x v="5"/>
    <s v="Wrap Bag"/>
    <s v="Accessory41"/>
    <n v="0.38"/>
    <s v="United States"/>
    <s v="East"/>
    <s v="Maine"/>
    <s v="Lewiston"/>
    <n v="4240"/>
    <d v="2015-04-30T00:00:00"/>
    <d v="2015-05-02T00:00:00"/>
    <n v="-125.83296"/>
    <n v="2"/>
    <x v="475"/>
    <n v="88571"/>
    <n v="129.78"/>
  </r>
  <r>
    <n v="14.2"/>
    <n v="5.3"/>
    <n v="865"/>
    <s v="Dana Burgess"/>
    <s v="Regular Air"/>
    <s v="Corporate"/>
    <x v="1"/>
    <x v="2"/>
    <s v="Wrap Bag"/>
    <s v="Coloredge Poster Frame"/>
    <n v="0.46"/>
    <s v="United States"/>
    <s v="Central"/>
    <s v="Indiana"/>
    <s v="East Chicago"/>
    <n v="46312"/>
    <d v="2015-05-27T00:00:00"/>
    <d v="2015-05-28T00:00:00"/>
    <n v="122.21"/>
    <n v="18"/>
    <x v="476"/>
    <n v="90674"/>
    <n v="4809.5999999999995"/>
  </r>
  <r>
    <n v="6.48"/>
    <n v="5.16"/>
    <n v="865"/>
    <s v="Dana Burgess"/>
    <s v="Express Air"/>
    <s v="Corporate"/>
    <x v="0"/>
    <x v="7"/>
    <s v="Small Box"/>
    <s v="Xerox 1985"/>
    <n v="0.37"/>
    <s v="United States"/>
    <s v="Central"/>
    <s v="Indiana"/>
    <s v="East Chicago"/>
    <n v="46312"/>
    <d v="2015-02-26T00:00:00"/>
    <d v="2015-03-02T00:00:00"/>
    <n v="-11.1332"/>
    <n v="12"/>
    <x v="477"/>
    <n v="90675"/>
    <n v="1041.48"/>
  </r>
  <r>
    <n v="29.18"/>
    <n v="8.5500000000000007"/>
    <n v="868"/>
    <s v="Sharon Ellis"/>
    <s v="Express Air"/>
    <s v="Corporate"/>
    <x v="1"/>
    <x v="2"/>
    <s v="Small Box"/>
    <s v="Deflect-o SuperTray™ Unbreakable Stackable Tray, Letter, Black"/>
    <n v="0.42"/>
    <s v="United States"/>
    <s v="Central"/>
    <s v="Minnesota"/>
    <s v="Shoreview"/>
    <n v="55126"/>
    <d v="2015-02-25T00:00:00"/>
    <d v="2015-02-27T00:00:00"/>
    <n v="201.7353"/>
    <n v="10"/>
    <x v="478"/>
    <n v="91194"/>
    <n v="2923.7"/>
  </r>
  <r>
    <n v="80.98"/>
    <n v="35"/>
    <n v="868"/>
    <s v="Sharon Ellis"/>
    <s v="Regular Air"/>
    <s v="Corporate"/>
    <x v="0"/>
    <x v="10"/>
    <s v="Large Box"/>
    <s v="Carina 42&quot;Hx23 3/4&quot;W Media Storage Unit"/>
    <n v="0.83"/>
    <s v="United States"/>
    <s v="Central"/>
    <s v="Minnesota"/>
    <s v="Shoreview"/>
    <n v="55126"/>
    <d v="2015-02-25T00:00:00"/>
    <d v="2015-02-27T00:00:00"/>
    <n v="-684.78"/>
    <n v="8"/>
    <x v="479"/>
    <n v="91194"/>
    <n v="5462.32"/>
  </r>
  <r>
    <n v="6.48"/>
    <n v="8.8800000000000008"/>
    <n v="868"/>
    <s v="Sharon Ellis"/>
    <s v="Regular Air"/>
    <s v="Corporate"/>
    <x v="0"/>
    <x v="7"/>
    <s v="Small Box"/>
    <s v="Xerox 224"/>
    <n v="0.37"/>
    <s v="United States"/>
    <s v="Central"/>
    <s v="Minnesota"/>
    <s v="Shoreview"/>
    <n v="55126"/>
    <d v="2015-03-06T00:00:00"/>
    <d v="2015-03-07T00:00:00"/>
    <n v="-237.47"/>
    <n v="20"/>
    <x v="480"/>
    <n v="91195"/>
    <n v="2515.4"/>
  </r>
  <r>
    <n v="349.45"/>
    <n v="60"/>
    <n v="868"/>
    <s v="Sharon Ellis"/>
    <s v="Delivery Truck"/>
    <s v="Corporate"/>
    <x v="1"/>
    <x v="11"/>
    <s v="Jumbo Drum"/>
    <s v="SAFCO PlanMaster Heigh-Adjustable Drafting Table Base, 43w x 30d x 30-37h, Black"/>
    <m/>
    <s v="United States"/>
    <s v="Central"/>
    <s v="Minnesota"/>
    <s v="Shoreview"/>
    <n v="55126"/>
    <d v="2015-03-06T00:00:00"/>
    <d v="2015-03-07T00:00:00"/>
    <n v="-2946.0509999999999"/>
    <n v="12"/>
    <x v="481"/>
    <n v="91195"/>
    <n v="47027.76"/>
  </r>
  <r>
    <n v="14.2"/>
    <n v="5.3"/>
    <n v="871"/>
    <s v="Sandy Ellington"/>
    <s v="Regular Air"/>
    <s v="Home Office"/>
    <x v="1"/>
    <x v="2"/>
    <s v="Wrap Bag"/>
    <s v="Coloredge Poster Frame"/>
    <n v="0.46"/>
    <s v="United States"/>
    <s v="West"/>
    <s v="Nevada"/>
    <s v="Reno"/>
    <n v="89502"/>
    <d v="2015-03-15T00:00:00"/>
    <d v="2015-03-17T00:00:00"/>
    <n v="21.555599999999998"/>
    <n v="2"/>
    <x v="482"/>
    <n v="90577"/>
    <n v="62.48"/>
  </r>
  <r>
    <n v="5.94"/>
    <n v="9.92"/>
    <n v="871"/>
    <s v="Sandy Ellington"/>
    <s v="Regular Air"/>
    <s v="Home Office"/>
    <x v="0"/>
    <x v="8"/>
    <s v="Small Box"/>
    <s v="Storex Dura Pro™ Binders"/>
    <n v="0.38"/>
    <s v="United States"/>
    <s v="West"/>
    <s v="Nevada"/>
    <s v="Reno"/>
    <n v="89502"/>
    <d v="2015-05-20T00:00:00"/>
    <d v="2015-05-23T00:00:00"/>
    <n v="-239.315"/>
    <n v="12"/>
    <x v="483"/>
    <n v="90578"/>
    <n v="897.24"/>
  </r>
  <r>
    <n v="6.48"/>
    <n v="5.1100000000000003"/>
    <n v="871"/>
    <s v="Sandy Ellington"/>
    <s v="Regular Air"/>
    <s v="Home Office"/>
    <x v="0"/>
    <x v="7"/>
    <s v="Small Box"/>
    <s v="Xerox 231"/>
    <n v="0.37"/>
    <s v="United States"/>
    <s v="West"/>
    <s v="Nevada"/>
    <s v="Reno"/>
    <n v="89502"/>
    <d v="2015-05-20T00:00:00"/>
    <d v="2015-05-22T00:00:00"/>
    <n v="-33.31"/>
    <n v="18"/>
    <x v="484"/>
    <n v="90578"/>
    <n v="2300.58"/>
  </r>
  <r>
    <n v="4.37"/>
    <n v="5.15"/>
    <n v="875"/>
    <s v="Erika Fink"/>
    <s v="Regular Air"/>
    <s v="Small Business"/>
    <x v="0"/>
    <x v="15"/>
    <s v="Small Box"/>
    <s v="Eureka Sanitaire ® Multi-Pro Heavy-Duty Upright, Disposable Bags"/>
    <n v="0.59"/>
    <s v="United States"/>
    <s v="West"/>
    <s v="Utah"/>
    <s v="Salt Lake City"/>
    <n v="84106"/>
    <d v="2015-02-21T00:00:00"/>
    <d v="2015-02-22T00:00:00"/>
    <n v="-74.479600000000005"/>
    <n v="18"/>
    <x v="485"/>
    <n v="89059"/>
    <n v="1414.6200000000001"/>
  </r>
  <r>
    <n v="155.99"/>
    <n v="8.99"/>
    <n v="875"/>
    <s v="Erika Fink"/>
    <s v="Regular Air"/>
    <s v="Small Business"/>
    <x v="2"/>
    <x v="5"/>
    <s v="Small Box"/>
    <s v="CF 688"/>
    <n v="0.57999999999999996"/>
    <s v="United States"/>
    <s v="West"/>
    <s v="Utah"/>
    <s v="Salt Lake City"/>
    <n v="84106"/>
    <d v="2015-02-21T00:00:00"/>
    <d v="2015-02-23T00:00:00"/>
    <n v="-232.22056000000001"/>
    <n v="4"/>
    <x v="486"/>
    <n v="89059"/>
    <n v="1988.44"/>
  </r>
  <r>
    <n v="5.68"/>
    <n v="1.39"/>
    <n v="880"/>
    <s v="Ellen Beck"/>
    <s v="Regular Air"/>
    <s v="Small Business"/>
    <x v="0"/>
    <x v="4"/>
    <s v="Small Box"/>
    <s v="Staples Standard Envelopes"/>
    <n v="0.38"/>
    <s v="United States"/>
    <s v="West"/>
    <s v="Arizona"/>
    <s v="Scottsdale"/>
    <n v="85254"/>
    <d v="2015-03-25T00:00:00"/>
    <d v="2015-03-27T00:00:00"/>
    <n v="18.643799999999999"/>
    <n v="5"/>
    <x v="487"/>
    <n v="86153"/>
    <n v="135.1"/>
  </r>
  <r>
    <n v="22.84"/>
    <n v="11.54"/>
    <n v="880"/>
    <s v="Ellen Beck"/>
    <s v="Regular Air"/>
    <s v="Small Business"/>
    <x v="0"/>
    <x v="7"/>
    <s v="Small Box"/>
    <s v="Xerox 1964"/>
    <n v="0.39"/>
    <s v="United States"/>
    <s v="West"/>
    <s v="Arizona"/>
    <s v="Scottsdale"/>
    <n v="85254"/>
    <d v="2015-03-25T00:00:00"/>
    <d v="2015-03-27T00:00:00"/>
    <n v="-31.24"/>
    <n v="1"/>
    <x v="488"/>
    <n v="86153"/>
    <n v="27.67"/>
  </r>
  <r>
    <n v="25.98"/>
    <n v="14.36"/>
    <n v="885"/>
    <s v="Malcolm Robertson"/>
    <s v="Delivery Truck"/>
    <s v="Corporate"/>
    <x v="1"/>
    <x v="1"/>
    <s v="Jumbo Drum"/>
    <s v="Global Stack Chair without Arms, Black"/>
    <n v="0.6"/>
    <s v="United States"/>
    <s v="Central"/>
    <s v="Texas"/>
    <s v="Amarillo"/>
    <n v="79109"/>
    <d v="2015-05-24T00:00:00"/>
    <d v="2015-05-25T00:00:00"/>
    <n v="55.887999999999998"/>
    <n v="41"/>
    <x v="489"/>
    <n v="89537"/>
    <n v="42375.96"/>
  </r>
  <r>
    <n v="1.81"/>
    <n v="0.75"/>
    <n v="890"/>
    <s v="Billie Fowler"/>
    <s v="Regular Air"/>
    <s v="Consumer"/>
    <x v="1"/>
    <x v="1"/>
    <s v="Jumbo Drum"/>
    <s v="Metal Folding Chairs, Beige, 4/Carton"/>
    <n v="0.57999999999999996"/>
    <s v="United States"/>
    <s v="Central"/>
    <s v="Texas"/>
    <s v="Bedford"/>
    <n v="76021"/>
    <d v="2015-01-05T00:00:00"/>
    <d v="2015-01-06T00:00:00"/>
    <n v="1.3224"/>
    <n v="11"/>
    <x v="490"/>
    <n v="89536"/>
    <n v="219.67"/>
  </r>
  <r>
    <n v="125.99"/>
    <n v="5.26"/>
    <n v="890"/>
    <s v="Billie Fowler"/>
    <s v="Regular Air"/>
    <s v="Consumer"/>
    <x v="2"/>
    <x v="5"/>
    <s v="Small Box"/>
    <n v="232"/>
    <n v="0.55000000000000004"/>
    <s v="United States"/>
    <s v="Central"/>
    <s v="Texas"/>
    <s v="Bedford"/>
    <n v="76021"/>
    <d v="2015-01-05T00:00:00"/>
    <d v="2015-01-05T00:00:00"/>
    <n v="455.42070000000001"/>
    <n v="6"/>
    <x v="491"/>
    <n v="89536"/>
    <n v="3960.18"/>
  </r>
  <r>
    <n v="8.34"/>
    <n v="0.96"/>
    <n v="894"/>
    <s v="Gail Rankin Cole"/>
    <s v="Regular Air"/>
    <s v="Corporate"/>
    <x v="1"/>
    <x v="2"/>
    <s v="Wrap Bag"/>
    <s v="Document Clip Frames"/>
    <n v="0.43"/>
    <s v="United States"/>
    <s v="East"/>
    <s v="District of Columbia"/>
    <s v="Washington"/>
    <n v="20024"/>
    <d v="2015-01-10T00:00:00"/>
    <d v="2015-01-12T00:00:00"/>
    <n v="29.332000000000001"/>
    <n v="24"/>
    <x v="492"/>
    <n v="14596"/>
    <n v="4778.88"/>
  </r>
  <r>
    <n v="3.28"/>
    <n v="3.97"/>
    <n v="894"/>
    <s v="Gail Rankin Cole"/>
    <s v="Regular Air"/>
    <s v="Corporate"/>
    <x v="0"/>
    <x v="0"/>
    <s v="Wrap Bag"/>
    <s v="Newell 337"/>
    <n v="0.56000000000000005"/>
    <s v="United States"/>
    <s v="East"/>
    <s v="District of Columbia"/>
    <s v="Washington"/>
    <n v="20024"/>
    <d v="2015-01-10T00:00:00"/>
    <d v="2015-01-11T00:00:00"/>
    <n v="-86"/>
    <n v="19"/>
    <x v="493"/>
    <n v="14596"/>
    <n v="1199.6600000000001"/>
  </r>
  <r>
    <n v="1.1399999999999999"/>
    <n v="0.7"/>
    <n v="894"/>
    <s v="Gail Rankin Cole"/>
    <s v="Regular Air"/>
    <s v="Corporate"/>
    <x v="0"/>
    <x v="3"/>
    <s v="Wrap Bag"/>
    <s v="OIC Thumb-Tacks"/>
    <n v="0.38"/>
    <s v="United States"/>
    <s v="East"/>
    <s v="District of Columbia"/>
    <s v="Washington"/>
    <n v="20024"/>
    <d v="2015-02-02T00:00:00"/>
    <d v="2015-02-02T00:00:00"/>
    <n v="-0.49"/>
    <n v="38"/>
    <x v="494"/>
    <n v="38529"/>
    <n v="1704.3"/>
  </r>
  <r>
    <n v="8.34"/>
    <n v="0.96"/>
    <n v="896"/>
    <s v="Jennifer Siegel"/>
    <s v="Regular Air"/>
    <s v="Corporate"/>
    <x v="1"/>
    <x v="2"/>
    <s v="Wrap Bag"/>
    <s v="Document Clip Frames"/>
    <n v="0.43"/>
    <s v="United States"/>
    <s v="Central"/>
    <s v="Texas"/>
    <s v="Denton"/>
    <n v="76201"/>
    <d v="2015-01-10T00:00:00"/>
    <d v="2015-01-12T00:00:00"/>
    <n v="34.348199999999999"/>
    <n v="6"/>
    <x v="495"/>
    <n v="90166"/>
    <n v="298.68"/>
  </r>
  <r>
    <n v="3.28"/>
    <n v="3.97"/>
    <n v="896"/>
    <s v="Jennifer Siegel"/>
    <s v="Regular Air"/>
    <s v="Corporate"/>
    <x v="0"/>
    <x v="0"/>
    <s v="Wrap Bag"/>
    <s v="Newell 337"/>
    <n v="0.56000000000000005"/>
    <s v="United States"/>
    <s v="Central"/>
    <s v="Texas"/>
    <s v="Denton"/>
    <n v="76201"/>
    <d v="2015-01-10T00:00:00"/>
    <d v="2015-01-11T00:00:00"/>
    <n v="-66.650000000000006"/>
    <n v="5"/>
    <x v="496"/>
    <n v="90166"/>
    <n v="83.100000000000009"/>
  </r>
  <r>
    <n v="47.98"/>
    <n v="3.61"/>
    <n v="896"/>
    <s v="Jennifer Siegel"/>
    <s v="Regular Air"/>
    <s v="Corporate"/>
    <x v="2"/>
    <x v="13"/>
    <s v="Small Pack"/>
    <s v="DS/HD IBM Formatted Diskettes, 200/Pack - Staples"/>
    <n v="0.71"/>
    <s v="United States"/>
    <s v="Central"/>
    <s v="Texas"/>
    <s v="Denton"/>
    <n v="76201"/>
    <d v="2015-06-20T00:00:00"/>
    <d v="2015-06-22T00:00:00"/>
    <n v="35.954999999999998"/>
    <n v="11"/>
    <x v="497"/>
    <n v="90167"/>
    <n v="5694.48"/>
  </r>
  <r>
    <n v="90.97"/>
    <n v="28"/>
    <n v="898"/>
    <s v="Harriet Hodges"/>
    <s v="Delivery Truck"/>
    <s v="Small Business"/>
    <x v="2"/>
    <x v="6"/>
    <s v="Jumbo Drum"/>
    <s v="Lexmark Z55se Color Inkjet Printer"/>
    <n v="0.38"/>
    <s v="United States"/>
    <s v="East"/>
    <s v="New York"/>
    <s v="New York City"/>
    <n v="10039"/>
    <d v="2015-01-12T00:00:00"/>
    <d v="2015-01-13T00:00:00"/>
    <n v="-173.09520000000001"/>
    <n v="6"/>
    <x v="498"/>
    <n v="33635"/>
    <n v="3439.8599999999997"/>
  </r>
  <r>
    <n v="20.34"/>
    <n v="35"/>
    <n v="898"/>
    <s v="Harriet Hodges"/>
    <s v="Regular Air"/>
    <s v="Small Business"/>
    <x v="0"/>
    <x v="10"/>
    <s v="Large Box"/>
    <s v="Tennsco Commercial Shelving"/>
    <n v="0.84"/>
    <s v="United States"/>
    <s v="East"/>
    <s v="New York"/>
    <s v="New York City"/>
    <n v="10039"/>
    <d v="2015-01-12T00:00:00"/>
    <d v="2015-01-13T00:00:00"/>
    <n v="-96.16"/>
    <n v="5"/>
    <x v="499"/>
    <n v="33635"/>
    <n v="701.15"/>
  </r>
  <r>
    <n v="12.53"/>
    <n v="0.49"/>
    <n v="898"/>
    <s v="Harriet Hodges"/>
    <s v="Regular Air"/>
    <s v="Small Business"/>
    <x v="0"/>
    <x v="9"/>
    <s v="Small Box"/>
    <s v="Round Specialty Laser Printer Labels"/>
    <n v="0.38"/>
    <s v="United States"/>
    <s v="East"/>
    <s v="New York"/>
    <s v="New York City"/>
    <n v="10039"/>
    <d v="2015-01-27T00:00:00"/>
    <d v="2015-01-27T00:00:00"/>
    <n v="263.39999999999998"/>
    <n v="47"/>
    <x v="500"/>
    <n v="9606"/>
    <n v="27938.680000000004"/>
  </r>
  <r>
    <n v="5.18"/>
    <n v="2.04"/>
    <n v="898"/>
    <s v="Harriet Hodges"/>
    <s v="Express Air"/>
    <s v="Small Business"/>
    <x v="0"/>
    <x v="7"/>
    <s v="Wrap Bag"/>
    <s v="Array® Memo Cubes"/>
    <n v="0.36"/>
    <s v="United States"/>
    <s v="East"/>
    <s v="New York"/>
    <s v="New York City"/>
    <n v="10039"/>
    <d v="2015-01-27T00:00:00"/>
    <d v="2015-01-29T00:00:00"/>
    <n v="37.31"/>
    <n v="44"/>
    <x v="501"/>
    <n v="9606"/>
    <n v="10054"/>
  </r>
  <r>
    <n v="90.97"/>
    <n v="28"/>
    <n v="899"/>
    <s v="Jordan Berry"/>
    <s v="Delivery Truck"/>
    <s v="Small Business"/>
    <x v="2"/>
    <x v="6"/>
    <s v="Jumbo Drum"/>
    <s v="Lexmark Z55se Color Inkjet Printer"/>
    <n v="0.38"/>
    <s v="United States"/>
    <s v="East"/>
    <s v="Pennsylvania"/>
    <s v="Altoona"/>
    <n v="16602"/>
    <d v="2015-01-12T00:00:00"/>
    <d v="2015-01-13T00:00:00"/>
    <n v="-173.09520000000001"/>
    <n v="2"/>
    <x v="502"/>
    <n v="86263"/>
    <n v="382.2"/>
  </r>
  <r>
    <n v="20.34"/>
    <n v="35"/>
    <n v="899"/>
    <s v="Jordan Berry"/>
    <s v="Regular Air"/>
    <s v="Small Business"/>
    <x v="0"/>
    <x v="10"/>
    <s v="Large Box"/>
    <s v="Tennsco Commercial Shelving"/>
    <n v="0.84"/>
    <s v="United States"/>
    <s v="East"/>
    <s v="Pennsylvania"/>
    <s v="Altoona"/>
    <n v="16602"/>
    <d v="2015-01-12T00:00:00"/>
    <d v="2015-01-13T00:00:00"/>
    <n v="-96.16"/>
    <n v="1"/>
    <x v="503"/>
    <n v="86263"/>
    <n v="28.05"/>
  </r>
  <r>
    <n v="12.53"/>
    <n v="0.49"/>
    <n v="899"/>
    <s v="Jordan Berry"/>
    <s v="Regular Air"/>
    <s v="Small Business"/>
    <x v="0"/>
    <x v="9"/>
    <s v="Small Box"/>
    <s v="Round Specialty Laser Printer Labels"/>
    <n v="0.38"/>
    <s v="United States"/>
    <s v="East"/>
    <s v="Pennsylvania"/>
    <s v="Altoona"/>
    <n v="16602"/>
    <d v="2015-01-27T00:00:00"/>
    <d v="2015-01-27T00:00:00"/>
    <n v="104.7213"/>
    <n v="12"/>
    <x v="504"/>
    <n v="86264"/>
    <n v="1821.2400000000002"/>
  </r>
  <r>
    <n v="5.18"/>
    <n v="2.04"/>
    <n v="899"/>
    <s v="Jordan Berry"/>
    <s v="Express Air"/>
    <s v="Small Business"/>
    <x v="0"/>
    <x v="7"/>
    <s v="Wrap Bag"/>
    <s v="Array® Memo Cubes"/>
    <n v="0.36"/>
    <s v="United States"/>
    <s v="East"/>
    <s v="Pennsylvania"/>
    <s v="Altoona"/>
    <n v="16602"/>
    <d v="2015-01-27T00:00:00"/>
    <d v="2015-01-29T00:00:00"/>
    <n v="37.31"/>
    <n v="11"/>
    <x v="505"/>
    <n v="86264"/>
    <n v="628.43000000000006"/>
  </r>
  <r>
    <n v="5.98"/>
    <n v="1.49"/>
    <n v="903"/>
    <s v="Francis Spivey"/>
    <s v="Regular Air"/>
    <s v="Consumer"/>
    <x v="0"/>
    <x v="8"/>
    <s v="Small Box"/>
    <s v="Avery Hanging File Binders"/>
    <n v="0.39"/>
    <s v="United States"/>
    <s v="East"/>
    <s v="Massachusetts"/>
    <s v="Wilmington"/>
    <n v="1887"/>
    <d v="2015-03-12T00:00:00"/>
    <d v="2015-03-14T00:00:00"/>
    <n v="80.674800000000005"/>
    <n v="18"/>
    <x v="506"/>
    <n v="90806"/>
    <n v="2104.56"/>
  </r>
  <r>
    <n v="35.99"/>
    <n v="5.99"/>
    <n v="907"/>
    <s v="Rachel Casey"/>
    <s v="Regular Air"/>
    <s v="Home Office"/>
    <x v="2"/>
    <x v="5"/>
    <s v="Wrap Bag"/>
    <s v="Accessory41"/>
    <n v="0.38"/>
    <s v="United States"/>
    <s v="South"/>
    <s v="Kentucky"/>
    <s v="Henderson"/>
    <n v="42420"/>
    <d v="2015-02-26T00:00:00"/>
    <d v="2015-02-27T00:00:00"/>
    <n v="114.3165"/>
    <n v="5"/>
    <x v="507"/>
    <n v="86459"/>
    <n v="758"/>
  </r>
  <r>
    <n v="2.6"/>
    <n v="2.4"/>
    <n v="907"/>
    <s v="Rachel Casey"/>
    <s v="Regular Air"/>
    <s v="Home Office"/>
    <x v="0"/>
    <x v="0"/>
    <s v="Wrap Bag"/>
    <s v="12 Colored Short Pencils"/>
    <n v="0.57999999999999996"/>
    <s v="United States"/>
    <s v="South"/>
    <s v="Kentucky"/>
    <s v="Henderson"/>
    <n v="42420"/>
    <d v="2015-06-17T00:00:00"/>
    <d v="2015-06-19T00:00:00"/>
    <n v="1107.4079999999999"/>
    <n v="12"/>
    <x v="508"/>
    <n v="86460"/>
    <n v="380.76"/>
  </r>
  <r>
    <n v="5.28"/>
    <n v="5.61"/>
    <n v="910"/>
    <s v="Carla Hauser"/>
    <s v="Regular Air"/>
    <s v="Corporate"/>
    <x v="0"/>
    <x v="7"/>
    <s v="Small Box"/>
    <s v="Xerox 1954"/>
    <n v="0.4"/>
    <s v="United States"/>
    <s v="South"/>
    <s v="Arkansas"/>
    <s v="Texarkana"/>
    <n v="71854"/>
    <d v="2015-05-14T00:00:00"/>
    <d v="2015-05-14T00:00:00"/>
    <n v="-149.21199999999999"/>
    <n v="15"/>
    <x v="509"/>
    <n v="90187"/>
    <n v="1278.9000000000001"/>
  </r>
  <r>
    <n v="7.64"/>
    <n v="5.83"/>
    <n v="911"/>
    <s v="Marsha P Joyner"/>
    <s v="Regular Air"/>
    <s v="Corporate"/>
    <x v="0"/>
    <x v="7"/>
    <s v="Wrap Bag"/>
    <s v="Rediform Wirebound &quot;Phone Memo&quot; Message Book, 11 x 5-3/4"/>
    <n v="0.36"/>
    <s v="United States"/>
    <s v="East"/>
    <s v="West Virginia"/>
    <s v="Wheeling"/>
    <n v="26003"/>
    <d v="2015-01-31T00:00:00"/>
    <d v="2015-02-02T00:00:00"/>
    <n v="-21.018000000000001"/>
    <n v="2"/>
    <x v="510"/>
    <n v="90185"/>
    <n v="33.200000000000003"/>
  </r>
  <r>
    <n v="218.75"/>
    <n v="69.64"/>
    <n v="911"/>
    <s v="Marsha P Joyner"/>
    <s v="Delivery Truck"/>
    <s v="Corporate"/>
    <x v="1"/>
    <x v="11"/>
    <s v="Jumbo Box"/>
    <s v="BoxOffice By Design Rectangular and Half-Moon Meeting Room Tables"/>
    <n v="0.72"/>
    <s v="United States"/>
    <s v="East"/>
    <s v="West Virginia"/>
    <s v="Wheeling"/>
    <n v="26003"/>
    <d v="2015-01-31T00:00:00"/>
    <d v="2015-02-01T00:00:00"/>
    <n v="-655.52987499999995"/>
    <n v="10"/>
    <x v="511"/>
    <n v="90185"/>
    <n v="22854.1"/>
  </r>
  <r>
    <n v="59.76"/>
    <n v="9.7100000000000009"/>
    <n v="911"/>
    <s v="Marsha P Joyner"/>
    <s v="Regular Air"/>
    <s v="Corporate"/>
    <x v="0"/>
    <x v="10"/>
    <s v="Small Box"/>
    <s v="Advantus 10-Drawer Portable Organizer, Chrome Metal Frame, Smoke Drawers"/>
    <n v="0.56999999999999995"/>
    <s v="United States"/>
    <s v="East"/>
    <s v="West Virginia"/>
    <s v="Wheeling"/>
    <n v="26003"/>
    <d v="2015-04-04T00:00:00"/>
    <d v="2015-04-06T00:00:00"/>
    <n v="354.3288"/>
    <n v="8"/>
    <x v="512"/>
    <n v="90186"/>
    <n v="4108.16"/>
  </r>
  <r>
    <n v="350.98"/>
    <n v="30"/>
    <n v="915"/>
    <s v="Carol Sherrill"/>
    <s v="Delivery Truck"/>
    <s v="Home Office"/>
    <x v="1"/>
    <x v="1"/>
    <s v="Jumbo Drum"/>
    <s v="Office Star - Professional Matrix Back Chair with 2-to-1 Synchro Tilt and Mesh Fabric Seat"/>
    <n v="0.61"/>
    <s v="United States"/>
    <s v="Central"/>
    <s v="Texas"/>
    <s v="Bryan"/>
    <n v="77803"/>
    <d v="2015-01-04T00:00:00"/>
    <d v="2015-01-05T00:00:00"/>
    <n v="-489.41559999999998"/>
    <n v="1"/>
    <x v="513"/>
    <n v="86356"/>
    <n v="346.52"/>
  </r>
  <r>
    <n v="161.55000000000001"/>
    <n v="19.989999999999998"/>
    <n v="916"/>
    <s v="Marion Wilcox"/>
    <s v="Regular Air"/>
    <s v="Corporate"/>
    <x v="0"/>
    <x v="10"/>
    <s v="Small Box"/>
    <s v="Fellowes Super Stor/Drawer® Files"/>
    <n v="0.66"/>
    <s v="United States"/>
    <s v="Central"/>
    <s v="Texas"/>
    <s v="Burleson"/>
    <n v="76028"/>
    <d v="2015-01-04T00:00:00"/>
    <d v="2015-01-11T00:00:00"/>
    <n v="35.31"/>
    <n v="3"/>
    <x v="514"/>
    <n v="86357"/>
    <n v="1497.93"/>
  </r>
  <r>
    <n v="35.51"/>
    <n v="6.31"/>
    <n v="918"/>
    <s v="Kerry Jernigan"/>
    <s v="Regular Air"/>
    <s v="Consumer"/>
    <x v="0"/>
    <x v="10"/>
    <s v="Small Box"/>
    <s v="Steel Personal Filing/Posting Tote"/>
    <n v="0.57999999999999996"/>
    <s v="United States"/>
    <s v="West"/>
    <s v="California"/>
    <s v="Rancho Cucamonga"/>
    <n v="91730"/>
    <d v="2015-04-12T00:00:00"/>
    <d v="2015-04-14T00:00:00"/>
    <n v="6.11"/>
    <n v="2"/>
    <x v="515"/>
    <n v="90492"/>
    <n v="146.19999999999999"/>
  </r>
  <r>
    <n v="58.14"/>
    <n v="36.61"/>
    <n v="918"/>
    <s v="Kerry Jernigan"/>
    <s v="Delivery Truck"/>
    <s v="Corporate"/>
    <x v="1"/>
    <x v="14"/>
    <s v="Jumbo Box"/>
    <s v="O'Sullivan 3-Shelf Heavy-Duty Bookcases"/>
    <n v="0.61"/>
    <s v="United States"/>
    <s v="West"/>
    <s v="California"/>
    <s v="Rancho Cucamonga"/>
    <n v="91730"/>
    <d v="2015-05-20T00:00:00"/>
    <d v="2015-05-21T00:00:00"/>
    <n v="187.41200000000001"/>
    <n v="39"/>
    <x v="516"/>
    <n v="90493"/>
    <n v="82487.34"/>
  </r>
  <r>
    <n v="8.34"/>
    <n v="2.64"/>
    <n v="919"/>
    <s v="Tracy Livingston"/>
    <s v="Regular Air"/>
    <s v="Consumer"/>
    <x v="0"/>
    <x v="12"/>
    <s v="Small Pack"/>
    <s v="Acme® Elite Stainless Steel Scissors"/>
    <n v="0.59"/>
    <s v="United States"/>
    <s v="West"/>
    <s v="California"/>
    <s v="Redding"/>
    <n v="96003"/>
    <d v="2015-04-12T00:00:00"/>
    <d v="2015-04-12T00:00:00"/>
    <n v="-6.34"/>
    <n v="6"/>
    <x v="517"/>
    <n v="90492"/>
    <n v="287.70000000000005"/>
  </r>
  <r>
    <n v="15.98"/>
    <n v="4"/>
    <n v="920"/>
    <s v="Jessie Kelly"/>
    <s v="Regular Air"/>
    <s v="Corporate"/>
    <x v="2"/>
    <x v="13"/>
    <s v="Small Box"/>
    <s v="Logitech Access Keyboard"/>
    <n v="0.37"/>
    <s v="United States"/>
    <s v="West"/>
    <s v="California"/>
    <s v="Redlands"/>
    <n v="92374"/>
    <d v="2015-03-27T00:00:00"/>
    <d v="2015-04-01T00:00:00"/>
    <n v="92.722200000000001"/>
    <n v="9"/>
    <x v="518"/>
    <n v="90491"/>
    <n v="1209.42"/>
  </r>
  <r>
    <n v="8.0399999999999991"/>
    <n v="8.94"/>
    <n v="920"/>
    <s v="Jessie Kelly"/>
    <s v="Regular Air"/>
    <s v="Consumer"/>
    <x v="0"/>
    <x v="8"/>
    <s v="Small Box"/>
    <s v="Fellowes Twister Kit, Gray/Clear, 3/pkg"/>
    <n v="0.4"/>
    <s v="United States"/>
    <s v="West"/>
    <s v="California"/>
    <s v="Redlands"/>
    <n v="92374"/>
    <d v="2015-04-12T00:00:00"/>
    <d v="2015-04-14T00:00:00"/>
    <n v="-160.27549999999999"/>
    <n v="9"/>
    <x v="519"/>
    <n v="90492"/>
    <n v="690.93"/>
  </r>
  <r>
    <n v="65.989999999999995"/>
    <n v="8.99"/>
    <n v="922"/>
    <s v="Dolores Abrams"/>
    <s v="Express Air"/>
    <s v="Small Business"/>
    <x v="2"/>
    <x v="5"/>
    <s v="Small Box"/>
    <n v="5180"/>
    <n v="0.56000000000000005"/>
    <s v="United States"/>
    <s v="West"/>
    <s v="California"/>
    <s v="Rancho Cucamonga"/>
    <n v="91730"/>
    <d v="2015-05-20T00:00:00"/>
    <d v="2015-05-21T00:00:00"/>
    <n v="396.97199999999998"/>
    <n v="14"/>
    <x v="520"/>
    <n v="87135"/>
    <n v="10948"/>
  </r>
  <r>
    <n v="2.1800000000000002"/>
    <n v="1.38"/>
    <n v="925"/>
    <s v="Ruth Dudley"/>
    <s v="Regular Air"/>
    <s v="Small Business"/>
    <x v="0"/>
    <x v="3"/>
    <s v="Wrap Bag"/>
    <s v="Advantus Push Pins"/>
    <n v="0.44"/>
    <s v="United States"/>
    <s v="East"/>
    <s v="Maine"/>
    <s v="Augusta"/>
    <n v="4330"/>
    <d v="2015-04-06T00:00:00"/>
    <d v="2015-04-06T00:00:00"/>
    <n v="-7.04"/>
    <n v="7"/>
    <x v="521"/>
    <n v="87134"/>
    <n v="110.11"/>
  </r>
  <r>
    <n v="170.98"/>
    <n v="35.89"/>
    <n v="929"/>
    <s v="Calvin Conway"/>
    <s v="Delivery Truck"/>
    <s v="Small Business"/>
    <x v="1"/>
    <x v="14"/>
    <s v="Jumbo Box"/>
    <s v="Rush Hierlooms Collection 1&quot; Thick Stackable Bookcases"/>
    <n v="0.66"/>
    <s v="United States"/>
    <s v="East"/>
    <s v="New Jersey"/>
    <s v="Old Bridge"/>
    <n v="8857"/>
    <d v="2015-04-06T00:00:00"/>
    <d v="2015-04-08T00:00:00"/>
    <n v="538.52"/>
    <n v="10"/>
    <x v="522"/>
    <n v="87134"/>
    <n v="17190.7"/>
  </r>
  <r>
    <n v="6.04"/>
    <n v="2.14"/>
    <n v="936"/>
    <s v="Robyn Garner"/>
    <s v="Express Air"/>
    <s v="Corporate"/>
    <x v="0"/>
    <x v="7"/>
    <s v="Wrap Bag"/>
    <s v="Adams Telephone Message Books, 5 1/4” x 11”"/>
    <n v="0.38"/>
    <s v="United States"/>
    <s v="West"/>
    <s v="California"/>
    <s v="Redlands"/>
    <n v="92374"/>
    <d v="2015-02-17T00:00:00"/>
    <d v="2015-02-19T00:00:00"/>
    <n v="-4.1399999999999997"/>
    <n v="1"/>
    <x v="523"/>
    <n v="90588"/>
    <n v="8.41"/>
  </r>
  <r>
    <n v="5.98"/>
    <n v="5.46"/>
    <n v="936"/>
    <s v="Robyn Garner"/>
    <s v="Regular Air"/>
    <s v="Corporate"/>
    <x v="0"/>
    <x v="7"/>
    <s v="Small Box"/>
    <s v="Xerox 1983"/>
    <n v="0.36"/>
    <s v="United States"/>
    <s v="West"/>
    <s v="California"/>
    <s v="Redlands"/>
    <n v="92374"/>
    <d v="2015-06-27T00:00:00"/>
    <d v="2015-06-27T00:00:00"/>
    <n v="-31.885000000000002"/>
    <n v="17"/>
    <x v="524"/>
    <n v="90589"/>
    <n v="1784.15"/>
  </r>
  <r>
    <n v="65.989999999999995"/>
    <n v="3.99"/>
    <n v="937"/>
    <s v="Kelly Shaw"/>
    <s v="Regular Air"/>
    <s v="Corporate"/>
    <x v="2"/>
    <x v="5"/>
    <s v="Small Box"/>
    <s v="StarTAC 7760"/>
    <n v="0.59"/>
    <s v="United States"/>
    <s v="West"/>
    <s v="California"/>
    <s v="Redondo Beach"/>
    <n v="90278"/>
    <d v="2015-06-27T00:00:00"/>
    <d v="2015-06-28T00:00:00"/>
    <n v="-95.210499999999996"/>
    <n v="3"/>
    <x v="525"/>
    <n v="90589"/>
    <n v="499.77"/>
  </r>
  <r>
    <n v="100.98"/>
    <n v="35.840000000000003"/>
    <n v="940"/>
    <s v="Albert Maxwell"/>
    <s v="Delivery Truck"/>
    <s v="Home Office"/>
    <x v="1"/>
    <x v="14"/>
    <s v="Jumbo Box"/>
    <s v="Bush Westfield Collection Bookcases, Fully Assembled"/>
    <n v="0.62"/>
    <s v="United States"/>
    <s v="East"/>
    <s v="Connecticut"/>
    <s v="New Milford"/>
    <n v="6776"/>
    <d v="2015-04-14T00:00:00"/>
    <d v="2015-04-19T00:00:00"/>
    <n v="-193.58"/>
    <n v="4"/>
    <x v="526"/>
    <n v="90844"/>
    <n v="1584.76"/>
  </r>
  <r>
    <n v="31.74"/>
    <n v="12.62"/>
    <n v="945"/>
    <s v="Stephanie Sun Perry"/>
    <s v="Regular Air"/>
    <s v="Home Office"/>
    <x v="0"/>
    <x v="8"/>
    <s v="Small Box"/>
    <s v="GBC Wire Binding Strips"/>
    <n v="0.37"/>
    <s v="United States"/>
    <s v="West"/>
    <s v="California"/>
    <s v="Saratoga"/>
    <n v="95070"/>
    <d v="2015-03-06T00:00:00"/>
    <d v="2015-03-06T00:00:00"/>
    <n v="-4.3010000000000002"/>
    <n v="3"/>
    <x v="527"/>
    <n v="86567"/>
    <n v="296.10000000000002"/>
  </r>
  <r>
    <n v="90.98"/>
    <n v="56.2"/>
    <n v="946"/>
    <s v="Denise Parks"/>
    <s v="Express Air"/>
    <s v="Home Office"/>
    <x v="1"/>
    <x v="2"/>
    <s v="Medium Box"/>
    <s v="Eldon ClusterMat Chair Mat with Cordless Antistatic Protection"/>
    <n v="0.74"/>
    <s v="United States"/>
    <s v="East"/>
    <s v="Maine"/>
    <s v="Auburn"/>
    <n v="4210"/>
    <d v="2015-03-01T00:00:00"/>
    <d v="2015-03-02T00:00:00"/>
    <n v="-1570.32"/>
    <n v="20"/>
    <x v="528"/>
    <n v="86566"/>
    <n v="35648.800000000003"/>
  </r>
  <r>
    <n v="14.2"/>
    <n v="5.3"/>
    <n v="947"/>
    <s v="Dorothy Buchanan"/>
    <s v="Express Air"/>
    <s v="Home Office"/>
    <x v="1"/>
    <x v="2"/>
    <s v="Wrap Bag"/>
    <s v="Coloredge Poster Frame"/>
    <n v="0.46"/>
    <s v="United States"/>
    <s v="East"/>
    <s v="New Jersey"/>
    <s v="Bayonne"/>
    <n v="7002"/>
    <d v="2015-01-11T00:00:00"/>
    <d v="2015-01-13T00:00:00"/>
    <n v="27.23"/>
    <n v="5"/>
    <x v="529"/>
    <n v="86565"/>
    <n v="360.55"/>
  </r>
  <r>
    <n v="40.98"/>
    <n v="2.99"/>
    <n v="949"/>
    <s v="Ernest Oh"/>
    <s v="Regular Air"/>
    <s v="Consumer"/>
    <x v="0"/>
    <x v="8"/>
    <s v="Small Box"/>
    <s v="Avery Trapezoid Ring Binder, 3&quot; Capacity, Black, 1040 sheets"/>
    <n v="0.36"/>
    <s v="United States"/>
    <s v="West"/>
    <s v="California"/>
    <s v="Los Angeles"/>
    <n v="90049"/>
    <d v="2015-01-02T00:00:00"/>
    <d v="2015-01-04T00:00:00"/>
    <n v="-19.0992"/>
    <n v="3"/>
    <x v="530"/>
    <n v="9285"/>
    <n v="374.43"/>
  </r>
  <r>
    <n v="48.04"/>
    <n v="5.09"/>
    <n v="949"/>
    <s v="Ernest Oh"/>
    <s v="Regular Air"/>
    <s v="Consumer"/>
    <x v="0"/>
    <x v="7"/>
    <s v="Small Box"/>
    <s v="Xerox 1910"/>
    <n v="0.37"/>
    <s v="United States"/>
    <s v="West"/>
    <s v="California"/>
    <s v="Los Angeles"/>
    <n v="90049"/>
    <d v="2015-03-22T00:00:00"/>
    <d v="2015-03-26T00:00:00"/>
    <n v="373.67"/>
    <n v="18"/>
    <x v="531"/>
    <n v="8257"/>
    <n v="15863.76"/>
  </r>
  <r>
    <n v="40.98"/>
    <n v="2.99"/>
    <n v="950"/>
    <s v="Jane Shah"/>
    <s v="Regular Air"/>
    <s v="Consumer"/>
    <x v="0"/>
    <x v="8"/>
    <s v="Small Box"/>
    <s v="Avery Trapezoid Ring Binder, 3&quot; Capacity, Black, 1040 sheets"/>
    <n v="0.36"/>
    <s v="United States"/>
    <s v="Central"/>
    <s v="Minnesota"/>
    <s v="Prior Lake"/>
    <n v="55372"/>
    <d v="2015-01-02T00:00:00"/>
    <d v="2015-01-04T00:00:00"/>
    <n v="-14.801880000000001"/>
    <n v="1"/>
    <x v="532"/>
    <n v="89083"/>
    <n v="41.6"/>
  </r>
  <r>
    <n v="1500.97"/>
    <n v="29.7"/>
    <n v="950"/>
    <s v="Jane Shah"/>
    <s v="Delivery Truck"/>
    <s v="Consumer"/>
    <x v="2"/>
    <x v="6"/>
    <s v="Jumbo Drum"/>
    <s v="Epson DFX5000+ Dot Matrix Printer"/>
    <n v="0.56999999999999995"/>
    <s v="United States"/>
    <s v="Central"/>
    <s v="Minnesota"/>
    <s v="Prior Lake"/>
    <n v="55372"/>
    <d v="2015-03-22T00:00:00"/>
    <d v="2015-03-22T00:00:00"/>
    <n v="-2561.3235"/>
    <n v="1"/>
    <x v="533"/>
    <n v="89084"/>
    <n v="1497.22"/>
  </r>
  <r>
    <n v="48.04"/>
    <n v="5.09"/>
    <n v="950"/>
    <s v="Jane Shah"/>
    <s v="Regular Air"/>
    <s v="Consumer"/>
    <x v="0"/>
    <x v="7"/>
    <s v="Small Box"/>
    <s v="Xerox 1910"/>
    <n v="0.37"/>
    <s v="United States"/>
    <s v="Central"/>
    <s v="Minnesota"/>
    <s v="Prior Lake"/>
    <n v="55372"/>
    <d v="2015-03-22T00:00:00"/>
    <d v="2015-03-26T00:00:00"/>
    <n v="168.91890000000001"/>
    <n v="5"/>
    <x v="534"/>
    <n v="89084"/>
    <n v="1224.05"/>
  </r>
  <r>
    <n v="4.28"/>
    <n v="1.6"/>
    <n v="950"/>
    <s v="Jane Shah"/>
    <s v="Regular Air"/>
    <s v="Consumer"/>
    <x v="0"/>
    <x v="0"/>
    <s v="Wrap Bag"/>
    <s v="Newell 320"/>
    <n v="0.57999999999999996"/>
    <s v="United States"/>
    <s v="Central"/>
    <s v="Minnesota"/>
    <s v="Prior Lake"/>
    <n v="55372"/>
    <d v="2015-03-22T00:00:00"/>
    <d v="2015-03-29T00:00:00"/>
    <n v="-6.2"/>
    <n v="1"/>
    <x v="535"/>
    <n v="89084"/>
    <n v="4.55"/>
  </r>
  <r>
    <n v="7.31"/>
    <n v="0.49"/>
    <n v="954"/>
    <s v="Tony Chandler"/>
    <s v="Regular Air"/>
    <s v="Small Business"/>
    <x v="0"/>
    <x v="9"/>
    <s v="Small Box"/>
    <s v="Self-Adhesive Address Labels for Typewriters by Universal"/>
    <n v="0.38"/>
    <s v="United States"/>
    <s v="Central"/>
    <s v="Texas"/>
    <s v="Highland Village"/>
    <n v="75067"/>
    <d v="2015-02-12T00:00:00"/>
    <d v="2015-02-21T00:00:00"/>
    <n v="19.064699999999998"/>
    <n v="4"/>
    <x v="536"/>
    <n v="90771"/>
    <n v="110.52"/>
  </r>
  <r>
    <n v="6.7"/>
    <n v="1.56"/>
    <n v="954"/>
    <s v="Tony Chandler"/>
    <s v="Regular Air"/>
    <s v="Small Business"/>
    <x v="0"/>
    <x v="0"/>
    <s v="Wrap Bag"/>
    <s v="Turquoise Lead Holder with Pocket Clip"/>
    <n v="0.52"/>
    <s v="United States"/>
    <s v="Central"/>
    <s v="Texas"/>
    <s v="Highland Village"/>
    <n v="75067"/>
    <d v="2015-02-12T00:00:00"/>
    <d v="2015-02-12T00:00:00"/>
    <n v="10.56"/>
    <n v="5"/>
    <x v="537"/>
    <n v="90771"/>
    <n v="156.05000000000001"/>
  </r>
  <r>
    <n v="145.44999999999999"/>
    <n v="17.850000000000001"/>
    <n v="959"/>
    <s v="Sally House"/>
    <s v="Delivery Truck"/>
    <s v="Corporate"/>
    <x v="2"/>
    <x v="6"/>
    <s v="Jumbo Drum"/>
    <s v="Panasonic KX-P1150 Dot Matrix Printer"/>
    <n v="0.56000000000000005"/>
    <s v="United States"/>
    <s v="Central"/>
    <s v="Texas"/>
    <s v="Burleson"/>
    <n v="76028"/>
    <d v="2015-03-22T00:00:00"/>
    <d v="2015-03-23T00:00:00"/>
    <n v="837.6807"/>
    <n v="8"/>
    <x v="538"/>
    <n v="91581"/>
    <n v="9712.24"/>
  </r>
  <r>
    <n v="2.94"/>
    <n v="0.96"/>
    <n v="960"/>
    <s v="Phillip Chappell"/>
    <s v="Regular Air"/>
    <s v="Home Office"/>
    <x v="0"/>
    <x v="0"/>
    <s v="Wrap Bag"/>
    <s v="Newell 343"/>
    <n v="0.57999999999999996"/>
    <s v="United States"/>
    <s v="West"/>
    <s v="California"/>
    <s v="Redondo Beach"/>
    <n v="90278"/>
    <d v="2015-02-04T00:00:00"/>
    <d v="2015-02-08T00:00:00"/>
    <n v="-4.2"/>
    <n v="1"/>
    <x v="539"/>
    <n v="89401"/>
    <n v="3.51"/>
  </r>
  <r>
    <n v="124.49"/>
    <n v="51.94"/>
    <n v="961"/>
    <s v="Benjamin Chan"/>
    <s v="Delivery Truck"/>
    <s v="Home Office"/>
    <x v="1"/>
    <x v="11"/>
    <s v="Jumbo Box"/>
    <s v="Bevis 36 x 72 Conference Tables"/>
    <n v="0.63"/>
    <s v="United States"/>
    <s v="West"/>
    <s v="California"/>
    <s v="Redwood City"/>
    <n v="94061"/>
    <d v="2015-02-24T00:00:00"/>
    <d v="2015-02-24T00:00:00"/>
    <n v="-44.163600000000002"/>
    <n v="1"/>
    <x v="540"/>
    <n v="89402"/>
    <n v="120.12"/>
  </r>
  <r>
    <n v="2.94"/>
    <n v="0.96"/>
    <n v="962"/>
    <s v="Yvonne Clarke"/>
    <s v="Regular Air"/>
    <s v="Home Office"/>
    <x v="0"/>
    <x v="0"/>
    <s v="Wrap Bag"/>
    <s v="Newell 343"/>
    <n v="0.57999999999999996"/>
    <s v="United States"/>
    <s v="Central"/>
    <s v="Illinois"/>
    <s v="Chicago"/>
    <n v="60610"/>
    <d v="2015-02-04T00:00:00"/>
    <d v="2015-02-08T00:00:00"/>
    <n v="-4.2"/>
    <n v="2"/>
    <x v="541"/>
    <n v="17636"/>
    <n v="14.02"/>
  </r>
  <r>
    <n v="170.98"/>
    <n v="35.89"/>
    <n v="970"/>
    <s v="Lynn Payne"/>
    <s v="Delivery Truck"/>
    <s v="Consumer"/>
    <x v="1"/>
    <x v="14"/>
    <s v="Jumbo Box"/>
    <s v="Rush Hierlooms Collection 1&quot; Thick Stackable Bookcases"/>
    <n v="0.66"/>
    <s v="United States"/>
    <s v="South"/>
    <s v="Virginia"/>
    <s v="Rose Hill"/>
    <n v="24281"/>
    <d v="2015-04-20T00:00:00"/>
    <d v="2015-04-21T00:00:00"/>
    <n v="-102.66200000000001"/>
    <n v="8"/>
    <x v="542"/>
    <n v="86173"/>
    <n v="11617.44"/>
  </r>
  <r>
    <n v="284.98"/>
    <n v="69.55"/>
    <n v="972"/>
    <s v="Gregory Holden"/>
    <s v="Delivery Truck"/>
    <s v="Corporate"/>
    <x v="1"/>
    <x v="1"/>
    <s v="Jumbo Drum"/>
    <s v="Global Commerce™ Series High-Back Swivel/Tilt Chairs"/>
    <n v="0.6"/>
    <s v="United States"/>
    <s v="West"/>
    <s v="California"/>
    <s v="Riverside"/>
    <n v="92503"/>
    <d v="2015-02-28T00:00:00"/>
    <d v="2015-03-05T00:00:00"/>
    <n v="-116.584"/>
    <n v="2"/>
    <x v="543"/>
    <n v="87259"/>
    <n v="1238.76"/>
  </r>
  <r>
    <n v="12.99"/>
    <n v="14.37"/>
    <n v="972"/>
    <s v="Gregory Holden"/>
    <s v="Regular Air"/>
    <s v="Corporate"/>
    <x v="1"/>
    <x v="2"/>
    <s v="Large Box"/>
    <s v="Tensor &quot;Hersey Kiss&quot; Styled Floor Lamp"/>
    <n v="0.73"/>
    <s v="United States"/>
    <s v="West"/>
    <s v="California"/>
    <s v="Riverside"/>
    <n v="92503"/>
    <d v="2015-02-28T00:00:00"/>
    <d v="2015-02-28T00:00:00"/>
    <n v="12.896100000000001"/>
    <n v="1"/>
    <x v="544"/>
    <n v="87259"/>
    <n v="18.690000000000001"/>
  </r>
  <r>
    <n v="2.2200000000000002"/>
    <n v="5"/>
    <n v="975"/>
    <s v="Francis Evans"/>
    <s v="Regular Air"/>
    <s v="Corporate"/>
    <x v="0"/>
    <x v="15"/>
    <s v="Small Box"/>
    <s v="Hoover Replacement Belt for Commercial Guardsman Heavy-Duty Upright Vacuum"/>
    <n v="0.55000000000000004"/>
    <s v="United States"/>
    <s v="East"/>
    <s v="Massachusetts"/>
    <s v="Boston"/>
    <n v="2108"/>
    <d v="2015-04-04T00:00:00"/>
    <d v="2015-04-09T00:00:00"/>
    <n v="-21.319199999999999"/>
    <n v="3"/>
    <x v="545"/>
    <n v="87260"/>
    <n v="26.400000000000002"/>
  </r>
  <r>
    <n v="37.76"/>
    <n v="12.9"/>
    <n v="980"/>
    <s v="Howard Burnett"/>
    <s v="Regular Air"/>
    <s v="Corporate"/>
    <x v="0"/>
    <x v="10"/>
    <s v="Small Box"/>
    <s v="Companion Letter/Legal File, Black"/>
    <n v="0.56999999999999995"/>
    <s v="United States"/>
    <s v="East"/>
    <s v="Vermont"/>
    <s v="South Burlington"/>
    <n v="5403"/>
    <d v="2015-02-05T00:00:00"/>
    <d v="2015-02-06T00:00:00"/>
    <n v="93.846800000000002"/>
    <n v="12"/>
    <x v="546"/>
    <n v="87258"/>
    <n v="5726.4"/>
  </r>
  <r>
    <n v="300.97000000000003"/>
    <n v="7.18"/>
    <n v="983"/>
    <s v="Sue Drake"/>
    <s v="Regular Air"/>
    <s v="Corporate"/>
    <x v="2"/>
    <x v="13"/>
    <s v="Small Box"/>
    <s v="Gyration Ultra Professional Cordless Optical Suite"/>
    <n v="0.48"/>
    <s v="United States"/>
    <s v="South"/>
    <s v="Arkansas"/>
    <s v="Searcy"/>
    <n v="72143"/>
    <d v="2015-04-27T00:00:00"/>
    <d v="2015-04-27T00:00:00"/>
    <n v="17.771999999999998"/>
    <n v="10"/>
    <x v="547"/>
    <n v="90201"/>
    <n v="28483.800000000003"/>
  </r>
  <r>
    <n v="4.28"/>
    <n v="5.17"/>
    <n v="993"/>
    <s v="Gail Currin"/>
    <s v="Regular Air"/>
    <s v="Small Business"/>
    <x v="0"/>
    <x v="7"/>
    <s v="Small Box"/>
    <s v="Xerox 1971"/>
    <n v="0.4"/>
    <s v="United States"/>
    <s v="West"/>
    <s v="California"/>
    <s v="Oxnard"/>
    <n v="93030"/>
    <d v="2015-02-19T00:00:00"/>
    <d v="2015-02-19T00:00:00"/>
    <n v="-104.57"/>
    <n v="9"/>
    <x v="548"/>
    <n v="89432"/>
    <n v="347.21999999999997"/>
  </r>
  <r>
    <n v="400.98"/>
    <n v="76.37"/>
    <n v="994"/>
    <s v="Neal Weber"/>
    <s v="Delivery Truck"/>
    <s v="Small Business"/>
    <x v="1"/>
    <x v="11"/>
    <s v="Jumbo Box"/>
    <s v="Bretford CR8500 Series Meeting Room Furniture"/>
    <n v="0.6"/>
    <s v="United States"/>
    <s v="East"/>
    <s v="Maine"/>
    <s v="Sanford"/>
    <n v="4073"/>
    <d v="2015-03-14T00:00:00"/>
    <d v="2015-03-15T00:00:00"/>
    <n v="-969.04836599999999"/>
    <n v="2"/>
    <x v="549"/>
    <n v="89433"/>
    <n v="1620.94"/>
  </r>
  <r>
    <n v="7.64"/>
    <n v="5.83"/>
    <n v="995"/>
    <s v="Lloyd Spencer"/>
    <s v="Regular Air"/>
    <s v="Small Business"/>
    <x v="0"/>
    <x v="7"/>
    <s v="Wrap Bag"/>
    <s v="Rediform Wirebound &quot;Phone Memo&quot; Message Book, 11 x 5-3/4"/>
    <n v="0.36"/>
    <s v="United States"/>
    <s v="East"/>
    <s v="Maine"/>
    <s v="West Scarborough"/>
    <n v="4070"/>
    <d v="2015-05-10T00:00:00"/>
    <d v="2015-05-15T00:00:00"/>
    <n v="4.032"/>
    <n v="9"/>
    <x v="550"/>
    <n v="89434"/>
    <n v="655.47"/>
  </r>
  <r>
    <n v="67.84"/>
    <n v="0.99"/>
    <n v="997"/>
    <s v="Phillip Pollard"/>
    <s v="Regular Air"/>
    <s v="Small Business"/>
    <x v="0"/>
    <x v="15"/>
    <s v="Small Box"/>
    <s v="Fellowes Command Center 5-outlet power strip"/>
    <n v="0.57999999999999996"/>
    <s v="United States"/>
    <s v="East"/>
    <s v="New Jersey"/>
    <s v="Bayonne"/>
    <n v="7002"/>
    <d v="2015-01-24T00:00:00"/>
    <d v="2015-01-29T00:00:00"/>
    <n v="-23.634399999999999"/>
    <n v="1"/>
    <x v="551"/>
    <n v="89431"/>
    <n v="63.66"/>
  </r>
  <r>
    <n v="45.19"/>
    <n v="1.99"/>
    <n v="999"/>
    <s v="Rita Barton"/>
    <s v="Regular Air"/>
    <s v="Small Business"/>
    <x v="2"/>
    <x v="13"/>
    <s v="Small Pack"/>
    <s v="Verbatim DVD-RAM, 9.4GB, Rewritable, Type 1, DS, DataLife Plus"/>
    <n v="0.55000000000000004"/>
    <s v="United States"/>
    <s v="East"/>
    <s v="New Jersey"/>
    <s v="Ridgewood"/>
    <n v="7450"/>
    <d v="2015-03-14T00:00:00"/>
    <d v="2015-03-15T00:00:00"/>
    <n v="-71.83"/>
    <n v="3"/>
    <x v="552"/>
    <n v="89433"/>
    <n v="381.65999999999997"/>
  </r>
  <r>
    <n v="33.979999999999997"/>
    <n v="19.989999999999998"/>
    <n v="1000"/>
    <s v="Lynn Bell"/>
    <s v="Regular Air"/>
    <s v="Small Business"/>
    <x v="1"/>
    <x v="2"/>
    <s v="Small Box"/>
    <s v="Linden® 12&quot; Wall Clock With Oak Frame"/>
    <n v="0.55000000000000004"/>
    <s v="United States"/>
    <s v="East"/>
    <s v="Vermont"/>
    <s v="Bennington"/>
    <n v="5201"/>
    <d v="2015-03-14T00:00:00"/>
    <d v="2015-03-15T00:00:00"/>
    <n v="-0.74"/>
    <n v="12"/>
    <x v="553"/>
    <n v="89433"/>
    <n v="5189.28"/>
  </r>
  <r>
    <n v="10.14"/>
    <n v="2.27"/>
    <n v="1005"/>
    <s v="Lloyd Dickson"/>
    <s v="Regular Air"/>
    <s v="Small Business"/>
    <x v="0"/>
    <x v="7"/>
    <s v="Wrap Bag"/>
    <s v="Staples Wirebound Steno Books, 6&quot; x 9&quot;, 12/Pack"/>
    <n v="0.36"/>
    <s v="United States"/>
    <s v="Central"/>
    <s v="Illinois"/>
    <s v="Buffalo Grove"/>
    <n v="60089"/>
    <d v="2015-03-04T00:00:00"/>
    <d v="2015-03-04T00:00:00"/>
    <n v="-3.88"/>
    <n v="1"/>
    <x v="554"/>
    <n v="90043"/>
    <n v="12.18"/>
  </r>
  <r>
    <n v="40.99"/>
    <n v="17.48"/>
    <n v="1005"/>
    <s v="Lloyd Dickson"/>
    <s v="Regular Air"/>
    <s v="Small Business"/>
    <x v="0"/>
    <x v="7"/>
    <s v="Small Box"/>
    <s v="Xerox 1893"/>
    <n v="0.36"/>
    <s v="United States"/>
    <s v="Central"/>
    <s v="Illinois"/>
    <s v="Buffalo Grove"/>
    <n v="60089"/>
    <d v="2015-02-27T00:00:00"/>
    <d v="2015-02-28T00:00:00"/>
    <n v="551.09280000000001"/>
    <n v="23"/>
    <x v="555"/>
    <n v="90044"/>
    <n v="21859.89"/>
  </r>
  <r>
    <n v="3.15"/>
    <n v="0.49"/>
    <n v="1008"/>
    <s v="Priscilla Frank"/>
    <s v="Regular Air"/>
    <s v="Home Office"/>
    <x v="0"/>
    <x v="9"/>
    <s v="Small Box"/>
    <s v="Self-Adhesive Removable Labels"/>
    <n v="0.37"/>
    <s v="United States"/>
    <s v="East"/>
    <s v="Maine"/>
    <s v="Gorham"/>
    <n v="4038"/>
    <d v="2015-05-25T00:00:00"/>
    <d v="2015-05-27T00:00:00"/>
    <n v="17.505299999999998"/>
    <n v="8"/>
    <x v="556"/>
    <n v="88371"/>
    <n v="202.96"/>
  </r>
  <r>
    <n v="550.98"/>
    <n v="45.7"/>
    <n v="1009"/>
    <s v="Kristin George"/>
    <s v="Delivery Truck"/>
    <s v="Corporate"/>
    <x v="1"/>
    <x v="11"/>
    <s v="Jumbo Box"/>
    <s v="Chromcraft Bull-Nose Wood Oval Conference Tables &amp; Bases"/>
    <n v="0.71"/>
    <s v="United States"/>
    <s v="East"/>
    <s v="Maine"/>
    <s v="Saco"/>
    <n v="4072"/>
    <d v="2015-06-19T00:00:00"/>
    <d v="2015-06-21T00:00:00"/>
    <n v="818.54617499999995"/>
    <n v="14"/>
    <x v="557"/>
    <n v="88372"/>
    <n v="97491.38"/>
  </r>
  <r>
    <n v="28.48"/>
    <n v="1.99"/>
    <n v="1014"/>
    <s v="Theresa Winters"/>
    <s v="Regular Air"/>
    <s v="Home Office"/>
    <x v="2"/>
    <x v="13"/>
    <s v="Small Pack"/>
    <s v="Memorex 4.7GB DVD+RW, 3/Pack"/>
    <n v="0.4"/>
    <s v="United States"/>
    <s v="South"/>
    <s v="Arkansas"/>
    <s v="Bryant"/>
    <n v="72022"/>
    <d v="2015-03-01T00:00:00"/>
    <d v="2015-03-02T00:00:00"/>
    <n v="-17.149999999999999"/>
    <n v="6"/>
    <x v="558"/>
    <n v="88387"/>
    <n v="961.02"/>
  </r>
  <r>
    <n v="2.08"/>
    <n v="5.33"/>
    <n v="1014"/>
    <s v="Theresa Winters"/>
    <s v="Regular Air"/>
    <s v="Home Office"/>
    <x v="1"/>
    <x v="2"/>
    <s v="Small Box"/>
    <s v="Eldon® Wave Desk Accessories"/>
    <n v="0.43"/>
    <s v="United States"/>
    <s v="South"/>
    <s v="Arkansas"/>
    <s v="Bryant"/>
    <n v="72022"/>
    <d v="2015-03-01T00:00:00"/>
    <d v="2015-03-03T00:00:00"/>
    <n v="-29.54"/>
    <n v="3"/>
    <x v="559"/>
    <n v="88387"/>
    <n v="22.41"/>
  </r>
  <r>
    <n v="45.99"/>
    <n v="4.99"/>
    <n v="1014"/>
    <s v="Theresa Winters"/>
    <s v="Express Air"/>
    <s v="Home Office"/>
    <x v="2"/>
    <x v="5"/>
    <s v="Small Box"/>
    <s v="KF 788"/>
    <n v="0.56000000000000005"/>
    <s v="United States"/>
    <s v="South"/>
    <s v="Arkansas"/>
    <s v="Bryant"/>
    <n v="72022"/>
    <d v="2015-03-01T00:00:00"/>
    <d v="2015-03-02T00:00:00"/>
    <n v="-329.78399999999999"/>
    <n v="10"/>
    <x v="560"/>
    <n v="88387"/>
    <n v="3708.1"/>
  </r>
  <r>
    <n v="10.91"/>
    <n v="2.99"/>
    <n v="1014"/>
    <s v="Theresa Winters"/>
    <s v="Regular Air"/>
    <s v="Home Office"/>
    <x v="0"/>
    <x v="8"/>
    <s v="Small Box"/>
    <s v="Heavy-Duty E-Z-D® Binders"/>
    <n v="0.38"/>
    <s v="United States"/>
    <s v="South"/>
    <s v="Arkansas"/>
    <s v="Bryant"/>
    <n v="72022"/>
    <d v="2015-03-05T00:00:00"/>
    <d v="2015-03-06T00:00:00"/>
    <n v="-2.1"/>
    <n v="11"/>
    <x v="561"/>
    <n v="88388"/>
    <n v="1319.8899999999999"/>
  </r>
  <r>
    <n v="43.98"/>
    <n v="8.99"/>
    <n v="1015"/>
    <s v="Beverly Cameron"/>
    <s v="Regular Air"/>
    <s v="Home Office"/>
    <x v="0"/>
    <x v="0"/>
    <s v="Small Pack"/>
    <s v="Boston 1645 Deluxe Heavier-Duty Electric Pencil Sharpener"/>
    <n v="0.57999999999999996"/>
    <s v="United States"/>
    <s v="South"/>
    <s v="North Carolina"/>
    <s v="Apex"/>
    <n v="27502"/>
    <d v="2015-03-18T00:00:00"/>
    <d v="2015-03-18T00:00:00"/>
    <n v="829.46699999999998"/>
    <n v="14"/>
    <x v="562"/>
    <n v="88390"/>
    <n v="9109.8000000000011"/>
  </r>
  <r>
    <n v="6.48"/>
    <n v="7.86"/>
    <n v="1016"/>
    <s v="Francis Sherrill"/>
    <s v="Express Air"/>
    <s v="Home Office"/>
    <x v="0"/>
    <x v="7"/>
    <s v="Small Box"/>
    <s v="Xerox 213"/>
    <n v="0.37"/>
    <s v="United States"/>
    <s v="South"/>
    <s v="North Carolina"/>
    <s v="Asheville"/>
    <n v="28806"/>
    <d v="2015-06-12T00:00:00"/>
    <d v="2015-06-13T00:00:00"/>
    <n v="111.22199999999999"/>
    <n v="1"/>
    <x v="563"/>
    <n v="88389"/>
    <n v="11.41"/>
  </r>
  <r>
    <n v="35.89"/>
    <n v="14.72"/>
    <n v="1018"/>
    <s v="Meredith Humphrey"/>
    <s v="Regular Air"/>
    <s v="Home Office"/>
    <x v="0"/>
    <x v="4"/>
    <s v="Small Box"/>
    <s v="Jet-Pak Recycled Peel 'N' Seal Padded Mailers"/>
    <n v="0.4"/>
    <s v="United States"/>
    <s v="South"/>
    <s v="North Carolina"/>
    <s v="Cary"/>
    <n v="27511"/>
    <d v="2015-04-08T00:00:00"/>
    <d v="2015-04-09T00:00:00"/>
    <n v="22.866"/>
    <n v="19"/>
    <x v="564"/>
    <n v="88391"/>
    <n v="12927.41"/>
  </r>
  <r>
    <n v="11.48"/>
    <n v="5.43"/>
    <n v="1018"/>
    <s v="Meredith Humphrey"/>
    <s v="Regular Air"/>
    <s v="Home Office"/>
    <x v="0"/>
    <x v="7"/>
    <s v="Small Box"/>
    <s v="Personal Creations™ Ink Jet Cards and Labels"/>
    <n v="0.36"/>
    <s v="United States"/>
    <s v="South"/>
    <s v="North Carolina"/>
    <s v="Cary"/>
    <n v="27511"/>
    <d v="2015-04-08T00:00:00"/>
    <d v="2015-04-08T00:00:00"/>
    <n v="115.72799999999999"/>
    <n v="6"/>
    <x v="565"/>
    <n v="88391"/>
    <n v="453.12"/>
  </r>
  <r>
    <n v="517.48"/>
    <n v="16.63"/>
    <n v="1020"/>
    <s v="Julie Porter"/>
    <s v="Delivery Truck"/>
    <s v="Small Business"/>
    <x v="2"/>
    <x v="6"/>
    <s v="Jumbo Box"/>
    <s v="Panasonic KX-P3626 Dot Matrix Printer"/>
    <n v="0.59"/>
    <s v="United States"/>
    <s v="Central"/>
    <s v="Kansas"/>
    <s v="Pittsburg"/>
    <n v="66762"/>
    <d v="2015-03-07T00:00:00"/>
    <d v="2015-03-07T00:00:00"/>
    <n v="909.36"/>
    <n v="5"/>
    <x v="566"/>
    <n v="88632"/>
    <n v="11772.7"/>
  </r>
  <r>
    <n v="4.13"/>
    <n v="5.04"/>
    <n v="1020"/>
    <s v="Julie Porter"/>
    <s v="Regular Air"/>
    <s v="Small Business"/>
    <x v="0"/>
    <x v="8"/>
    <s v="Small Box"/>
    <s v="ACCOHIDE® 3-Ring Binder, Blue, 1&quot;"/>
    <n v="0.38"/>
    <s v="United States"/>
    <s v="Central"/>
    <s v="Kansas"/>
    <s v="Pittsburg"/>
    <n v="66762"/>
    <d v="2015-02-06T00:00:00"/>
    <d v="2015-02-07T00:00:00"/>
    <n v="-76.424400000000006"/>
    <n v="20"/>
    <x v="567"/>
    <n v="88634"/>
    <n v="1581.2"/>
  </r>
  <r>
    <n v="4.4800000000000004"/>
    <n v="2.5"/>
    <n v="1020"/>
    <s v="Julie Porter"/>
    <s v="Regular Air"/>
    <s v="Small Business"/>
    <x v="0"/>
    <x v="4"/>
    <s v="Small Box"/>
    <s v="Ampad #10 Peel &amp; Seel® Holiday Envelopes"/>
    <n v="0.37"/>
    <s v="United States"/>
    <s v="Central"/>
    <s v="Kansas"/>
    <s v="Pittsburg"/>
    <n v="66762"/>
    <d v="2015-02-06T00:00:00"/>
    <d v="2015-02-08T00:00:00"/>
    <n v="8.7319999999999993"/>
    <n v="14"/>
    <x v="568"/>
    <n v="88634"/>
    <n v="911.96"/>
  </r>
  <r>
    <n v="39.06"/>
    <n v="10.55"/>
    <n v="1023"/>
    <s v="Glen Newman"/>
    <s v="Regular Air"/>
    <s v="Small Business"/>
    <x v="0"/>
    <x v="8"/>
    <s v="Small Box"/>
    <s v="Ibico Recycled Linen-Style Covers"/>
    <n v="0.37"/>
    <s v="United States"/>
    <s v="East"/>
    <s v="Pennsylvania"/>
    <s v="Wilkinsburg"/>
    <n v="15221"/>
    <d v="2015-05-15T00:00:00"/>
    <d v="2015-05-15T00:00:00"/>
    <n v="442.0899"/>
    <n v="16"/>
    <x v="569"/>
    <n v="88633"/>
    <n v="10251.36"/>
  </r>
  <r>
    <n v="37.700000000000003"/>
    <n v="2.99"/>
    <n v="1023"/>
    <s v="Glen Newman"/>
    <s v="Regular Air"/>
    <s v="Small Business"/>
    <x v="0"/>
    <x v="8"/>
    <s v="Small Box"/>
    <s v="Vinyl Sectional Post Binders"/>
    <n v="0.35"/>
    <s v="United States"/>
    <s v="East"/>
    <s v="Pennsylvania"/>
    <s v="Wilkinsburg"/>
    <n v="15221"/>
    <d v="2015-05-15T00:00:00"/>
    <d v="2015-05-16T00:00:00"/>
    <n v="455.12400000000002"/>
    <n v="18"/>
    <x v="570"/>
    <n v="88633"/>
    <n v="11872.800000000001"/>
  </r>
  <r>
    <n v="65.989999999999995"/>
    <n v="5.92"/>
    <n v="1026"/>
    <s v="Eugene Kerr"/>
    <s v="Regular Air"/>
    <s v="Small Business"/>
    <x v="2"/>
    <x v="5"/>
    <s v="Small Box"/>
    <s v="i500plus"/>
    <n v="0.57999999999999996"/>
    <s v="United States"/>
    <s v="East"/>
    <s v="New York"/>
    <s v="Central Islip"/>
    <n v="11722"/>
    <d v="2015-02-07T00:00:00"/>
    <d v="2015-02-07T00:00:00"/>
    <n v="624.40164000000004"/>
    <n v="22"/>
    <x v="571"/>
    <n v="89005"/>
    <n v="25027.199999999997"/>
  </r>
  <r>
    <n v="5.98"/>
    <n v="3.85"/>
    <n v="1026"/>
    <s v="Eugene Kerr"/>
    <s v="Regular Air"/>
    <s v="Small Business"/>
    <x v="2"/>
    <x v="13"/>
    <s v="Small Pack"/>
    <s v="Imation 3.5&quot; IBM-Formatted Diskettes, 10/Pack"/>
    <n v="0.68"/>
    <s v="United States"/>
    <s v="East"/>
    <s v="New York"/>
    <s v="Central Islip"/>
    <n v="11722"/>
    <d v="2015-05-29T00:00:00"/>
    <d v="2015-05-30T00:00:00"/>
    <n v="18.922000000000001"/>
    <n v="26"/>
    <x v="572"/>
    <n v="89008"/>
    <n v="3940.3"/>
  </r>
  <r>
    <n v="2.61"/>
    <n v="0.5"/>
    <n v="1026"/>
    <s v="Eugene Kerr"/>
    <s v="Regular Air"/>
    <s v="Small Business"/>
    <x v="0"/>
    <x v="9"/>
    <s v="Small Box"/>
    <s v="Avery 494"/>
    <n v="0.39"/>
    <s v="United States"/>
    <s v="East"/>
    <s v="New York"/>
    <s v="Central Islip"/>
    <n v="11722"/>
    <d v="2015-05-29T00:00:00"/>
    <d v="2015-06-01T00:00:00"/>
    <n v="39.350700000000003"/>
    <n v="22"/>
    <x v="573"/>
    <n v="89008"/>
    <n v="1254.6600000000001"/>
  </r>
  <r>
    <n v="73.98"/>
    <n v="4"/>
    <n v="1027"/>
    <s v="Brian Bennett"/>
    <s v="Regular Air"/>
    <s v="Small Business"/>
    <x v="2"/>
    <x v="13"/>
    <s v="Small Box"/>
    <s v="Keytronic French Keyboard"/>
    <n v="0.79"/>
    <s v="United States"/>
    <s v="East"/>
    <s v="New York"/>
    <s v="Cheektowaga"/>
    <n v="14225"/>
    <d v="2015-03-12T00:00:00"/>
    <d v="2015-03-13T00:00:00"/>
    <n v="-229.87"/>
    <n v="5"/>
    <x v="574"/>
    <n v="89004"/>
    <n v="1736.15"/>
  </r>
  <r>
    <n v="51.98"/>
    <n v="10.17"/>
    <n v="1027"/>
    <s v="Brian Bennett"/>
    <s v="Regular Air"/>
    <s v="Small Business"/>
    <x v="2"/>
    <x v="6"/>
    <s v="Medium Box"/>
    <s v="Canon MP25DIII Desktop Whisper-Quiet Printing Calculator"/>
    <n v="0.37"/>
    <s v="United States"/>
    <s v="East"/>
    <s v="New York"/>
    <s v="Cheektowaga"/>
    <n v="14225"/>
    <d v="2015-03-12T00:00:00"/>
    <d v="2015-03-13T00:00:00"/>
    <n v="329.9787"/>
    <n v="9"/>
    <x v="575"/>
    <n v="89004"/>
    <n v="4304.07"/>
  </r>
  <r>
    <n v="7.08"/>
    <n v="2.35"/>
    <n v="1028"/>
    <s v="Marguerite Rodgers"/>
    <s v="Express Air"/>
    <s v="Small Business"/>
    <x v="0"/>
    <x v="0"/>
    <s v="Wrap Bag"/>
    <s v="SANFORD Major Accent™ Highlighters"/>
    <n v="0.47"/>
    <s v="United States"/>
    <s v="East"/>
    <s v="New York"/>
    <s v="Commack"/>
    <n v="11725"/>
    <d v="2015-03-29T00:00:00"/>
    <d v="2015-03-30T00:00:00"/>
    <n v="30.49"/>
    <n v="13"/>
    <x v="458"/>
    <n v="89006"/>
    <n v="1219.6599999999999"/>
  </r>
  <r>
    <n v="83.1"/>
    <n v="6.13"/>
    <n v="1028"/>
    <s v="Marguerite Rodgers"/>
    <s v="Express Air"/>
    <s v="Small Business"/>
    <x v="2"/>
    <x v="13"/>
    <s v="Small Box"/>
    <s v="Micro Innovations Micro Digital Wireless Keyboard and Mouse, Gray"/>
    <n v="0.45"/>
    <s v="United States"/>
    <s v="East"/>
    <s v="New York"/>
    <s v="Commack"/>
    <n v="11725"/>
    <d v="2015-05-08T00:00:00"/>
    <d v="2015-05-09T00:00:00"/>
    <n v="1152.5277000000001"/>
    <n v="20"/>
    <x v="576"/>
    <n v="89007"/>
    <n v="33406.6"/>
  </r>
  <r>
    <n v="125.99"/>
    <n v="2.5"/>
    <n v="1035"/>
    <s v="Kent Burton"/>
    <s v="Regular Air"/>
    <s v="Home Office"/>
    <x v="2"/>
    <x v="5"/>
    <s v="Small Box"/>
    <s v="i2000"/>
    <n v="0.6"/>
    <s v="United States"/>
    <s v="East"/>
    <s v="Ohio"/>
    <s v="Delaware"/>
    <n v="43015"/>
    <d v="2015-03-13T00:00:00"/>
    <d v="2015-03-13T00:00:00"/>
    <n v="-604.40599999999995"/>
    <n v="1"/>
    <x v="577"/>
    <n v="90710"/>
    <n v="100.59"/>
  </r>
  <r>
    <n v="99.99"/>
    <n v="19.989999999999998"/>
    <n v="1036"/>
    <s v="Jessica Huffman"/>
    <s v="Regular Air"/>
    <s v="Home Office"/>
    <x v="2"/>
    <x v="13"/>
    <s v="Small Box"/>
    <s v="US Robotics 56K V.92 External Faxmodem"/>
    <n v="0.52"/>
    <s v="United States"/>
    <s v="East"/>
    <s v="Ohio"/>
    <s v="Dublin"/>
    <n v="43017"/>
    <d v="2015-03-13T00:00:00"/>
    <d v="2015-03-14T00:00:00"/>
    <n v="293.66000000000003"/>
    <n v="6"/>
    <x v="578"/>
    <n v="90710"/>
    <n v="3590.2799999999997"/>
  </r>
  <r>
    <n v="7.64"/>
    <n v="5.83"/>
    <n v="1038"/>
    <s v="Jon Hale"/>
    <s v="Regular Air"/>
    <s v="Corporate"/>
    <x v="0"/>
    <x v="7"/>
    <s v="Wrap Bag"/>
    <s v="Rediform Wirebound &quot;Phone Memo&quot; Message Book, 11 x 5-3/4"/>
    <n v="0.36"/>
    <s v="United States"/>
    <s v="South"/>
    <s v="Florida"/>
    <s v="Belle Glade"/>
    <n v="33430"/>
    <d v="2015-06-16T00:00:00"/>
    <d v="2015-06-17T00:00:00"/>
    <n v="-403.18740000000003"/>
    <n v="5"/>
    <x v="579"/>
    <n v="90641"/>
    <n v="196.8"/>
  </r>
  <r>
    <n v="55.94"/>
    <n v="4"/>
    <n v="1041"/>
    <s v="Mildred Chase"/>
    <s v="Regular Air"/>
    <s v="Small Business"/>
    <x v="2"/>
    <x v="13"/>
    <s v="Small Box"/>
    <s v="Fellowes Smart Design 104-Key Enhanced Keyboard, PS/2 Adapter, Platinum"/>
    <n v="0.74"/>
    <s v="United States"/>
    <s v="West"/>
    <s v="California"/>
    <s v="Woodland"/>
    <n v="95695"/>
    <d v="2015-04-17T00:00:00"/>
    <d v="2015-04-18T00:00:00"/>
    <n v="-13.77"/>
    <n v="6"/>
    <x v="580"/>
    <n v="87846"/>
    <n v="1936.62"/>
  </r>
  <r>
    <n v="6.3"/>
    <n v="0.5"/>
    <n v="1041"/>
    <s v="Mildred Chase"/>
    <s v="Regular Air"/>
    <s v="Small Business"/>
    <x v="0"/>
    <x v="9"/>
    <s v="Small Box"/>
    <s v="Avery 48"/>
    <n v="0.39"/>
    <s v="United States"/>
    <s v="West"/>
    <s v="California"/>
    <s v="Woodland"/>
    <n v="95695"/>
    <d v="2015-04-17T00:00:00"/>
    <d v="2015-04-17T00:00:00"/>
    <n v="44.912100000000002"/>
    <n v="11"/>
    <x v="581"/>
    <n v="87846"/>
    <n v="715.99"/>
  </r>
  <r>
    <n v="14.42"/>
    <n v="6.75"/>
    <n v="1042"/>
    <s v="Jerome Burch"/>
    <s v="Express Air"/>
    <s v="Small Business"/>
    <x v="0"/>
    <x v="15"/>
    <s v="Medium Box"/>
    <s v="Holmes Odor Grabber"/>
    <n v="0.52"/>
    <s v="United States"/>
    <s v="West"/>
    <s v="California"/>
    <s v="Yuba City"/>
    <n v="95991"/>
    <d v="2015-05-16T00:00:00"/>
    <d v="2015-05-17T00:00:00"/>
    <n v="9.33"/>
    <n v="6"/>
    <x v="582"/>
    <n v="87847"/>
    <n v="593.76"/>
  </r>
  <r>
    <n v="209.84"/>
    <n v="21.21"/>
    <n v="1044"/>
    <s v="Erin Ballard"/>
    <s v="Regular Air"/>
    <s v="Home Office"/>
    <x v="1"/>
    <x v="2"/>
    <s v="Large Box"/>
    <s v="Luxo Professional Fluorescent Magnifier Lamp with Clamp-Mount Base"/>
    <n v="0.59"/>
    <s v="United States"/>
    <s v="West"/>
    <s v="California"/>
    <s v="Los Angeles"/>
    <n v="90004"/>
    <d v="2015-06-14T00:00:00"/>
    <d v="2015-06-14T00:00:00"/>
    <n v="2593.14"/>
    <n v="62"/>
    <x v="583"/>
    <n v="28001"/>
    <n v="839910.28"/>
  </r>
  <r>
    <n v="194.3"/>
    <n v="11.54"/>
    <n v="1044"/>
    <s v="Erin Ballard"/>
    <s v="Regular Air"/>
    <s v="Home Office"/>
    <x v="1"/>
    <x v="2"/>
    <s v="Large Box"/>
    <s v="Electrix Halogen Magnifier Lamp"/>
    <n v="0.59"/>
    <s v="United States"/>
    <s v="West"/>
    <s v="California"/>
    <s v="Los Angeles"/>
    <n v="90004"/>
    <d v="2015-06-14T00:00:00"/>
    <d v="2015-06-16T00:00:00"/>
    <n v="1162.76"/>
    <n v="32"/>
    <x v="584"/>
    <n v="28001"/>
    <n v="204852.8"/>
  </r>
  <r>
    <n v="6.68"/>
    <n v="5.66"/>
    <n v="1044"/>
    <s v="Erin Ballard"/>
    <s v="Regular Air"/>
    <s v="Home Office"/>
    <x v="0"/>
    <x v="7"/>
    <s v="Small Box"/>
    <s v="Xerox 1923"/>
    <n v="0.37"/>
    <s v="United States"/>
    <s v="West"/>
    <s v="California"/>
    <s v="Los Angeles"/>
    <n v="90004"/>
    <d v="2015-02-27T00:00:00"/>
    <d v="2015-02-28T00:00:00"/>
    <n v="-76.94"/>
    <n v="90"/>
    <x v="585"/>
    <n v="47813"/>
    <n v="55566"/>
  </r>
  <r>
    <n v="6.68"/>
    <n v="5.66"/>
    <n v="1047"/>
    <s v="Gayle Pearson"/>
    <s v="Regular Air"/>
    <s v="Home Office"/>
    <x v="0"/>
    <x v="7"/>
    <s v="Small Box"/>
    <s v="Xerox 1923"/>
    <n v="0.37"/>
    <s v="United States"/>
    <s v="East"/>
    <s v="Massachusetts"/>
    <s v="Boston"/>
    <n v="2109"/>
    <d v="2015-02-27T00:00:00"/>
    <d v="2015-02-28T00:00:00"/>
    <n v="-40.008800000000001"/>
    <n v="23"/>
    <x v="586"/>
    <n v="89389"/>
    <n v="3628.94"/>
  </r>
  <r>
    <n v="5.44"/>
    <n v="7.46"/>
    <n v="1054"/>
    <s v="Keith R Atkinson"/>
    <s v="Express Air"/>
    <s v="Corporate"/>
    <x v="0"/>
    <x v="8"/>
    <s v="Small Box"/>
    <s v="Wilson Jones Custom Binder Spines &amp; Labels"/>
    <n v="0.36"/>
    <s v="United States"/>
    <s v="West"/>
    <s v="Arizona"/>
    <s v="Surprise"/>
    <n v="85374"/>
    <d v="2015-05-25T00:00:00"/>
    <d v="2015-05-27T00:00:00"/>
    <n v="-51.704000000000001"/>
    <n v="4"/>
    <x v="587"/>
    <n v="90069"/>
    <n v="105.24"/>
  </r>
  <r>
    <n v="26.38"/>
    <n v="5.58"/>
    <n v="1054"/>
    <s v="Keith R Atkinson"/>
    <s v="Regular Air"/>
    <s v="Corporate"/>
    <x v="0"/>
    <x v="7"/>
    <s v="Small Box"/>
    <s v="Xerox 1883"/>
    <n v="0.39"/>
    <s v="United States"/>
    <s v="West"/>
    <s v="Arizona"/>
    <s v="Surprise"/>
    <n v="85374"/>
    <d v="2015-05-25T00:00:00"/>
    <d v="2015-05-26T00:00:00"/>
    <n v="144.7482"/>
    <n v="8"/>
    <x v="588"/>
    <n v="90069"/>
    <n v="1678.24"/>
  </r>
  <r>
    <n v="20.99"/>
    <n v="2.5"/>
    <n v="1054"/>
    <s v="Keith R Atkinson"/>
    <s v="Regular Air"/>
    <s v="Corporate"/>
    <x v="2"/>
    <x v="5"/>
    <s v="Wrap Bag"/>
    <s v="Accessory37"/>
    <n v="0.81"/>
    <s v="United States"/>
    <s v="West"/>
    <s v="Arizona"/>
    <s v="Surprise"/>
    <n v="85374"/>
    <d v="2015-05-25T00:00:00"/>
    <d v="2015-05-27T00:00:00"/>
    <n v="-112.18899999999999"/>
    <n v="1"/>
    <x v="589"/>
    <n v="90069"/>
    <n v="17.829999999999998"/>
  </r>
  <r>
    <n v="138.75"/>
    <n v="52.42"/>
    <n v="1060"/>
    <s v="Gene Gilliam"/>
    <s v="Delivery Truck"/>
    <s v="Small Business"/>
    <x v="1"/>
    <x v="11"/>
    <s v="Jumbo Box"/>
    <s v="Balt Split Level Computer Training Table"/>
    <n v="0.74"/>
    <s v="United States"/>
    <s v="South"/>
    <s v="Georgia"/>
    <s v="Atlanta"/>
    <n v="30318"/>
    <d v="2015-03-24T00:00:00"/>
    <d v="2015-03-25T00:00:00"/>
    <n v="-445.97177629999999"/>
    <n v="23"/>
    <x v="590"/>
    <n v="58628"/>
    <n v="58139.17"/>
  </r>
  <r>
    <n v="6.3"/>
    <n v="0.5"/>
    <n v="1060"/>
    <s v="Gene Gilliam"/>
    <s v="Regular Air"/>
    <s v="Small Business"/>
    <x v="0"/>
    <x v="9"/>
    <s v="Small Box"/>
    <s v="Avery 51"/>
    <n v="0.39"/>
    <s v="United States"/>
    <s v="South"/>
    <s v="Georgia"/>
    <s v="Atlanta"/>
    <n v="30318"/>
    <d v="2015-05-30T00:00:00"/>
    <d v="2015-05-30T00:00:00"/>
    <n v="4.1673999999999998"/>
    <n v="20"/>
    <x v="591"/>
    <n v="57061"/>
    <n v="2437.4"/>
  </r>
  <r>
    <n v="138.75"/>
    <n v="52.42"/>
    <n v="1062"/>
    <s v="Willie Robinson"/>
    <s v="Delivery Truck"/>
    <s v="Small Business"/>
    <x v="1"/>
    <x v="11"/>
    <s v="Jumbo Box"/>
    <s v="Balt Split Level Computer Training Table"/>
    <n v="0.74"/>
    <s v="United States"/>
    <s v="East"/>
    <s v="New York"/>
    <s v="Coram"/>
    <n v="11727"/>
    <d v="2015-03-24T00:00:00"/>
    <d v="2015-03-25T00:00:00"/>
    <n v="-335.31712499999998"/>
    <n v="6"/>
    <x v="592"/>
    <n v="91354"/>
    <n v="3956.5199999999995"/>
  </r>
  <r>
    <n v="22.38"/>
    <n v="15.1"/>
    <n v="1062"/>
    <s v="Willie Robinson"/>
    <s v="Regular Air"/>
    <s v="Small Business"/>
    <x v="0"/>
    <x v="8"/>
    <s v="Small Box"/>
    <s v="Avery Flip-Chart Easel Binder, Black"/>
    <n v="0.38"/>
    <s v="United States"/>
    <s v="East"/>
    <s v="New York"/>
    <s v="Coram"/>
    <n v="11727"/>
    <d v="2015-05-30T00:00:00"/>
    <d v="2015-06-07T00:00:00"/>
    <n v="16.021799999999999"/>
    <n v="18"/>
    <x v="593"/>
    <n v="91355"/>
    <n v="7263.5399999999991"/>
  </r>
  <r>
    <n v="17.78"/>
    <n v="5.03"/>
    <n v="1062"/>
    <s v="Willie Robinson"/>
    <s v="Regular Air"/>
    <s v="Small Business"/>
    <x v="1"/>
    <x v="2"/>
    <s v="Small Box"/>
    <s v="Seth Thomas 13 1/2&quot; Wall Clock"/>
    <n v="0.54"/>
    <s v="United States"/>
    <s v="East"/>
    <s v="New York"/>
    <s v="Coram"/>
    <n v="11727"/>
    <d v="2015-05-30T00:00:00"/>
    <d v="2015-06-02T00:00:00"/>
    <n v="38.067300000000003"/>
    <n v="3"/>
    <x v="594"/>
    <n v="91355"/>
    <n v="165.51"/>
  </r>
  <r>
    <n v="15.99"/>
    <n v="13.18"/>
    <n v="1065"/>
    <s v="Vicki Bond"/>
    <s v="Regular Air"/>
    <s v="Corporate"/>
    <x v="0"/>
    <x v="8"/>
    <s v="Small Box"/>
    <s v="GBC Pre-Punched Binding Paper, Plastic, White, 8-1/2&quot; x 11&quot;"/>
    <n v="0.37"/>
    <s v="United States"/>
    <s v="Central"/>
    <s v="Illinois"/>
    <s v="Burbank"/>
    <n v="60459"/>
    <d v="2015-02-18T00:00:00"/>
    <d v="2015-02-20T00:00:00"/>
    <n v="-99.43544"/>
    <n v="23"/>
    <x v="595"/>
    <n v="88899"/>
    <n v="8681.1200000000008"/>
  </r>
  <r>
    <n v="22.84"/>
    <n v="16.87"/>
    <n v="1068"/>
    <s v="Erik Barr"/>
    <s v="Regular Air"/>
    <s v="Home Office"/>
    <x v="0"/>
    <x v="7"/>
    <s v="Small Box"/>
    <s v="Xerox 1982"/>
    <n v="0.39"/>
    <s v="United States"/>
    <s v="Central"/>
    <s v="Illinois"/>
    <s v="Calumet City"/>
    <n v="60409"/>
    <d v="2015-03-16T00:00:00"/>
    <d v="2015-03-16T00:00:00"/>
    <n v="-97.28"/>
    <n v="12"/>
    <x v="596"/>
    <n v="87109"/>
    <n v="3436.7999999999997"/>
  </r>
  <r>
    <n v="15.94"/>
    <n v="5.45"/>
    <n v="1069"/>
    <s v="Pam Bennett"/>
    <s v="Regular Air"/>
    <s v="Home Office"/>
    <x v="0"/>
    <x v="0"/>
    <s v="Small Pack"/>
    <s v="Boston 16701 Slimline Battery Pencil Sharpener"/>
    <n v="0.55000000000000004"/>
    <s v="United States"/>
    <s v="Central"/>
    <s v="Illinois"/>
    <s v="Carbondale"/>
    <n v="62901"/>
    <d v="2015-05-14T00:00:00"/>
    <d v="2015-05-15T00:00:00"/>
    <n v="139.61199999999999"/>
    <n v="41"/>
    <x v="597"/>
    <n v="87110"/>
    <n v="27237.940000000002"/>
  </r>
  <r>
    <n v="150.88999999999999"/>
    <n v="60.2"/>
    <n v="1072"/>
    <s v="Marion Owens"/>
    <s v="Delivery Truck"/>
    <s v="Corporate"/>
    <x v="1"/>
    <x v="1"/>
    <s v="Jumbo Drum"/>
    <s v="Global Leather &amp; Oak Executive Chair, Burgundy"/>
    <n v="0.77"/>
    <s v="United States"/>
    <s v="East"/>
    <s v="Pennsylvania"/>
    <s v="Bethlehem"/>
    <n v="18018"/>
    <d v="2015-03-27T00:00:00"/>
    <d v="2015-03-30T00:00:00"/>
    <n v="-505.76"/>
    <n v="3"/>
    <x v="598"/>
    <n v="89631"/>
    <n v="1420.59"/>
  </r>
  <r>
    <n v="19.23"/>
    <n v="6.15"/>
    <n v="1075"/>
    <s v="Theodore Tyson"/>
    <s v="Regular Air"/>
    <s v="Home Office"/>
    <x v="1"/>
    <x v="2"/>
    <s v="Small Pack"/>
    <s v="Executive Impressions 13&quot; Clairmont Wall Clock"/>
    <n v="0.44"/>
    <s v="United States"/>
    <s v="Central"/>
    <s v="Illinois"/>
    <s v="Romeoville"/>
    <n v="60441"/>
    <d v="2015-03-09T00:00:00"/>
    <d v="2015-03-10T00:00:00"/>
    <n v="152.4348"/>
    <n v="11"/>
    <x v="599"/>
    <n v="86422"/>
    <n v="2430.12"/>
  </r>
  <r>
    <n v="13.9"/>
    <n v="7.59"/>
    <n v="1080"/>
    <s v="Colleen Fletcher"/>
    <s v="Regular Air"/>
    <s v="Corporate"/>
    <x v="0"/>
    <x v="12"/>
    <s v="Small Pack"/>
    <s v="Acme Hot Forged Carbon Steel Scissors with Nickel-Plated Handles, 3 7/8&quot; Cut, 8&quot;L"/>
    <n v="0.56000000000000005"/>
    <s v="United States"/>
    <s v="Central"/>
    <s v="Illinois"/>
    <s v="Saint Charles"/>
    <n v="60174"/>
    <d v="2015-05-08T00:00:00"/>
    <d v="2015-05-09T00:00:00"/>
    <n v="9.8620000000000001"/>
    <n v="14"/>
    <x v="600"/>
    <n v="88461"/>
    <n v="2749.74"/>
  </r>
  <r>
    <n v="55.99"/>
    <n v="5"/>
    <n v="1083"/>
    <s v="Hazel Dale"/>
    <s v="Express Air"/>
    <s v="Corporate"/>
    <x v="2"/>
    <x v="5"/>
    <s v="Small Pack"/>
    <s v="Accessory36"/>
    <n v="0.83"/>
    <s v="United States"/>
    <s v="Central"/>
    <s v="Illinois"/>
    <s v="Springfield"/>
    <n v="62701"/>
    <d v="2015-03-31T00:00:00"/>
    <d v="2015-04-02T00:00:00"/>
    <n v="-232.99100000000001"/>
    <n v="1"/>
    <x v="601"/>
    <n v="88460"/>
    <n v="54.08"/>
  </r>
  <r>
    <n v="7.64"/>
    <n v="5.83"/>
    <n v="1085"/>
    <s v="Ted Dunlap"/>
    <s v="Regular Air"/>
    <s v="Home Office"/>
    <x v="0"/>
    <x v="7"/>
    <s v="Wrap Bag"/>
    <s v="Rediform Wirebound &quot;Phone Memo&quot; Message Book, 11 x 5-3/4"/>
    <n v="0.36"/>
    <s v="United States"/>
    <s v="East"/>
    <s v="New York"/>
    <s v="Deer Park"/>
    <n v="11729"/>
    <d v="2015-01-05T00:00:00"/>
    <d v="2015-01-06T00:00:00"/>
    <n v="-40.275199999999998"/>
    <n v="6"/>
    <x v="602"/>
    <n v="86122"/>
    <n v="283.08"/>
  </r>
  <r>
    <n v="9.06"/>
    <n v="9.86"/>
    <n v="1085"/>
    <s v="Ted Dunlap"/>
    <s v="Regular Air"/>
    <s v="Home Office"/>
    <x v="0"/>
    <x v="7"/>
    <s v="Small Box"/>
    <s v="Southworth 25% Cotton Linen-Finish Paper &amp; Envelopes"/>
    <n v="0.4"/>
    <s v="United States"/>
    <s v="East"/>
    <s v="New York"/>
    <s v="Deer Park"/>
    <n v="11729"/>
    <d v="2015-04-24T00:00:00"/>
    <d v="2015-04-25T00:00:00"/>
    <n v="-53.25"/>
    <n v="3"/>
    <x v="603"/>
    <n v="86123"/>
    <n v="92.61"/>
  </r>
  <r>
    <n v="30.42"/>
    <n v="8.65"/>
    <n v="1085"/>
    <s v="Ted Dunlap"/>
    <s v="Regular Air"/>
    <s v="Corporate"/>
    <x v="2"/>
    <x v="13"/>
    <s v="Small Box"/>
    <s v="Fellowes Internet Keyboard, Platinum"/>
    <n v="0.74"/>
    <s v="United States"/>
    <s v="East"/>
    <s v="New York"/>
    <s v="Deer Park"/>
    <n v="11729"/>
    <d v="2015-05-13T00:00:00"/>
    <d v="2015-05-15T00:00:00"/>
    <n v="-159.25"/>
    <n v="10"/>
    <x v="604"/>
    <n v="86124"/>
    <n v="3090.5"/>
  </r>
  <r>
    <n v="37.94"/>
    <n v="5.08"/>
    <n v="1085"/>
    <s v="Ted Dunlap"/>
    <s v="Regular Air"/>
    <s v="Corporate"/>
    <x v="0"/>
    <x v="7"/>
    <s v="Wrap Bag"/>
    <s v="Snap-A-Way® Black Print Carbonless Ruled Speed Letter, Triplicate"/>
    <n v="0.38"/>
    <s v="United States"/>
    <s v="East"/>
    <s v="New York"/>
    <s v="Deer Park"/>
    <n v="11729"/>
    <d v="2015-05-13T00:00:00"/>
    <d v="2015-05-14T00:00:00"/>
    <n v="206.517"/>
    <n v="8"/>
    <x v="605"/>
    <n v="86124"/>
    <n v="2394.4"/>
  </r>
  <r>
    <n v="14.27"/>
    <n v="7.27"/>
    <n v="1086"/>
    <s v="Leon Peele"/>
    <s v="Regular Air"/>
    <s v="Home Office"/>
    <x v="0"/>
    <x v="8"/>
    <s v="Small Box"/>
    <s v="GBC Laser Imprintable Binding System Covers, Desert Sand"/>
    <n v="0.38"/>
    <s v="United States"/>
    <s v="East"/>
    <s v="New York"/>
    <s v="Dix Hills"/>
    <n v="11746"/>
    <d v="2015-04-24T00:00:00"/>
    <d v="2015-04-25T00:00:00"/>
    <n v="2.125"/>
    <n v="3"/>
    <x v="606"/>
    <n v="86123"/>
    <n v="135.72"/>
  </r>
  <r>
    <n v="15.14"/>
    <n v="4.53"/>
    <n v="1101"/>
    <s v="Kimberly McCarthy"/>
    <s v="Regular Air"/>
    <s v="Small Business"/>
    <x v="0"/>
    <x v="10"/>
    <s v="Small Box"/>
    <s v="Eldon® Gobal File Keepers"/>
    <n v="0.81"/>
    <s v="United States"/>
    <s v="West"/>
    <s v="California"/>
    <s v="Oxnard"/>
    <n v="93030"/>
    <d v="2015-05-05T00:00:00"/>
    <d v="2015-05-06T00:00:00"/>
    <n v="5.8840000000000003"/>
    <n v="3"/>
    <x v="607"/>
    <n v="91488"/>
    <n v="153.06"/>
  </r>
  <r>
    <n v="328.14"/>
    <n v="91.05"/>
    <n v="1103"/>
    <s v="Sidney Bowling"/>
    <s v="Delivery Truck"/>
    <s v="Home Office"/>
    <x v="0"/>
    <x v="15"/>
    <s v="Jumbo Drum"/>
    <s v="Sanyo Counter Height Refrigerator with Crisper, 3.6 Cubic Foot, Stainless Steel/Black"/>
    <n v="0.56999999999999995"/>
    <s v="United States"/>
    <s v="Central"/>
    <s v="Nebraska"/>
    <s v="Omaha"/>
    <n v="68046"/>
    <d v="2015-04-10T00:00:00"/>
    <d v="2015-04-11T00:00:00"/>
    <n v="772.04"/>
    <n v="7"/>
    <x v="608"/>
    <n v="90977"/>
    <n v="16039.73"/>
  </r>
  <r>
    <n v="328.14"/>
    <n v="91.05"/>
    <n v="1104"/>
    <s v="Timothy Ross"/>
    <s v="Delivery Truck"/>
    <s v="Home Office"/>
    <x v="0"/>
    <x v="15"/>
    <s v="Jumbo Drum"/>
    <s v="Sanyo Counter Height Refrigerator with Crisper, 3.6 Cubic Foot, Stainless Steel/Black"/>
    <n v="0.56999999999999995"/>
    <s v="United States"/>
    <s v="East"/>
    <s v="New York"/>
    <s v="New York City"/>
    <n v="10282"/>
    <d v="2015-04-10T00:00:00"/>
    <d v="2015-04-11T00:00:00"/>
    <n v="772.04"/>
    <n v="29"/>
    <x v="609"/>
    <n v="27456"/>
    <n v="275294.68"/>
  </r>
  <r>
    <n v="6.35"/>
    <n v="1.02"/>
    <n v="1106"/>
    <s v="Maxine Collier Grady"/>
    <s v="Regular Air"/>
    <s v="Small Business"/>
    <x v="0"/>
    <x v="7"/>
    <s v="Wrap Bag"/>
    <s v="Telephone Message Books with Fax/Mobile Section, 5 1/2&quot; x 3 3/16&quot;"/>
    <n v="0.39"/>
    <s v="United States"/>
    <s v="Central"/>
    <s v="Texas"/>
    <s v="Dallas"/>
    <n v="75220"/>
    <d v="2015-05-20T00:00:00"/>
    <d v="2015-05-23T00:00:00"/>
    <n v="81.91"/>
    <n v="52"/>
    <x v="610"/>
    <n v="20261"/>
    <n v="16560.440000000002"/>
  </r>
  <r>
    <n v="9.31"/>
    <n v="3.98"/>
    <n v="1106"/>
    <s v="Maxine Collier Grady"/>
    <s v="Regular Air"/>
    <s v="Small Business"/>
    <x v="0"/>
    <x v="12"/>
    <s v="Small Pack"/>
    <s v="Acme® Forged Steel Scissors with Black Enamel Handles"/>
    <n v="0.56000000000000005"/>
    <s v="United States"/>
    <s v="Central"/>
    <s v="Texas"/>
    <s v="Dallas"/>
    <n v="75220"/>
    <d v="2015-05-21T00:00:00"/>
    <d v="2015-05-22T00:00:00"/>
    <n v="-10.9"/>
    <n v="61"/>
    <x v="611"/>
    <n v="646"/>
    <n v="35804.560000000005"/>
  </r>
  <r>
    <n v="140.81"/>
    <n v="24.49"/>
    <n v="1106"/>
    <s v="Maxine Collier Grady"/>
    <s v="Regular Air"/>
    <s v="Consumer"/>
    <x v="1"/>
    <x v="1"/>
    <s v="Large Box"/>
    <s v="Hon Olson Stacker Stools"/>
    <n v="0.56999999999999995"/>
    <s v="United States"/>
    <s v="Central"/>
    <s v="Texas"/>
    <s v="Dallas"/>
    <n v="75220"/>
    <d v="2015-06-06T00:00:00"/>
    <d v="2015-06-08T00:00:00"/>
    <n v="1232.79"/>
    <n v="81"/>
    <x v="612"/>
    <n v="45824"/>
    <n v="913094.37"/>
  </r>
  <r>
    <n v="9.31"/>
    <n v="3.98"/>
    <n v="1107"/>
    <s v="Joanna Keith"/>
    <s v="Regular Air"/>
    <s v="Small Business"/>
    <x v="0"/>
    <x v="12"/>
    <s v="Small Pack"/>
    <s v="Acme® Forged Steel Scissors with Black Enamel Handles"/>
    <n v="0.56000000000000005"/>
    <s v="United States"/>
    <s v="Central"/>
    <s v="Texas"/>
    <s v="Lake Jackson"/>
    <n v="77566"/>
    <d v="2015-05-21T00:00:00"/>
    <d v="2015-05-22T00:00:00"/>
    <n v="2.1800000000000002"/>
    <n v="15"/>
    <x v="613"/>
    <n v="86411"/>
    <n v="2164.9500000000003"/>
  </r>
  <r>
    <n v="31.74"/>
    <n v="12.62"/>
    <n v="1108"/>
    <s v="Dwight Bishop"/>
    <s v="Express Air"/>
    <s v="Small Business"/>
    <x v="0"/>
    <x v="8"/>
    <s v="Small Box"/>
    <s v="GBC Wire Binding Strips"/>
    <n v="0.37"/>
    <s v="United States"/>
    <s v="Central"/>
    <s v="Texas"/>
    <s v="Lancaster"/>
    <n v="75146"/>
    <d v="2015-05-20T00:00:00"/>
    <d v="2015-05-20T00:00:00"/>
    <n v="67.107500000000002"/>
    <n v="9"/>
    <x v="614"/>
    <n v="86409"/>
    <n v="2434.9500000000003"/>
  </r>
  <r>
    <n v="6.35"/>
    <n v="1.02"/>
    <n v="1108"/>
    <s v="Dwight Bishop"/>
    <s v="Regular Air"/>
    <s v="Small Business"/>
    <x v="0"/>
    <x v="7"/>
    <s v="Wrap Bag"/>
    <s v="Telephone Message Books with Fax/Mobile Section, 5 1/2&quot; x 3 3/16&quot;"/>
    <n v="0.39"/>
    <s v="United States"/>
    <s v="Central"/>
    <s v="Texas"/>
    <s v="Lancaster"/>
    <n v="75146"/>
    <d v="2015-05-20T00:00:00"/>
    <d v="2015-05-23T00:00:00"/>
    <n v="54.937800000000003"/>
    <n v="13"/>
    <x v="615"/>
    <n v="86409"/>
    <n v="1035.06"/>
  </r>
  <r>
    <n v="65.989999999999995"/>
    <n v="8.99"/>
    <n v="1108"/>
    <s v="Dwight Bishop"/>
    <s v="Express Air"/>
    <s v="Small Business"/>
    <x v="2"/>
    <x v="5"/>
    <s v="Small Box"/>
    <s v="Talkabout T8367"/>
    <n v="0.56000000000000005"/>
    <s v="United States"/>
    <s v="Central"/>
    <s v="Texas"/>
    <s v="Lancaster"/>
    <n v="75146"/>
    <d v="2015-05-20T00:00:00"/>
    <d v="2015-05-21T00:00:00"/>
    <n v="168.23699999999999"/>
    <n v="8"/>
    <x v="616"/>
    <n v="86409"/>
    <n v="3838.32"/>
  </r>
  <r>
    <n v="8.3699999999999992"/>
    <n v="10.16"/>
    <n v="1109"/>
    <s v="Dennis Welch"/>
    <s v="Regular Air"/>
    <s v="Consumer"/>
    <x v="1"/>
    <x v="2"/>
    <s v="Large Box"/>
    <s v="Westinghouse Clip-On Gooseneck Lamps"/>
    <n v="0.59"/>
    <s v="United States"/>
    <s v="Central"/>
    <s v="Texas"/>
    <s v="Laredo"/>
    <n v="78041"/>
    <d v="2015-06-29T00:00:00"/>
    <d v="2015-06-29T00:00:00"/>
    <n v="-169.232"/>
    <n v="13"/>
    <x v="617"/>
    <n v="86410"/>
    <n v="1416.87"/>
  </r>
  <r>
    <n v="300.98"/>
    <n v="54.92"/>
    <n v="1112"/>
    <s v="Luis Kerr"/>
    <s v="Delivery Truck"/>
    <s v="Corporate"/>
    <x v="1"/>
    <x v="14"/>
    <s v="Jumbo Box"/>
    <s v="Atlantic Metals Mobile 5-Shelf Bookcases, Custom Colors"/>
    <n v="0.55000000000000004"/>
    <s v="United States"/>
    <s v="West"/>
    <s v="California"/>
    <s v="Yucaipa"/>
    <n v="92399"/>
    <d v="2015-04-02T00:00:00"/>
    <d v="2015-04-04T00:00:00"/>
    <n v="1272.5808"/>
    <n v="12"/>
    <x v="618"/>
    <n v="90832"/>
    <n v="42333.840000000004"/>
  </r>
  <r>
    <n v="2550.14"/>
    <n v="29.7"/>
    <n v="1112"/>
    <s v="Luis Kerr"/>
    <s v="Delivery Truck"/>
    <s v="Corporate"/>
    <x v="2"/>
    <x v="6"/>
    <s v="Jumbo Drum"/>
    <s v="Epson DFX-8500 Dot Matrix Printer"/>
    <n v="0.56999999999999995"/>
    <s v="United States"/>
    <s v="West"/>
    <s v="California"/>
    <s v="Yucaipa"/>
    <n v="92399"/>
    <d v="2015-04-02T00:00:00"/>
    <d v="2015-04-04T00:00:00"/>
    <n v="-5390.7388920000003"/>
    <n v="2"/>
    <x v="619"/>
    <n v="90832"/>
    <n v="9396.42"/>
  </r>
  <r>
    <n v="2.89"/>
    <n v="0.5"/>
    <n v="1113"/>
    <s v="Julia Reynolds"/>
    <s v="Regular Air"/>
    <s v="Corporate"/>
    <x v="0"/>
    <x v="9"/>
    <s v="Small Box"/>
    <s v="Avery 498"/>
    <n v="0.38"/>
    <s v="United States"/>
    <s v="West"/>
    <s v="Colorado"/>
    <s v="Arvada"/>
    <n v="80004"/>
    <d v="2015-04-06T00:00:00"/>
    <d v="2015-04-07T00:00:00"/>
    <n v="29.725200000000001"/>
    <n v="14"/>
    <x v="173"/>
    <n v="90833"/>
    <n v="603.12"/>
  </r>
  <r>
    <n v="55.99"/>
    <n v="5"/>
    <n v="1113"/>
    <s v="Julia Reynolds"/>
    <s v="Regular Air"/>
    <s v="Corporate"/>
    <x v="2"/>
    <x v="5"/>
    <s v="Small Pack"/>
    <s v="Accessory6"/>
    <n v="0.8"/>
    <s v="United States"/>
    <s v="West"/>
    <s v="Colorado"/>
    <s v="Arvada"/>
    <n v="80004"/>
    <d v="2015-04-06T00:00:00"/>
    <d v="2015-04-08T00:00:00"/>
    <n v="-187.11"/>
    <n v="5"/>
    <x v="620"/>
    <n v="90833"/>
    <n v="1294.6500000000001"/>
  </r>
  <r>
    <n v="64.650000000000006"/>
    <n v="35"/>
    <n v="1117"/>
    <s v="Samantha Koch"/>
    <s v="Regular Air"/>
    <s v="Home Office"/>
    <x v="0"/>
    <x v="10"/>
    <s v="Large Box"/>
    <s v="Space Solutions Commercial Steel Shelving"/>
    <n v="0.8"/>
    <s v="United States"/>
    <s v="West"/>
    <s v="Arizona"/>
    <s v="Tucson"/>
    <n v="85705"/>
    <d v="2015-02-05T00:00:00"/>
    <d v="2015-02-06T00:00:00"/>
    <n v="-139.28720000000001"/>
    <n v="4"/>
    <x v="621"/>
    <n v="86768"/>
    <n v="1110.4000000000001"/>
  </r>
  <r>
    <n v="19.98"/>
    <n v="8.68"/>
    <n v="1121"/>
    <s v="Tonya Proctor"/>
    <s v="Regular Air"/>
    <s v="Consumer"/>
    <x v="0"/>
    <x v="7"/>
    <s v="Small Box"/>
    <s v="Southworth 25% Cotton Premium Laser Paper and Envelopes"/>
    <n v="0.37"/>
    <s v="United States"/>
    <s v="West"/>
    <s v="California"/>
    <s v="Temecula"/>
    <n v="92592"/>
    <d v="2015-02-07T00:00:00"/>
    <d v="2015-02-14T00:00:00"/>
    <n v="108"/>
    <n v="8"/>
    <x v="622"/>
    <n v="86767"/>
    <n v="1344.32"/>
  </r>
  <r>
    <n v="125.99"/>
    <n v="7.69"/>
    <n v="1121"/>
    <s v="Tonya Proctor"/>
    <s v="Regular Air"/>
    <s v="Consumer"/>
    <x v="2"/>
    <x v="5"/>
    <s v="Small Box"/>
    <s v="Timeport L7089"/>
    <n v="0.57999999999999996"/>
    <s v="United States"/>
    <s v="West"/>
    <s v="California"/>
    <s v="Temecula"/>
    <n v="92592"/>
    <d v="2015-02-07T00:00:00"/>
    <d v="2015-02-09T00:00:00"/>
    <n v="377.154"/>
    <n v="7"/>
    <x v="623"/>
    <n v="86767"/>
    <n v="4924.22"/>
  </r>
  <r>
    <n v="7.3"/>
    <n v="7.72"/>
    <n v="1123"/>
    <s v="Peggy Lanier"/>
    <s v="Regular Air"/>
    <s v="Small Business"/>
    <x v="0"/>
    <x v="8"/>
    <s v="Small Box"/>
    <s v="Angle-D Binders with Locking Rings, Label Holders"/>
    <n v="0.38"/>
    <s v="United States"/>
    <s v="West"/>
    <s v="California"/>
    <s v="Roseville"/>
    <n v="95661"/>
    <d v="2015-03-15T00:00:00"/>
    <d v="2015-03-18T00:00:00"/>
    <n v="-127.05200000000001"/>
    <n v="14"/>
    <x v="624"/>
    <n v="87015"/>
    <n v="1450.54"/>
  </r>
  <r>
    <n v="175.99"/>
    <n v="4.99"/>
    <n v="1123"/>
    <s v="Peggy Lanier"/>
    <s v="Regular Air"/>
    <s v="Small Business"/>
    <x v="2"/>
    <x v="5"/>
    <s v="Small Box"/>
    <n v="5165"/>
    <n v="0.59"/>
    <s v="United States"/>
    <s v="West"/>
    <s v="California"/>
    <s v="Roseville"/>
    <n v="95661"/>
    <d v="2015-06-20T00:00:00"/>
    <d v="2015-06-22T00:00:00"/>
    <n v="2169.7464"/>
    <n v="22"/>
    <x v="625"/>
    <n v="87016"/>
    <n v="69180.319999999992"/>
  </r>
  <r>
    <n v="160.97999999999999"/>
    <n v="35.020000000000003"/>
    <n v="1124"/>
    <s v="Randy Jiang"/>
    <s v="Delivery Truck"/>
    <s v="Small Business"/>
    <x v="1"/>
    <x v="14"/>
    <s v="Jumbo Box"/>
    <s v="Rush Hierlooms Collection Rich Wood Bookcases"/>
    <n v="0.72"/>
    <s v="United States"/>
    <s v="East"/>
    <s v="Connecticut"/>
    <s v="Norwich"/>
    <n v="6360"/>
    <d v="2015-06-20T00:00:00"/>
    <d v="2015-06-21T00:00:00"/>
    <n v="-229.93"/>
    <n v="18"/>
    <x v="626"/>
    <n v="87016"/>
    <n v="47754.36"/>
  </r>
  <r>
    <n v="4.0599999999999996"/>
    <n v="6.89"/>
    <n v="1127"/>
    <s v="Ray Grady"/>
    <s v="Regular Air"/>
    <s v="Consumer"/>
    <x v="0"/>
    <x v="15"/>
    <s v="Small Box"/>
    <s v="Eureka Disposable Bags for Sanitaire® Vibra Groomer I® Upright Vac"/>
    <n v="0.6"/>
    <s v="United States"/>
    <s v="Central"/>
    <s v="Texas"/>
    <s v="Eagle Pass"/>
    <n v="78852"/>
    <d v="2015-02-24T00:00:00"/>
    <d v="2015-02-26T00:00:00"/>
    <n v="-93.735200000000006"/>
    <n v="16"/>
    <x v="627"/>
    <n v="87221"/>
    <n v="1068.96"/>
  </r>
  <r>
    <n v="4.71"/>
    <n v="0.7"/>
    <n v="1127"/>
    <s v="Ray Grady"/>
    <s v="Regular Air"/>
    <s v="Consumer"/>
    <x v="0"/>
    <x v="3"/>
    <s v="Wrap Bag"/>
    <s v="Plymouth Boxed Rubber Bands by Plymouth"/>
    <n v="0.8"/>
    <s v="United States"/>
    <s v="Central"/>
    <s v="Texas"/>
    <s v="Eagle Pass"/>
    <n v="78852"/>
    <d v="2015-06-22T00:00:00"/>
    <d v="2015-06-26T00:00:00"/>
    <n v="4.53"/>
    <n v="19"/>
    <x v="628"/>
    <n v="87222"/>
    <n v="1719.8799999999999"/>
  </r>
  <r>
    <n v="4.2"/>
    <n v="2.2599999999999998"/>
    <n v="1128"/>
    <s v="Kurt O'Connor"/>
    <s v="Regular Air"/>
    <s v="Consumer"/>
    <x v="0"/>
    <x v="7"/>
    <s v="Wrap Bag"/>
    <s v="Important Message Pads, 50 4-1/4 x 5-1/2 Forms per Pad"/>
    <n v="0.36"/>
    <s v="United States"/>
    <s v="Central"/>
    <s v="Texas"/>
    <s v="Edinburg"/>
    <n v="78539"/>
    <d v="2015-06-22T00:00:00"/>
    <d v="2015-06-27T00:00:00"/>
    <n v="9.7799999999999994"/>
    <n v="13"/>
    <x v="629"/>
    <n v="87222"/>
    <n v="727.61"/>
  </r>
  <r>
    <n v="8.6"/>
    <n v="6.19"/>
    <n v="1129"/>
    <s v="Pam Patton"/>
    <s v="Regular Air"/>
    <s v="Home Office"/>
    <x v="0"/>
    <x v="8"/>
    <s v="Small Box"/>
    <s v="Avery Printable Repositionable Plastic Tabs"/>
    <n v="0.38"/>
    <s v="United States"/>
    <s v="East"/>
    <s v="Massachusetts"/>
    <s v="Boston"/>
    <n v="2118"/>
    <d v="2015-02-16T00:00:00"/>
    <d v="2015-02-23T00:00:00"/>
    <n v="-63.813499999999998"/>
    <n v="37"/>
    <x v="630"/>
    <n v="32037"/>
    <n v="11531.42"/>
  </r>
  <r>
    <n v="699.99"/>
    <n v="24.49"/>
    <n v="1129"/>
    <s v="Pam Patton"/>
    <s v="Regular Air"/>
    <s v="Home Office"/>
    <x v="2"/>
    <x v="16"/>
    <s v="Large Box"/>
    <s v="Canon Imageclass D680 Copier / Fax"/>
    <n v="0.54"/>
    <s v="United States"/>
    <s v="East"/>
    <s v="Massachusetts"/>
    <s v="Boston"/>
    <n v="2118"/>
    <d v="2015-02-16T00:00:00"/>
    <d v="2015-02-20T00:00:00"/>
    <n v="325.29000000000002"/>
    <n v="15"/>
    <x v="631"/>
    <n v="32037"/>
    <n v="147937.65"/>
  </r>
  <r>
    <n v="5.78"/>
    <n v="7.64"/>
    <n v="1129"/>
    <s v="Pam Patton"/>
    <s v="Express Air"/>
    <s v="Corporate"/>
    <x v="0"/>
    <x v="7"/>
    <s v="Small Box"/>
    <s v="HP Office Recycled Paper (20Lb. and 87 Bright)"/>
    <n v="0.36"/>
    <s v="United States"/>
    <s v="East"/>
    <s v="Massachusetts"/>
    <s v="Boston"/>
    <n v="2118"/>
    <d v="2015-03-29T00:00:00"/>
    <d v="2015-03-31T00:00:00"/>
    <n v="-116.05"/>
    <n v="29"/>
    <x v="632"/>
    <n v="49125"/>
    <n v="5144.8900000000003"/>
  </r>
  <r>
    <n v="7.64"/>
    <n v="1.39"/>
    <n v="1129"/>
    <s v="Pam Patton"/>
    <s v="Regular Air"/>
    <s v="Home Office"/>
    <x v="0"/>
    <x v="4"/>
    <s v="Small Box"/>
    <s v="#10- 4 1/8&quot; x 9 1/2&quot; Security-Tint Envelopes"/>
    <n v="0.36"/>
    <s v="United States"/>
    <s v="East"/>
    <s v="Massachusetts"/>
    <s v="Boston"/>
    <n v="2118"/>
    <d v="2015-05-21T00:00:00"/>
    <d v="2015-05-23T00:00:00"/>
    <n v="117.38"/>
    <n v="52"/>
    <x v="633"/>
    <n v="13735"/>
    <n v="21159.32"/>
  </r>
  <r>
    <n v="30.98"/>
    <n v="6.5"/>
    <n v="1129"/>
    <s v="Pam Patton"/>
    <s v="Regular Air"/>
    <s v="Corporate"/>
    <x v="2"/>
    <x v="13"/>
    <s v="Small Box"/>
    <s v="Logitech Internet Navigator Keyboard"/>
    <n v="0.79"/>
    <s v="United States"/>
    <s v="East"/>
    <s v="Massachusetts"/>
    <s v="Boston"/>
    <n v="2118"/>
    <d v="2015-06-13T00:00:00"/>
    <d v="2015-06-17T00:00:00"/>
    <n v="-144.19999999999999"/>
    <n v="44"/>
    <x v="634"/>
    <n v="39430"/>
    <n v="58611.96"/>
  </r>
  <r>
    <n v="4.9800000000000004"/>
    <n v="6.07"/>
    <n v="1129"/>
    <s v="Pam Patton"/>
    <s v="Regular Air"/>
    <s v="Home Office"/>
    <x v="0"/>
    <x v="7"/>
    <s v="Small Box"/>
    <s v="Xerox 1897"/>
    <n v="0.36"/>
    <s v="United States"/>
    <s v="East"/>
    <s v="Massachusetts"/>
    <s v="Boston"/>
    <n v="2118"/>
    <d v="2015-01-26T00:00:00"/>
    <d v="2015-01-28T00:00:00"/>
    <n v="-46.92"/>
    <n v="19"/>
    <x v="635"/>
    <n v="57794"/>
    <n v="2004.5"/>
  </r>
  <r>
    <n v="7.64"/>
    <n v="1.39"/>
    <n v="1131"/>
    <s v="Benjamin Strauss"/>
    <s v="Regular Air"/>
    <s v="Home Office"/>
    <x v="0"/>
    <x v="4"/>
    <s v="Small Box"/>
    <s v="#10- 4 1/8&quot; x 9 1/2&quot; Security-Tint Envelopes"/>
    <n v="0.36"/>
    <s v="United States"/>
    <s v="Central"/>
    <s v="Texas"/>
    <s v="El Paso"/>
    <n v="79907"/>
    <d v="2015-05-21T00:00:00"/>
    <d v="2015-05-23T00:00:00"/>
    <n v="70.193700000000007"/>
    <n v="13"/>
    <x v="636"/>
    <n v="88103"/>
    <n v="1322.49"/>
  </r>
  <r>
    <n v="6.37"/>
    <n v="5.19"/>
    <n v="1132"/>
    <s v="Michael Robbins"/>
    <s v="Regular Air"/>
    <s v="Corporate"/>
    <x v="0"/>
    <x v="8"/>
    <s v="Small Box"/>
    <s v="C-Line Peel &amp; Stick Add-On Filing Pockets, 8-3/4 x 5-1/8, 10/Pack"/>
    <n v="0.38"/>
    <s v="United States"/>
    <s v="Central"/>
    <s v="Texas"/>
    <s v="Euless"/>
    <n v="76039"/>
    <d v="2015-02-10T00:00:00"/>
    <d v="2015-02-11T00:00:00"/>
    <n v="-48.219499999999996"/>
    <n v="6"/>
    <x v="637"/>
    <n v="88101"/>
    <n v="226.20000000000002"/>
  </r>
  <r>
    <n v="8.6"/>
    <n v="6.19"/>
    <n v="1132"/>
    <s v="Michael Robbins"/>
    <s v="Regular Air"/>
    <s v="Home Office"/>
    <x v="0"/>
    <x v="8"/>
    <s v="Small Box"/>
    <s v="Avery Printable Repositionable Plastic Tabs"/>
    <n v="0.38"/>
    <s v="United States"/>
    <s v="Central"/>
    <s v="Texas"/>
    <s v="Euless"/>
    <n v="76039"/>
    <d v="2015-02-16T00:00:00"/>
    <d v="2015-02-23T00:00:00"/>
    <n v="-63.813499999999998"/>
    <n v="9"/>
    <x v="638"/>
    <n v="88102"/>
    <n v="682.29"/>
  </r>
  <r>
    <n v="699.99"/>
    <n v="24.49"/>
    <n v="1132"/>
    <s v="Michael Robbins"/>
    <s v="Regular Air"/>
    <s v="Home Office"/>
    <x v="2"/>
    <x v="16"/>
    <s v="Large Box"/>
    <s v="Canon Imageclass D680 Copier / Fax"/>
    <n v="0.54"/>
    <s v="United States"/>
    <s v="Central"/>
    <s v="Texas"/>
    <s v="Euless"/>
    <n v="76039"/>
    <d v="2015-02-16T00:00:00"/>
    <d v="2015-02-20T00:00:00"/>
    <n v="325.29000000000002"/>
    <n v="4"/>
    <x v="639"/>
    <n v="88102"/>
    <n v="10520"/>
  </r>
  <r>
    <n v="30.98"/>
    <n v="6.5"/>
    <n v="1132"/>
    <s v="Michael Robbins"/>
    <s v="Regular Air"/>
    <s v="Corporate"/>
    <x v="2"/>
    <x v="13"/>
    <s v="Small Box"/>
    <s v="Logitech Internet Navigator Keyboard"/>
    <n v="0.79"/>
    <s v="United States"/>
    <s v="Central"/>
    <s v="Texas"/>
    <s v="Euless"/>
    <n v="76039"/>
    <d v="2015-06-13T00:00:00"/>
    <d v="2015-06-17T00:00:00"/>
    <n v="-115.36"/>
    <n v="11"/>
    <x v="640"/>
    <n v="88104"/>
    <n v="3663.22"/>
  </r>
  <r>
    <n v="4.9800000000000004"/>
    <n v="6.07"/>
    <n v="1133"/>
    <s v="Marjorie Owens"/>
    <s v="Regular Air"/>
    <s v="Home Office"/>
    <x v="0"/>
    <x v="7"/>
    <s v="Small Box"/>
    <s v="Xerox 1897"/>
    <n v="0.36"/>
    <s v="United States"/>
    <s v="Central"/>
    <s v="Texas"/>
    <s v="Farmers Branch"/>
    <n v="75234"/>
    <d v="2015-01-26T00:00:00"/>
    <d v="2015-01-28T00:00:00"/>
    <n v="-46.92"/>
    <n v="5"/>
    <x v="641"/>
    <n v="88105"/>
    <n v="138.80000000000001"/>
  </r>
  <r>
    <n v="270.97000000000003"/>
    <n v="28.06"/>
    <n v="1136"/>
    <s v="Carmen McPherson"/>
    <s v="Delivery Truck"/>
    <s v="Consumer"/>
    <x v="2"/>
    <x v="6"/>
    <s v="Jumbo Drum"/>
    <s v="Epson LQ-570e Dot Matrix Printer"/>
    <n v="0.56000000000000005"/>
    <s v="United States"/>
    <s v="Central"/>
    <s v="Illinois"/>
    <s v="Carol Stream"/>
    <n v="60188"/>
    <d v="2015-01-02T00:00:00"/>
    <d v="2015-01-04T00:00:00"/>
    <n v="2660.1432"/>
    <n v="15"/>
    <x v="642"/>
    <n v="87940"/>
    <n v="57829.200000000004"/>
  </r>
  <r>
    <n v="160.97999999999999"/>
    <n v="30"/>
    <n v="1138"/>
    <s v="Malcolm Floyd"/>
    <s v="Delivery Truck"/>
    <s v="Home Office"/>
    <x v="1"/>
    <x v="1"/>
    <s v="Jumbo Drum"/>
    <s v="Office Star - Mid Back Dual function Ergonomic High Back Chair with 2-Way Adjustable Arms"/>
    <n v="0.62"/>
    <s v="United States"/>
    <s v="Central"/>
    <s v="Texas"/>
    <s v="The Colony"/>
    <n v="75056"/>
    <d v="2015-02-16T00:00:00"/>
    <d v="2015-02-19T00:00:00"/>
    <n v="-51.116"/>
    <n v="1"/>
    <x v="643"/>
    <n v="86574"/>
    <n v="192.49"/>
  </r>
  <r>
    <n v="363.25"/>
    <n v="19.989999999999998"/>
    <n v="1142"/>
    <s v="Russell Chan"/>
    <s v="Regular Air"/>
    <s v="Home Office"/>
    <x v="0"/>
    <x v="15"/>
    <s v="Small Box"/>
    <s v="Hoover WindTunnel™ Plus Canister Vacuum"/>
    <n v="0.56999999999999995"/>
    <s v="United States"/>
    <s v="Central"/>
    <s v="Texas"/>
    <s v="Waco"/>
    <n v="76706"/>
    <d v="2015-01-04T00:00:00"/>
    <d v="2015-01-06T00:00:00"/>
    <n v="1766.7795000000001"/>
    <n v="7"/>
    <x v="644"/>
    <n v="86573"/>
    <n v="17923.850000000002"/>
  </r>
  <r>
    <n v="18.97"/>
    <n v="9.5399999999999991"/>
    <n v="1142"/>
    <s v="Russell Chan"/>
    <s v="Regular Air"/>
    <s v="Home Office"/>
    <x v="0"/>
    <x v="7"/>
    <s v="Small Box"/>
    <s v="Xerox 1939"/>
    <n v="0.37"/>
    <s v="United States"/>
    <s v="Central"/>
    <s v="Texas"/>
    <s v="Waco"/>
    <n v="76706"/>
    <d v="2015-06-06T00:00:00"/>
    <d v="2015-06-09T00:00:00"/>
    <n v="85.875"/>
    <n v="11"/>
    <x v="645"/>
    <n v="86575"/>
    <n v="2504.37"/>
  </r>
  <r>
    <n v="7.59"/>
    <n v="4"/>
    <n v="1151"/>
    <s v="Edna Huang"/>
    <s v="Regular Air"/>
    <s v="Corporate"/>
    <x v="1"/>
    <x v="2"/>
    <s v="Wrap Bag"/>
    <s v="Master Giant Foot® Doorstop, Safety Yellow"/>
    <n v="0.42"/>
    <s v="United States"/>
    <s v="East"/>
    <s v="Massachusetts"/>
    <s v="South Hadley"/>
    <n v="1075"/>
    <d v="2015-06-09T00:00:00"/>
    <d v="2015-06-09T00:00:00"/>
    <n v="6.0926999999999998"/>
    <n v="1"/>
    <x v="646"/>
    <n v="91344"/>
    <n v="8.83"/>
  </r>
  <r>
    <n v="9.11"/>
    <n v="2.15"/>
    <n v="1155"/>
    <s v="Alex Nicholson"/>
    <s v="Express Air"/>
    <s v="Consumer"/>
    <x v="0"/>
    <x v="7"/>
    <s v="Wrap Bag"/>
    <s v="Black Print Carbonless Snap-Off® Rapid Letter, 8 1/2&quot; x 7&quot;"/>
    <n v="0.4"/>
    <s v="United States"/>
    <s v="West"/>
    <s v="California"/>
    <s v="Montebello"/>
    <n v="90640"/>
    <d v="2015-01-02T00:00:00"/>
    <d v="2015-01-04T00:00:00"/>
    <n v="20.299600000000002"/>
    <n v="4"/>
    <x v="647"/>
    <n v="90853"/>
    <n v="137.63999999999999"/>
  </r>
  <r>
    <n v="15.04"/>
    <n v="1.97"/>
    <n v="1155"/>
    <s v="Alex Nicholson"/>
    <s v="Regular Air"/>
    <s v="Consumer"/>
    <x v="0"/>
    <x v="7"/>
    <s v="Wrap Bag"/>
    <s v="White GlueTop Scratch Pads"/>
    <n v="0.39"/>
    <s v="United States"/>
    <s v="West"/>
    <s v="California"/>
    <s v="Montebello"/>
    <n v="90640"/>
    <d v="2015-01-02T00:00:00"/>
    <d v="2015-01-02T00:00:00"/>
    <n v="108.5163"/>
    <n v="11"/>
    <x v="648"/>
    <n v="90853"/>
    <n v="1729.97"/>
  </r>
  <r>
    <n v="175.99"/>
    <n v="8.99"/>
    <n v="1156"/>
    <s v="Edith Forbes"/>
    <s v="Regular Air"/>
    <s v="Consumer"/>
    <x v="2"/>
    <x v="5"/>
    <s v="Small Box"/>
    <n v="2180"/>
    <n v="0.56999999999999995"/>
    <s v="United States"/>
    <s v="East"/>
    <s v="Massachusetts"/>
    <s v="Tewksbury"/>
    <n v="1876"/>
    <d v="2015-02-14T00:00:00"/>
    <d v="2015-02-15T00:00:00"/>
    <n v="48.47148"/>
    <n v="7"/>
    <x v="649"/>
    <n v="90855"/>
    <n v="7096.88"/>
  </r>
  <r>
    <n v="100.98"/>
    <n v="35.840000000000003"/>
    <n v="1159"/>
    <s v="Arlene Weeks"/>
    <s v="Delivery Truck"/>
    <s v="Consumer"/>
    <x v="1"/>
    <x v="14"/>
    <s v="Jumbo Box"/>
    <s v="Bush Westfield Collection Bookcases, Fully Assembled"/>
    <n v="0.62"/>
    <s v="United States"/>
    <s v="East"/>
    <s v="New Jersey"/>
    <s v="Union City"/>
    <n v="7086"/>
    <d v="2015-05-20T00:00:00"/>
    <d v="2015-05-21T00:00:00"/>
    <n v="-152.76"/>
    <n v="1"/>
    <x v="650"/>
    <n v="90854"/>
    <n v="110.75"/>
  </r>
  <r>
    <n v="9.7799999999999994"/>
    <n v="1.39"/>
    <n v="1170"/>
    <s v="Jessie Houston"/>
    <s v="Regular Air"/>
    <s v="Consumer"/>
    <x v="0"/>
    <x v="4"/>
    <s v="Small Box"/>
    <s v="Staples #10 Laser &amp; Inkjet Envelopes, 4 1/8&quot; x 9 1/2&quot;, 100/Box"/>
    <n v="0.39"/>
    <s v="United States"/>
    <s v="East"/>
    <s v="Delaware"/>
    <s v="Newark"/>
    <n v="19711"/>
    <d v="2015-06-02T00:00:00"/>
    <d v="2015-06-03T00:00:00"/>
    <n v="125.20740000000001"/>
    <n v="19"/>
    <x v="651"/>
    <n v="87520"/>
    <n v="3447.7400000000002"/>
  </r>
  <r>
    <n v="200.99"/>
    <n v="8.08"/>
    <n v="1170"/>
    <s v="Jessie Houston"/>
    <s v="Regular Air"/>
    <s v="Consumer"/>
    <x v="2"/>
    <x v="5"/>
    <s v="Small Box"/>
    <n v="5125"/>
    <n v="0.59"/>
    <s v="United States"/>
    <s v="East"/>
    <s v="Delaware"/>
    <s v="Newark"/>
    <n v="19711"/>
    <d v="2015-06-02T00:00:00"/>
    <d v="2015-06-04T00:00:00"/>
    <n v="281.53440000000001"/>
    <n v="6"/>
    <x v="652"/>
    <n v="87520"/>
    <n v="6457.7999999999993"/>
  </r>
  <r>
    <n v="4.4800000000000004"/>
    <n v="49"/>
    <n v="1178"/>
    <s v="Sandy Hunt"/>
    <s v="Regular Air"/>
    <s v="Consumer"/>
    <x v="0"/>
    <x v="15"/>
    <s v="Large Box"/>
    <s v="Hoover Portapower™ Portable Vacuum"/>
    <n v="0.6"/>
    <s v="United States"/>
    <s v="South"/>
    <s v="Florida"/>
    <s v="Altamonte Springs"/>
    <n v="32701"/>
    <d v="2015-04-09T00:00:00"/>
    <d v="2015-04-11T00:00:00"/>
    <n v="64.266000000000005"/>
    <n v="2"/>
    <x v="653"/>
    <n v="89787"/>
    <n v="42.92"/>
  </r>
  <r>
    <n v="350.99"/>
    <n v="39"/>
    <n v="1178"/>
    <s v="Sandy Hunt"/>
    <s v="Delivery Truck"/>
    <s v="Consumer"/>
    <x v="1"/>
    <x v="1"/>
    <s v="Jumbo Drum"/>
    <s v="Global Leather Executive Chair"/>
    <n v="0.55000000000000004"/>
    <s v="United States"/>
    <s v="South"/>
    <s v="Florida"/>
    <s v="Altamonte Springs"/>
    <n v="32701"/>
    <d v="2015-04-09T00:00:00"/>
    <d v="2015-04-11T00:00:00"/>
    <n v="-302.61559999999997"/>
    <n v="10"/>
    <x v="654"/>
    <n v="89787"/>
    <n v="35067.800000000003"/>
  </r>
  <r>
    <n v="40.98"/>
    <n v="6.5"/>
    <n v="1178"/>
    <s v="Sandy Hunt"/>
    <s v="Express Air"/>
    <s v="Consumer"/>
    <x v="2"/>
    <x v="13"/>
    <s v="Small Box"/>
    <s v="Targus USB Numeric Keypad"/>
    <n v="0.74"/>
    <s v="United States"/>
    <s v="South"/>
    <s v="Florida"/>
    <s v="Altamonte Springs"/>
    <n v="32701"/>
    <d v="2015-04-09T00:00:00"/>
    <d v="2015-04-11T00:00:00"/>
    <n v="5.6916000000000002"/>
    <n v="7"/>
    <x v="655"/>
    <n v="89787"/>
    <n v="1873.83"/>
  </r>
  <r>
    <n v="349.45"/>
    <n v="60"/>
    <n v="1178"/>
    <s v="Sandy Hunt"/>
    <s v="Delivery Truck"/>
    <s v="Consumer"/>
    <x v="1"/>
    <x v="11"/>
    <s v="Jumbo Drum"/>
    <s v="SAFCO PlanMaster Heigh-Adjustable Drafting Table Base, 43w x 30d x 30-37h, Black"/>
    <m/>
    <s v="United States"/>
    <s v="South"/>
    <s v="Florida"/>
    <s v="Altamonte Springs"/>
    <n v="32701"/>
    <d v="2015-04-09T00:00:00"/>
    <d v="2015-04-10T00:00:00"/>
    <n v="-369.11"/>
    <n v="7"/>
    <x v="656"/>
    <n v="89787"/>
    <n v="16150.820000000002"/>
  </r>
  <r>
    <n v="2.61"/>
    <n v="0.5"/>
    <n v="1182"/>
    <s v="Jesse Williamson"/>
    <s v="Regular Air"/>
    <s v="Home Office"/>
    <x v="0"/>
    <x v="9"/>
    <s v="Small Box"/>
    <s v="Avery 494"/>
    <n v="0.39"/>
    <s v="United States"/>
    <s v="West"/>
    <s v="Utah"/>
    <s v="Spanish Fork"/>
    <n v="84660"/>
    <d v="2015-05-23T00:00:00"/>
    <d v="2015-05-23T00:00:00"/>
    <n v="27.013500000000001"/>
    <n v="15"/>
    <x v="657"/>
    <n v="86913"/>
    <n v="587.25"/>
  </r>
  <r>
    <n v="35.99"/>
    <n v="3.3"/>
    <n v="1183"/>
    <s v="Becky O'Brien"/>
    <s v="Regular Air"/>
    <s v="Home Office"/>
    <x v="2"/>
    <x v="5"/>
    <s v="Small Pack"/>
    <s v="Accessory9"/>
    <n v="0.39"/>
    <s v="United States"/>
    <s v="West"/>
    <s v="Utah"/>
    <s v="Springville"/>
    <n v="84663"/>
    <d v="2015-06-29T00:00:00"/>
    <d v="2015-06-29T00:00:00"/>
    <n v="184.19550000000001"/>
    <n v="9"/>
    <x v="658"/>
    <n v="86914"/>
    <n v="2402.5499999999997"/>
  </r>
  <r>
    <n v="6783.02"/>
    <n v="24.49"/>
    <n v="1185"/>
    <s v="Lee Xu"/>
    <s v="Regular Air"/>
    <s v="Consumer"/>
    <x v="2"/>
    <x v="6"/>
    <s v="Large Box"/>
    <s v="Polycom ViewStation™ ISDN Videoconferencing Unit"/>
    <n v="0.39"/>
    <s v="United States"/>
    <s v="South"/>
    <s v="Alabama"/>
    <s v="Madison"/>
    <n v="35756"/>
    <d v="2015-03-21T00:00:00"/>
    <d v="2015-03-22T00:00:00"/>
    <n v="4.1100000000000003"/>
    <n v="3"/>
    <x v="659"/>
    <n v="85938"/>
    <n v="61657.649999999994"/>
  </r>
  <r>
    <n v="11.7"/>
    <n v="6.96"/>
    <n v="1185"/>
    <s v="Lee Xu"/>
    <s v="Regular Air"/>
    <s v="Consumer"/>
    <x v="0"/>
    <x v="15"/>
    <s v="Medium Box"/>
    <s v="Harmony HEPA Quiet Air Purifiers"/>
    <n v="0.5"/>
    <s v="United States"/>
    <s v="South"/>
    <s v="Alabama"/>
    <s v="Madison"/>
    <n v="35756"/>
    <d v="2015-04-10T00:00:00"/>
    <d v="2015-04-13T00:00:00"/>
    <n v="28.565999999999999"/>
    <n v="8"/>
    <x v="660"/>
    <n v="85940"/>
    <n v="702.4"/>
  </r>
  <r>
    <n v="400.97"/>
    <n v="48.26"/>
    <n v="1186"/>
    <s v="Glenda Herbert"/>
    <s v="Delivery Truck"/>
    <s v="Consumer"/>
    <x v="2"/>
    <x v="6"/>
    <s v="Jumbo Box"/>
    <s v="Hewlett-Packard Deskjet 1220Cse Color Inkjet Printer"/>
    <n v="0.36"/>
    <s v="United States"/>
    <s v="West"/>
    <s v="California"/>
    <s v="Huntington Beach"/>
    <n v="92646"/>
    <d v="2015-04-09T00:00:00"/>
    <d v="2015-04-10T00:00:00"/>
    <n v="2581.5590999999999"/>
    <n v="10"/>
    <x v="661"/>
    <n v="85939"/>
    <n v="37413.9"/>
  </r>
  <r>
    <n v="10.89"/>
    <n v="4.5"/>
    <n v="1189"/>
    <s v="Dwight Stephenson"/>
    <s v="Regular Air"/>
    <s v="Consumer"/>
    <x v="0"/>
    <x v="15"/>
    <s v="Small Box"/>
    <s v="Belkin 6 Outlet Metallic Surge Strip"/>
    <n v="0.59"/>
    <s v="United States"/>
    <s v="West"/>
    <s v="California"/>
    <s v="Huntington Beach"/>
    <n v="92646"/>
    <d v="2015-06-17T00:00:00"/>
    <d v="2015-06-22T00:00:00"/>
    <n v="-25.111999999999998"/>
    <n v="14"/>
    <x v="662"/>
    <n v="87584"/>
    <n v="2090.48"/>
  </r>
  <r>
    <n v="10.64"/>
    <n v="5.16"/>
    <n v="1189"/>
    <s v="Dwight Stephenson"/>
    <s v="Regular Air"/>
    <s v="Consumer"/>
    <x v="1"/>
    <x v="2"/>
    <s v="Small Box"/>
    <s v="Eldon Expressions Punched Metal &amp; Wood Desk Accessories, Pewter &amp; Cherry"/>
    <n v="0.56999999999999995"/>
    <s v="United States"/>
    <s v="West"/>
    <s v="California"/>
    <s v="Huntington Beach"/>
    <n v="92646"/>
    <d v="2015-06-17T00:00:00"/>
    <d v="2015-06-22T00:00:00"/>
    <n v="17.376000000000001"/>
    <n v="16"/>
    <x v="663"/>
    <n v="87584"/>
    <n v="2832.16"/>
  </r>
  <r>
    <n v="7.96"/>
    <n v="4.95"/>
    <n v="1189"/>
    <s v="Dwight Stephenson"/>
    <s v="Regular Air"/>
    <s v="Consumer"/>
    <x v="1"/>
    <x v="2"/>
    <s v="Small Box"/>
    <s v="Staples Plastic Wall Frames"/>
    <n v="0.41"/>
    <s v="United States"/>
    <s v="West"/>
    <s v="California"/>
    <s v="Huntington Beach"/>
    <n v="92646"/>
    <d v="2015-06-17T00:00:00"/>
    <d v="2015-06-19T00:00:00"/>
    <n v="24.260400000000001"/>
    <n v="4"/>
    <x v="664"/>
    <n v="87584"/>
    <n v="140.63999999999999"/>
  </r>
  <r>
    <n v="28.53"/>
    <n v="1.49"/>
    <n v="1191"/>
    <s v="John Morse"/>
    <s v="Regular Air"/>
    <s v="Small Business"/>
    <x v="0"/>
    <x v="8"/>
    <s v="Small Box"/>
    <s v="Lock-Up Easel 'Spel-Binder'"/>
    <n v="0.38"/>
    <s v="United States"/>
    <s v="East"/>
    <s v="Connecticut"/>
    <s v="New Britain"/>
    <n v="6050"/>
    <d v="2015-06-28T00:00:00"/>
    <d v="2015-07-01T00:00:00"/>
    <n v="59.4405"/>
    <n v="3"/>
    <x v="665"/>
    <n v="87587"/>
    <n v="266.52"/>
  </r>
  <r>
    <n v="10.64"/>
    <n v="5.16"/>
    <n v="1193"/>
    <s v="Louis Parrish"/>
    <s v="Regular Air"/>
    <s v="Consumer"/>
    <x v="1"/>
    <x v="2"/>
    <s v="Small Box"/>
    <s v="Eldon Expressions Punched Metal &amp; Wood Desk Accessories, Pewter &amp; Cherry"/>
    <n v="0.56999999999999995"/>
    <s v="United States"/>
    <s v="East"/>
    <s v="District of Columbia"/>
    <s v="Washington"/>
    <n v="20016"/>
    <d v="2015-06-17T00:00:00"/>
    <d v="2015-06-22T00:00:00"/>
    <n v="14.48"/>
    <n v="63"/>
    <x v="666"/>
    <n v="5984"/>
    <n v="43908.480000000003"/>
  </r>
  <r>
    <n v="7.96"/>
    <n v="4.95"/>
    <n v="1193"/>
    <s v="Louis Parrish"/>
    <s v="Regular Air"/>
    <s v="Consumer"/>
    <x v="1"/>
    <x v="2"/>
    <s v="Small Box"/>
    <s v="Staples Plastic Wall Frames"/>
    <n v="0.41"/>
    <s v="United States"/>
    <s v="East"/>
    <s v="District of Columbia"/>
    <s v="Washington"/>
    <n v="20016"/>
    <d v="2015-06-17T00:00:00"/>
    <d v="2015-06-19T00:00:00"/>
    <n v="22.25"/>
    <n v="17"/>
    <x v="667"/>
    <n v="5984"/>
    <n v="2539.9699999999998"/>
  </r>
  <r>
    <n v="52.4"/>
    <n v="16.11"/>
    <n v="1193"/>
    <s v="Louis Parrish"/>
    <s v="Regular Air"/>
    <s v="Consumer"/>
    <x v="0"/>
    <x v="8"/>
    <s v="Small Box"/>
    <s v="Ibico Laser Imprintable Binding System Covers"/>
    <n v="0.39"/>
    <s v="United States"/>
    <s v="East"/>
    <s v="District of Columbia"/>
    <s v="Washington"/>
    <n v="20016"/>
    <d v="2015-02-25T00:00:00"/>
    <d v="2015-02-27T00:00:00"/>
    <n v="592.52650000000006"/>
    <n v="85"/>
    <x v="668"/>
    <n v="29350"/>
    <n v="387313.55"/>
  </r>
  <r>
    <n v="36.549999999999997"/>
    <n v="13.89"/>
    <n v="1193"/>
    <s v="Louis Parrish"/>
    <s v="Express Air"/>
    <s v="Consumer"/>
    <x v="0"/>
    <x v="0"/>
    <s v="Wrap Bag"/>
    <s v="Dixon Ticonderoga Core-Lock Colored Pencils, 48-Color Set"/>
    <n v="0.41"/>
    <s v="United States"/>
    <s v="East"/>
    <s v="District of Columbia"/>
    <s v="Washington"/>
    <n v="20016"/>
    <d v="2015-02-25T00:00:00"/>
    <d v="2015-02-26T00:00:00"/>
    <n v="232.8"/>
    <n v="83"/>
    <x v="669"/>
    <n v="29350"/>
    <n v="244734.63"/>
  </r>
  <r>
    <n v="5.98"/>
    <n v="1.49"/>
    <n v="1193"/>
    <s v="Louis Parrish"/>
    <s v="Regular Air"/>
    <s v="Small Business"/>
    <x v="0"/>
    <x v="8"/>
    <s v="Small Box"/>
    <s v="Avery Hanging File Binders"/>
    <n v="0.39"/>
    <s v="United States"/>
    <s v="East"/>
    <s v="District of Columbia"/>
    <s v="Washington"/>
    <n v="20016"/>
    <d v="2015-05-01T00:00:00"/>
    <d v="2015-05-03T00:00:00"/>
    <n v="38.08"/>
    <n v="85"/>
    <x v="670"/>
    <n v="38852"/>
    <n v="44017.25"/>
  </r>
  <r>
    <n v="49.99"/>
    <n v="19.989999999999998"/>
    <n v="1193"/>
    <s v="Louis Parrish"/>
    <s v="Regular Air"/>
    <s v="Small Business"/>
    <x v="2"/>
    <x v="13"/>
    <s v="Small Box"/>
    <s v="Zoom V.92 USB External Faxmodem"/>
    <n v="0.41"/>
    <s v="United States"/>
    <s v="East"/>
    <s v="District of Columbia"/>
    <s v="Washington"/>
    <n v="20016"/>
    <d v="2015-06-28T00:00:00"/>
    <d v="2015-06-30T00:00:00"/>
    <n v="-17.03"/>
    <n v="48"/>
    <x v="671"/>
    <n v="11206"/>
    <n v="113919.36000000002"/>
  </r>
  <r>
    <n v="28.53"/>
    <n v="1.49"/>
    <n v="1193"/>
    <s v="Louis Parrish"/>
    <s v="Regular Air"/>
    <s v="Small Business"/>
    <x v="0"/>
    <x v="8"/>
    <s v="Small Box"/>
    <s v="Lock-Up Easel 'Spel-Binder'"/>
    <n v="0.38"/>
    <s v="United States"/>
    <s v="East"/>
    <s v="District of Columbia"/>
    <s v="Washington"/>
    <n v="20016"/>
    <d v="2015-06-28T00:00:00"/>
    <d v="2015-07-01T00:00:00"/>
    <n v="39.627000000000002"/>
    <n v="11"/>
    <x v="672"/>
    <n v="11206"/>
    <n v="3583.03"/>
  </r>
  <r>
    <n v="5.98"/>
    <n v="1.49"/>
    <n v="1194"/>
    <s v="Sidney Brewer"/>
    <s v="Regular Air"/>
    <s v="Small Business"/>
    <x v="0"/>
    <x v="8"/>
    <s v="Small Box"/>
    <s v="Avery Hanging File Binders"/>
    <n v="0.39"/>
    <s v="United States"/>
    <s v="South"/>
    <s v="Florida"/>
    <s v="Immokalee"/>
    <n v="34142"/>
    <d v="2015-05-01T00:00:00"/>
    <d v="2015-05-03T00:00:00"/>
    <n v="20.495999999999999"/>
    <n v="21"/>
    <x v="673"/>
    <n v="87586"/>
    <n v="2686.74"/>
  </r>
  <r>
    <n v="355.98"/>
    <n v="58.92"/>
    <n v="1197"/>
    <s v="Grace McNeill Hunt"/>
    <s v="Delivery Truck"/>
    <s v="Small Business"/>
    <x v="1"/>
    <x v="1"/>
    <s v="Jumbo Drum"/>
    <s v="Hon 4700 Series Mobuis™ Mid-Back Task Chairs with Adjustable Arms"/>
    <n v="0.64"/>
    <s v="United States"/>
    <s v="East"/>
    <s v="Massachusetts"/>
    <s v="Sudbury"/>
    <n v="1776"/>
    <d v="2015-03-18T00:00:00"/>
    <d v="2015-03-20T00:00:00"/>
    <n v="103.83"/>
    <n v="4"/>
    <x v="674"/>
    <n v="87583"/>
    <n v="5403.76"/>
  </r>
  <r>
    <n v="15.14"/>
    <n v="4.53"/>
    <n v="1199"/>
    <s v="Edward Lamm"/>
    <s v="Regular Air"/>
    <s v="Consumer"/>
    <x v="0"/>
    <x v="10"/>
    <s v="Small Box"/>
    <s v="Eldon® Gobal File Keepers"/>
    <n v="0.81"/>
    <s v="United States"/>
    <s v="East"/>
    <s v="New Hampshire"/>
    <s v="Nashua"/>
    <n v="3060"/>
    <d v="2015-02-25T00:00:00"/>
    <d v="2015-02-28T00:00:00"/>
    <n v="-24.897600000000001"/>
    <n v="5"/>
    <x v="675"/>
    <n v="87585"/>
    <n v="375.85"/>
  </r>
  <r>
    <n v="52.4"/>
    <n v="16.11"/>
    <n v="1200"/>
    <s v="Beth English"/>
    <s v="Regular Air"/>
    <s v="Consumer"/>
    <x v="0"/>
    <x v="8"/>
    <s v="Small Box"/>
    <s v="Ibico Laser Imprintable Binding System Covers"/>
    <n v="0.39"/>
    <s v="United States"/>
    <s v="East"/>
    <s v="New Jersey"/>
    <s v="Elmwood Park"/>
    <n v="7407"/>
    <d v="2015-02-25T00:00:00"/>
    <d v="2015-02-27T00:00:00"/>
    <n v="776.77440000000001"/>
    <n v="21"/>
    <x v="676"/>
    <n v="87585"/>
    <n v="23640.959999999999"/>
  </r>
  <r>
    <n v="36.549999999999997"/>
    <n v="13.89"/>
    <n v="1202"/>
    <s v="Faye Wolf"/>
    <s v="Express Air"/>
    <s v="Consumer"/>
    <x v="0"/>
    <x v="0"/>
    <s v="Wrap Bag"/>
    <s v="Dixon Ticonderoga Core-Lock Colored Pencils, 48-Color Set"/>
    <n v="0.41"/>
    <s v="United States"/>
    <s v="East"/>
    <s v="New Jersey"/>
    <s v="South Orange"/>
    <n v="7079"/>
    <d v="2015-02-25T00:00:00"/>
    <d v="2015-02-26T00:00:00"/>
    <n v="344.54399999999998"/>
    <n v="21"/>
    <x v="677"/>
    <n v="87585"/>
    <n v="15666.63"/>
  </r>
  <r>
    <n v="49.99"/>
    <n v="19.989999999999998"/>
    <n v="1203"/>
    <s v="Judy Merritt"/>
    <s v="Regular Air"/>
    <s v="Small Business"/>
    <x v="2"/>
    <x v="13"/>
    <s v="Small Box"/>
    <s v="Zoom V.92 USB External Faxmodem"/>
    <n v="0.41"/>
    <s v="United States"/>
    <s v="East"/>
    <s v="Rhode Island"/>
    <s v="Cranston"/>
    <n v="2920"/>
    <d v="2015-06-28T00:00:00"/>
    <d v="2015-06-30T00:00:00"/>
    <n v="-8.5150000000000006"/>
    <n v="12"/>
    <x v="678"/>
    <n v="87587"/>
    <n v="7119.9600000000009"/>
  </r>
  <r>
    <n v="3.08"/>
    <n v="0.5"/>
    <n v="1211"/>
    <s v="Debra Proctor"/>
    <s v="Regular Air"/>
    <s v="Corporate"/>
    <x v="0"/>
    <x v="9"/>
    <s v="Small Box"/>
    <s v="Avery 497"/>
    <n v="0.37"/>
    <s v="United States"/>
    <s v="Central"/>
    <s v="Indiana"/>
    <s v="Fort Wayne"/>
    <n v="46806"/>
    <d v="2015-02-01T00:00:00"/>
    <d v="2015-02-06T00:00:00"/>
    <n v="9.0045000000000002"/>
    <n v="4"/>
    <x v="679"/>
    <n v="88598"/>
    <n v="52.2"/>
  </r>
  <r>
    <n v="4.91"/>
    <n v="4.97"/>
    <n v="1212"/>
    <s v="Eileen Fletcher"/>
    <s v="Regular Air"/>
    <s v="Corporate"/>
    <x v="0"/>
    <x v="8"/>
    <s v="Small Box"/>
    <s v="Pressboard Covers with Storage Hooks, 9 1/2&quot; x 11&quot;, Light Blue"/>
    <n v="0.38"/>
    <s v="United States"/>
    <s v="Central"/>
    <s v="Indiana"/>
    <s v="Gary"/>
    <n v="46404"/>
    <d v="2015-01-15T00:00:00"/>
    <d v="2015-01-16T00:00:00"/>
    <n v="-99.762500000000003"/>
    <n v="12"/>
    <x v="680"/>
    <n v="88600"/>
    <n v="707.40000000000009"/>
  </r>
  <r>
    <n v="3499.99"/>
    <n v="24.49"/>
    <n v="1212"/>
    <s v="Eileen Fletcher"/>
    <s v="Regular Air"/>
    <s v="Corporate"/>
    <x v="2"/>
    <x v="16"/>
    <s v="Large Box"/>
    <s v="Canon imageCLASS 2200 Advanced Copier"/>
    <n v="0.37"/>
    <s v="United States"/>
    <s v="Central"/>
    <s v="Indiana"/>
    <s v="Gary"/>
    <n v="46404"/>
    <d v="2015-01-15T00:00:00"/>
    <d v="2015-01-16T00:00:00"/>
    <n v="-3061.82"/>
    <n v="1"/>
    <x v="681"/>
    <n v="88600"/>
    <n v="3672.89"/>
  </r>
  <r>
    <n v="29.89"/>
    <n v="1.99"/>
    <n v="1213"/>
    <s v="Jeremy Pratt"/>
    <s v="Express Air"/>
    <s v="Corporate"/>
    <x v="2"/>
    <x v="13"/>
    <s v="Small Pack"/>
    <s v="Verbatim DVD-RAM, 5.2GB, Rewritable, Type 1, DS"/>
    <n v="0.5"/>
    <s v="United States"/>
    <s v="Central"/>
    <s v="Indiana"/>
    <s v="Granger"/>
    <n v="46530"/>
    <d v="2015-02-04T00:00:00"/>
    <d v="2015-02-09T00:00:00"/>
    <n v="258.6189"/>
    <n v="13"/>
    <x v="682"/>
    <n v="88599"/>
    <n v="4872.53"/>
  </r>
  <r>
    <n v="8.34"/>
    <n v="4.82"/>
    <n v="1213"/>
    <s v="Jeremy Pratt"/>
    <s v="Regular Air"/>
    <s v="Corporate"/>
    <x v="0"/>
    <x v="7"/>
    <s v="Small Box"/>
    <s v="Southworth 25% Cotton Antique Laid Paper &amp; Envelopes"/>
    <n v="0.4"/>
    <s v="United States"/>
    <s v="Central"/>
    <s v="Indiana"/>
    <s v="Granger"/>
    <n v="46530"/>
    <d v="2015-02-04T00:00:00"/>
    <d v="2015-02-08T00:00:00"/>
    <n v="-6.71"/>
    <n v="5"/>
    <x v="683"/>
    <n v="88599"/>
    <n v="216.35000000000002"/>
  </r>
  <r>
    <n v="5.84"/>
    <n v="1.2"/>
    <n v="1213"/>
    <s v="Jeremy Pratt"/>
    <s v="Regular Air"/>
    <s v="Corporate"/>
    <x v="0"/>
    <x v="0"/>
    <s v="Wrap Bag"/>
    <s v="Newell 312"/>
    <n v="0.55000000000000004"/>
    <s v="United States"/>
    <s v="Central"/>
    <s v="Indiana"/>
    <s v="Granger"/>
    <n v="46530"/>
    <d v="2015-01-15T00:00:00"/>
    <d v="2015-01-17T00:00:00"/>
    <n v="-0.01"/>
    <n v="2"/>
    <x v="684"/>
    <n v="88600"/>
    <n v="23.48"/>
  </r>
  <r>
    <n v="130.97999999999999"/>
    <n v="30"/>
    <n v="1217"/>
    <s v="Billy Perry Browning"/>
    <s v="Delivery Truck"/>
    <s v="Small Business"/>
    <x v="1"/>
    <x v="1"/>
    <s v="Jumbo Drum"/>
    <s v="Office Star - Contemporary Task Swivel chair with 2-way adjustable arms, Plum"/>
    <n v="0.78"/>
    <s v="United States"/>
    <s v="East"/>
    <s v="Massachusetts"/>
    <s v="Boston"/>
    <n v="2112"/>
    <d v="2015-04-28T00:00:00"/>
    <d v="2015-05-01T00:00:00"/>
    <n v="-421.76"/>
    <n v="41"/>
    <x v="685"/>
    <n v="54595"/>
    <n v="215616.53999999998"/>
  </r>
  <r>
    <n v="8.34"/>
    <n v="2.64"/>
    <n v="1226"/>
    <s v="Ken Cash"/>
    <s v="Regular Air"/>
    <s v="Small Business"/>
    <x v="0"/>
    <x v="12"/>
    <s v="Small Pack"/>
    <s v="Acme® Elite Stainless Steel Scissors"/>
    <n v="0.59"/>
    <s v="United States"/>
    <s v="East"/>
    <s v="Rhode Island"/>
    <s v="Pawtucket"/>
    <n v="2861"/>
    <d v="2015-04-28T00:00:00"/>
    <d v="2015-04-30T00:00:00"/>
    <n v="6.79"/>
    <n v="8"/>
    <x v="686"/>
    <n v="90800"/>
    <n v="533.91999999999996"/>
  </r>
  <r>
    <n v="130.97999999999999"/>
    <n v="30"/>
    <n v="1227"/>
    <s v="Elsie Hwang"/>
    <s v="Delivery Truck"/>
    <s v="Small Business"/>
    <x v="1"/>
    <x v="1"/>
    <s v="Jumbo Drum"/>
    <s v="Office Star - Contemporary Task Swivel chair with 2-way adjustable arms, Plum"/>
    <n v="0.78"/>
    <s v="United States"/>
    <s v="East"/>
    <s v="Vermont"/>
    <s v="South Burlington"/>
    <n v="5403"/>
    <d v="2015-04-28T00:00:00"/>
    <d v="2015-05-01T00:00:00"/>
    <n v="-421.76"/>
    <n v="10"/>
    <x v="687"/>
    <n v="90800"/>
    <n v="12826.7"/>
  </r>
  <r>
    <n v="7.1"/>
    <n v="6.05"/>
    <n v="1228"/>
    <s v="Hazel Jennings"/>
    <s v="Regular Air"/>
    <s v="Small Business"/>
    <x v="0"/>
    <x v="8"/>
    <s v="Small Box"/>
    <s v="Wilson Jones Hanging View Binder, White, 1&quot;"/>
    <n v="0.39"/>
    <s v="United States"/>
    <s v="East"/>
    <s v="Pennsylvania"/>
    <s v="Philadelphia"/>
    <n v="19140"/>
    <d v="2015-02-16T00:00:00"/>
    <d v="2015-02-17T00:00:00"/>
    <n v="-60.145000000000003"/>
    <n v="28"/>
    <x v="688"/>
    <n v="55874"/>
    <n v="5847.2400000000007"/>
  </r>
  <r>
    <n v="4.9800000000000004"/>
    <n v="4.62"/>
    <n v="1228"/>
    <s v="Hazel Jennings"/>
    <s v="Express Air"/>
    <s v="Small Business"/>
    <x v="2"/>
    <x v="13"/>
    <s v="Small Pack"/>
    <s v="Imation 3.5&quot;, DISKETTE 44766 HGHLD3.52HD/FM, 10/Pack"/>
    <n v="0.64"/>
    <s v="United States"/>
    <s v="East"/>
    <s v="Pennsylvania"/>
    <s v="Philadelphia"/>
    <n v="19140"/>
    <d v="2015-02-16T00:00:00"/>
    <d v="2015-02-18T00:00:00"/>
    <n v="-111.72"/>
    <n v="41"/>
    <x v="689"/>
    <n v="55874"/>
    <n v="9360.3000000000011"/>
  </r>
  <r>
    <n v="5.68"/>
    <n v="1.39"/>
    <n v="1228"/>
    <s v="Hazel Jennings"/>
    <s v="Regular Air"/>
    <s v="Small Business"/>
    <x v="0"/>
    <x v="4"/>
    <s v="Small Box"/>
    <s v="Staples Standard Envelopes"/>
    <n v="0.38"/>
    <s v="United States"/>
    <s v="East"/>
    <s v="Pennsylvania"/>
    <s v="Philadelphia"/>
    <n v="19140"/>
    <d v="2015-02-16T00:00:00"/>
    <d v="2015-02-16T00:00:00"/>
    <n v="33.01"/>
    <n v="24"/>
    <x v="690"/>
    <n v="55874"/>
    <n v="3108.7200000000003"/>
  </r>
  <r>
    <n v="4.9800000000000004"/>
    <n v="4.62"/>
    <n v="1229"/>
    <s v="Patrick Byrne"/>
    <s v="Express Air"/>
    <s v="Small Business"/>
    <x v="2"/>
    <x v="13"/>
    <s v="Small Pack"/>
    <s v="Imation 3.5&quot;, DISKETTE 44766 HGHLD3.52HD/FM, 10/Pack"/>
    <n v="0.64"/>
    <s v="United States"/>
    <s v="Central"/>
    <s v="Texas"/>
    <s v="Sulphur Springs"/>
    <n v="75482"/>
    <d v="2015-02-16T00:00:00"/>
    <d v="2015-02-18T00:00:00"/>
    <n v="-111.72"/>
    <n v="10"/>
    <x v="691"/>
    <n v="90378"/>
    <n v="556.79999999999995"/>
  </r>
  <r>
    <n v="120.98"/>
    <n v="9.07"/>
    <n v="1233"/>
    <s v="Gary Hester"/>
    <s v="Express Air"/>
    <s v="Consumer"/>
    <x v="0"/>
    <x v="8"/>
    <s v="Small Box"/>
    <s v="GBC VeloBinder Electric Binding Machine"/>
    <n v="0.35"/>
    <s v="United States"/>
    <s v="Central"/>
    <s v="Texas"/>
    <s v="Flower Mound"/>
    <n v="75028"/>
    <d v="2015-04-09T00:00:00"/>
    <d v="2015-04-11T00:00:00"/>
    <n v="297.45715999999999"/>
    <n v="5"/>
    <x v="692"/>
    <n v="89375"/>
    <n v="2841.2"/>
  </r>
  <r>
    <n v="152.47999999999999"/>
    <n v="6.5"/>
    <n v="1233"/>
    <s v="Gary Hester"/>
    <s v="Express Air"/>
    <s v="Consumer"/>
    <x v="2"/>
    <x v="13"/>
    <s v="Small Box"/>
    <s v="Adesso Programmable 142-Key Keyboard"/>
    <n v="0.74"/>
    <s v="United States"/>
    <s v="Central"/>
    <s v="Texas"/>
    <s v="Flower Mound"/>
    <n v="75028"/>
    <d v="2015-04-09T00:00:00"/>
    <d v="2015-04-11T00:00:00"/>
    <n v="-564.60239999999999"/>
    <n v="1"/>
    <x v="693"/>
    <n v="89375"/>
    <n v="162.91"/>
  </r>
  <r>
    <n v="99.99"/>
    <n v="19.989999999999998"/>
    <n v="1233"/>
    <s v="Gary Hester"/>
    <s v="Regular Air"/>
    <s v="Consumer"/>
    <x v="2"/>
    <x v="13"/>
    <s v="Small Box"/>
    <s v="US Robotics 56K V.92 External Faxmodem"/>
    <n v="0.52"/>
    <s v="United States"/>
    <s v="Central"/>
    <s v="Texas"/>
    <s v="Flower Mound"/>
    <n v="75028"/>
    <d v="2015-06-04T00:00:00"/>
    <d v="2015-06-06T00:00:00"/>
    <n v="-161.47499999999999"/>
    <n v="1"/>
    <x v="694"/>
    <n v="89376"/>
    <n v="97.65"/>
  </r>
  <r>
    <n v="205.99"/>
    <n v="5.26"/>
    <n v="1233"/>
    <s v="Gary Hester"/>
    <s v="Regular Air"/>
    <s v="Consumer"/>
    <x v="2"/>
    <x v="5"/>
    <s v="Small Box"/>
    <s v="i470"/>
    <n v="0.56000000000000005"/>
    <s v="United States"/>
    <s v="Central"/>
    <s v="Texas"/>
    <s v="Flower Mound"/>
    <n v="75028"/>
    <d v="2015-06-04T00:00:00"/>
    <d v="2015-06-05T00:00:00"/>
    <n v="-0.81399999999999995"/>
    <n v="6"/>
    <x v="695"/>
    <n v="89376"/>
    <n v="6111.66"/>
  </r>
  <r>
    <n v="128.24"/>
    <n v="12.65"/>
    <n v="1237"/>
    <s v="Eva Simpson"/>
    <s v="Regular Air"/>
    <s v="Corporate"/>
    <x v="1"/>
    <x v="1"/>
    <s v="Medium Box"/>
    <s v="SAFCO Folding Chair Trolley"/>
    <m/>
    <s v="United States"/>
    <s v="Central"/>
    <s v="Texas"/>
    <s v="Carrollton"/>
    <n v="75007"/>
    <d v="2015-01-31T00:00:00"/>
    <d v="2015-02-02T00:00:00"/>
    <n v="790.46400000000006"/>
    <n v="9"/>
    <x v="696"/>
    <n v="86075"/>
    <n v="10310.4"/>
  </r>
  <r>
    <n v="7.38"/>
    <n v="5.21"/>
    <n v="1237"/>
    <s v="Eva Simpson"/>
    <s v="Regular Air"/>
    <s v="Corporate"/>
    <x v="1"/>
    <x v="2"/>
    <s v="Small Box"/>
    <s v="Eldon® Expressions™ Wood Desk Accessories, Oak"/>
    <n v="0.56000000000000005"/>
    <s v="United States"/>
    <s v="Central"/>
    <s v="Texas"/>
    <s v="Carrollton"/>
    <n v="75007"/>
    <d v="2015-03-29T00:00:00"/>
    <d v="2015-03-30T00:00:00"/>
    <n v="7.74"/>
    <n v="3"/>
    <x v="697"/>
    <n v="86076"/>
    <n v="73.56"/>
  </r>
  <r>
    <n v="300.98"/>
    <n v="13.99"/>
    <n v="1237"/>
    <s v="Eva Simpson"/>
    <s v="Regular Air"/>
    <s v="Corporate"/>
    <x v="2"/>
    <x v="6"/>
    <s v="Medium Box"/>
    <s v="Polycom VoiceStation 100"/>
    <n v="0.39"/>
    <s v="United States"/>
    <s v="Central"/>
    <s v="Texas"/>
    <s v="Carrollton"/>
    <n v="75007"/>
    <d v="2015-05-25T00:00:00"/>
    <d v="2015-05-26T00:00:00"/>
    <n v="3985.3089"/>
    <n v="20"/>
    <x v="698"/>
    <n v="86077"/>
    <n v="115516.20000000001"/>
  </r>
  <r>
    <n v="205.99"/>
    <n v="5"/>
    <n v="1237"/>
    <s v="Eva Simpson"/>
    <s v="Express Air"/>
    <s v="Corporate"/>
    <x v="2"/>
    <x v="5"/>
    <s v="Small Box"/>
    <s v="Phone 918"/>
    <n v="0.59"/>
    <s v="United States"/>
    <s v="Central"/>
    <s v="Texas"/>
    <s v="Carrollton"/>
    <n v="75007"/>
    <d v="2015-05-25T00:00:00"/>
    <d v="2015-05-26T00:00:00"/>
    <n v="13.956799999999999"/>
    <n v="11"/>
    <x v="699"/>
    <n v="86077"/>
    <n v="20660.64"/>
  </r>
  <r>
    <n v="160.97999999999999"/>
    <n v="30"/>
    <n v="1238"/>
    <s v="April Bowers"/>
    <s v="Delivery Truck"/>
    <s v="Corporate"/>
    <x v="1"/>
    <x v="1"/>
    <s v="Jumbo Drum"/>
    <s v="Office Star - Mid Back Dual function Ergonomic High Back Chair with 2-Way Adjustable Arms"/>
    <n v="0.62"/>
    <s v="United States"/>
    <s v="Central"/>
    <s v="Texas"/>
    <s v="Cedar Hill"/>
    <n v="75104"/>
    <d v="2015-01-31T00:00:00"/>
    <d v="2015-02-02T00:00:00"/>
    <n v="788.79"/>
    <n v="10"/>
    <x v="700"/>
    <n v="86075"/>
    <n v="16346.7"/>
  </r>
  <r>
    <n v="387.99"/>
    <n v="19.989999999999998"/>
    <n v="1241"/>
    <s v="Bradley Schroeder"/>
    <s v="Regular Air"/>
    <s v="Corporate"/>
    <x v="0"/>
    <x v="8"/>
    <s v="Small Box"/>
    <s v="Fellowes PB300 Plastic Comb Binding Machine"/>
    <n v="0.38"/>
    <s v="United States"/>
    <s v="South"/>
    <s v="Alabama"/>
    <s v="Auburn"/>
    <n v="36830"/>
    <d v="2015-03-16T00:00:00"/>
    <d v="2015-03-17T00:00:00"/>
    <n v="-70.14"/>
    <n v="23"/>
    <x v="701"/>
    <n v="90880"/>
    <n v="213456.56"/>
  </r>
  <r>
    <n v="200.97"/>
    <n v="15.59"/>
    <n v="1241"/>
    <s v="Bradley Schroeder"/>
    <s v="Delivery Truck"/>
    <s v="Small Business"/>
    <x v="2"/>
    <x v="6"/>
    <s v="Jumbo Drum"/>
    <s v="Hewlett-Packard Deskjet 6122 Color Inkjet Printer"/>
    <n v="0.36"/>
    <s v="United States"/>
    <s v="South"/>
    <s v="Alabama"/>
    <s v="Auburn"/>
    <n v="36830"/>
    <d v="2015-03-25T00:00:00"/>
    <d v="2015-03-25T00:00:00"/>
    <n v="531.61800000000005"/>
    <n v="7"/>
    <x v="702"/>
    <n v="90881"/>
    <n v="9441.81"/>
  </r>
  <r>
    <n v="22.38"/>
    <n v="15.1"/>
    <n v="1246"/>
    <s v="Lois Hansen"/>
    <s v="Regular Air"/>
    <s v="Home Office"/>
    <x v="0"/>
    <x v="8"/>
    <s v="Small Box"/>
    <s v="Avery Flip-Chart Easel Binder, Black"/>
    <n v="0.38"/>
    <s v="United States"/>
    <s v="East"/>
    <s v="New York"/>
    <s v="New York City"/>
    <n v="10009"/>
    <d v="2015-04-05T00:00:00"/>
    <d v="2015-04-06T00:00:00"/>
    <n v="-107.51349999999999"/>
    <n v="26"/>
    <x v="703"/>
    <n v="36452"/>
    <n v="14689.48"/>
  </r>
  <r>
    <n v="6.98"/>
    <n v="2.83"/>
    <n v="1246"/>
    <s v="Lois Hansen"/>
    <s v="Regular Air"/>
    <s v="Home Office"/>
    <x v="1"/>
    <x v="2"/>
    <s v="Small Pack"/>
    <s v="G.E. Halogen Desk Lamp Bulbs"/>
    <n v="0.37"/>
    <s v="United States"/>
    <s v="East"/>
    <s v="New York"/>
    <s v="New York City"/>
    <n v="10009"/>
    <d v="2015-04-05T00:00:00"/>
    <d v="2015-04-07T00:00:00"/>
    <n v="46.01"/>
    <n v="18"/>
    <x v="704"/>
    <n v="36452"/>
    <n v="2330.64"/>
  </r>
  <r>
    <n v="256.99"/>
    <n v="11.25"/>
    <n v="1246"/>
    <s v="Lois Hansen"/>
    <s v="Regular Air"/>
    <s v="Home Office"/>
    <x v="2"/>
    <x v="13"/>
    <s v="Small Box"/>
    <s v="Hayes Optima 56K V.90 Internal Voice Modem"/>
    <n v="0.51"/>
    <s v="United States"/>
    <s v="East"/>
    <s v="New York"/>
    <s v="New York City"/>
    <n v="10009"/>
    <d v="2015-05-22T00:00:00"/>
    <d v="2015-05-22T00:00:00"/>
    <n v="1489.8"/>
    <n v="32"/>
    <x v="705"/>
    <n v="46853"/>
    <n v="262920.96000000002"/>
  </r>
  <r>
    <n v="22.38"/>
    <n v="15.1"/>
    <n v="1247"/>
    <s v="Henry O'Connell"/>
    <s v="Regular Air"/>
    <s v="Home Office"/>
    <x v="0"/>
    <x v="8"/>
    <s v="Small Box"/>
    <s v="Avery Flip-Chart Easel Binder, Black"/>
    <n v="0.38"/>
    <s v="United States"/>
    <s v="Central"/>
    <s v="Texas"/>
    <s v="Leander"/>
    <n v="78641"/>
    <d v="2015-04-05T00:00:00"/>
    <d v="2015-04-06T00:00:00"/>
    <n v="-107.51349999999999"/>
    <n v="7"/>
    <x v="706"/>
    <n v="91555"/>
    <n v="1064.77"/>
  </r>
  <r>
    <n v="6.98"/>
    <n v="2.83"/>
    <n v="1247"/>
    <s v="Henry O'Connell"/>
    <s v="Regular Air"/>
    <s v="Home Office"/>
    <x v="1"/>
    <x v="2"/>
    <s v="Small Pack"/>
    <s v="G.E. Halogen Desk Lamp Bulbs"/>
    <n v="0.37"/>
    <s v="United States"/>
    <s v="Central"/>
    <s v="Texas"/>
    <s v="Leander"/>
    <n v="78641"/>
    <d v="2015-04-05T00:00:00"/>
    <d v="2015-04-07T00:00:00"/>
    <n v="24.819299999999998"/>
    <n v="5"/>
    <x v="707"/>
    <n v="91555"/>
    <n v="179.85"/>
  </r>
  <r>
    <n v="3.89"/>
    <n v="7.01"/>
    <n v="1250"/>
    <s v="Kara Patton"/>
    <s v="Regular Air"/>
    <s v="Corporate"/>
    <x v="0"/>
    <x v="8"/>
    <s v="Small Box"/>
    <s v="Avery Binder Labels"/>
    <n v="0.37"/>
    <s v="United States"/>
    <s v="Central"/>
    <s v="Illinois"/>
    <s v="Carpentersville"/>
    <n v="60110"/>
    <d v="2015-04-09T00:00:00"/>
    <d v="2015-04-09T00:00:00"/>
    <n v="-255.16890000000001"/>
    <n v="21"/>
    <x v="708"/>
    <n v="87877"/>
    <n v="1798.44"/>
  </r>
  <r>
    <n v="120.98"/>
    <n v="30"/>
    <n v="1250"/>
    <s v="Kara Patton"/>
    <s v="Delivery Truck"/>
    <s v="Corporate"/>
    <x v="1"/>
    <x v="1"/>
    <s v="Jumbo Drum"/>
    <s v="Hon Every-Day® Chair Series Swivel Task Chairs"/>
    <n v="0.64"/>
    <s v="United States"/>
    <s v="Central"/>
    <s v="Illinois"/>
    <s v="Carpentersville"/>
    <n v="60110"/>
    <d v="2015-04-09T00:00:00"/>
    <d v="2015-04-11T00:00:00"/>
    <n v="74.004800000000003"/>
    <n v="22"/>
    <x v="709"/>
    <n v="87877"/>
    <n v="55179.3"/>
  </r>
  <r>
    <n v="30.98"/>
    <n v="5.76"/>
    <n v="1250"/>
    <s v="Kara Patton"/>
    <s v="Regular Air"/>
    <s v="Corporate"/>
    <x v="0"/>
    <x v="7"/>
    <s v="Small Box"/>
    <s v="IBM Multi-Purpose Copy Paper, 8 1/2 x 11&quot;, Case"/>
    <n v="0.4"/>
    <s v="United States"/>
    <s v="Central"/>
    <s v="Illinois"/>
    <s v="Carpentersville"/>
    <n v="60110"/>
    <d v="2015-04-09T00:00:00"/>
    <d v="2015-04-10T00:00:00"/>
    <n v="109.4248"/>
    <n v="8"/>
    <x v="710"/>
    <n v="87877"/>
    <n v="1804.96"/>
  </r>
  <r>
    <n v="46.89"/>
    <n v="5.0999999999999996"/>
    <n v="1253"/>
    <s v="Vickie Coates"/>
    <s v="Regular Air"/>
    <s v="Home Office"/>
    <x v="0"/>
    <x v="15"/>
    <s v="Medium Box"/>
    <s v="Bionaire Personal Warm Mist Humidifier/Vaporizer"/>
    <n v="0.46"/>
    <s v="United States"/>
    <s v="Central"/>
    <s v="Texas"/>
    <s v="Cedar Park"/>
    <n v="78613"/>
    <d v="2015-04-23T00:00:00"/>
    <d v="2015-04-23T00:00:00"/>
    <n v="421.3485"/>
    <n v="13"/>
    <x v="711"/>
    <n v="89981"/>
    <n v="7938.45"/>
  </r>
  <r>
    <n v="140.97999999999999"/>
    <n v="36.090000000000003"/>
    <n v="1253"/>
    <s v="Vickie Coates"/>
    <s v="Delivery Truck"/>
    <s v="Home Office"/>
    <x v="1"/>
    <x v="14"/>
    <s v="Jumbo Box"/>
    <s v="Sauder Forest Hills Library, Woodland Oak Finish"/>
    <n v="0.77"/>
    <s v="United States"/>
    <s v="Central"/>
    <s v="Texas"/>
    <s v="Cedar Park"/>
    <n v="78613"/>
    <d v="2015-04-23T00:00:00"/>
    <d v="2015-04-25T00:00:00"/>
    <n v="-373.09"/>
    <n v="5"/>
    <x v="712"/>
    <n v="89981"/>
    <n v="3496.2"/>
  </r>
  <r>
    <n v="212.6"/>
    <n v="110.2"/>
    <n v="1253"/>
    <s v="Vickie Coates"/>
    <s v="Delivery Truck"/>
    <s v="Home Office"/>
    <x v="1"/>
    <x v="11"/>
    <s v="Jumbo Box"/>
    <s v="Bush Advantage Collection® Round Conference Table"/>
    <n v="0.73"/>
    <s v="United States"/>
    <s v="Central"/>
    <s v="Texas"/>
    <s v="Cedar Park"/>
    <n v="78613"/>
    <d v="2015-04-23T00:00:00"/>
    <d v="2015-04-25T00:00:00"/>
    <n v="-3465.0720000000001"/>
    <n v="12"/>
    <x v="713"/>
    <n v="89981"/>
    <n v="28152.36"/>
  </r>
  <r>
    <n v="2.08"/>
    <n v="1.49"/>
    <n v="1254"/>
    <s v="Anne Bland"/>
    <s v="Regular Air"/>
    <s v="Home Office"/>
    <x v="0"/>
    <x v="8"/>
    <s v="Small Box"/>
    <s v="Economy Binders"/>
    <n v="0.36"/>
    <s v="United States"/>
    <s v="Central"/>
    <s v="Texas"/>
    <s v="Channelview"/>
    <n v="77530"/>
    <d v="2015-05-21T00:00:00"/>
    <d v="2015-05-23T00:00:00"/>
    <n v="-11.281499999999999"/>
    <n v="16"/>
    <x v="714"/>
    <n v="89982"/>
    <n v="540.32000000000005"/>
  </r>
  <r>
    <n v="80.98"/>
    <n v="35"/>
    <n v="1254"/>
    <s v="Anne Bland"/>
    <s v="Regular Air"/>
    <s v="Home Office"/>
    <x v="0"/>
    <x v="10"/>
    <s v="Large Box"/>
    <s v="Carina Double Wide Media Storage Towers in Natural &amp; Black"/>
    <n v="0.81"/>
    <s v="United States"/>
    <s v="Central"/>
    <s v="Texas"/>
    <s v="Channelview"/>
    <n v="77530"/>
    <d v="2015-03-12T00:00:00"/>
    <d v="2015-03-13T00:00:00"/>
    <n v="-218.77"/>
    <n v="2"/>
    <x v="715"/>
    <n v="89983"/>
    <n v="345.58"/>
  </r>
  <r>
    <n v="3.95"/>
    <n v="2"/>
    <n v="1254"/>
    <s v="Anne Bland"/>
    <s v="Regular Air"/>
    <s v="Home Office"/>
    <x v="0"/>
    <x v="3"/>
    <s v="Wrap Bag"/>
    <s v="Advantus Map Pennant Flags and Round Head Tacks"/>
    <n v="0.53"/>
    <s v="United States"/>
    <s v="Central"/>
    <s v="Texas"/>
    <s v="Channelview"/>
    <n v="77530"/>
    <d v="2015-03-24T00:00:00"/>
    <d v="2015-03-25T00:00:00"/>
    <n v="-9.68"/>
    <n v="5"/>
    <x v="716"/>
    <n v="89984"/>
    <n v="98.3"/>
  </r>
  <r>
    <n v="115.99"/>
    <n v="56.14"/>
    <n v="1257"/>
    <s v="Ryan Foster"/>
    <s v="Delivery Truck"/>
    <s v="Home Office"/>
    <x v="2"/>
    <x v="6"/>
    <s v="Jumbo Drum"/>
    <s v="Hewlett-Packard Deskjet 5550 Color Inkjet Printer"/>
    <n v="0.4"/>
    <s v="United States"/>
    <s v="West"/>
    <s v="Colorado"/>
    <s v="Aurora"/>
    <n v="80013"/>
    <d v="2015-05-22T00:00:00"/>
    <d v="2015-05-23T00:00:00"/>
    <n v="-164.39519999999999"/>
    <n v="5"/>
    <x v="717"/>
    <n v="86535"/>
    <n v="3021.75"/>
  </r>
  <r>
    <n v="2.52"/>
    <n v="1.92"/>
    <n v="1257"/>
    <s v="Ryan Foster"/>
    <s v="Regular Air"/>
    <s v="Home Office"/>
    <x v="0"/>
    <x v="12"/>
    <s v="Wrap Bag"/>
    <s v="Letter Slitter"/>
    <n v="0.82"/>
    <s v="United States"/>
    <s v="West"/>
    <s v="Colorado"/>
    <s v="Aurora"/>
    <n v="80013"/>
    <d v="2015-04-24T00:00:00"/>
    <d v="2015-04-24T00:00:00"/>
    <n v="-8.2080000000000002"/>
    <n v="1"/>
    <x v="718"/>
    <n v="86536"/>
    <n v="3.13"/>
  </r>
  <r>
    <n v="3.69"/>
    <n v="2.5"/>
    <n v="1259"/>
    <s v="Keith Hobbs"/>
    <s v="Express Air"/>
    <s v="Home Office"/>
    <x v="0"/>
    <x v="4"/>
    <s v="Small Box"/>
    <s v="Colored Envelopes"/>
    <n v="0.39"/>
    <s v="United States"/>
    <s v="South"/>
    <s v="Kentucky"/>
    <s v="Danville"/>
    <n v="40422"/>
    <d v="2015-04-20T00:00:00"/>
    <d v="2015-04-20T00:00:00"/>
    <n v="-2196.6840000000002"/>
    <n v="9"/>
    <x v="207"/>
    <n v="86534"/>
    <n v="347.84999999999997"/>
  </r>
  <r>
    <n v="73.98"/>
    <n v="14.52"/>
    <n v="1261"/>
    <s v="Vickie Gonzalez"/>
    <s v="Regular Air"/>
    <s v="Home Office"/>
    <x v="2"/>
    <x v="13"/>
    <s v="Small Box"/>
    <s v="Keytronic French Keyboard"/>
    <n v="0.65"/>
    <s v="United States"/>
    <s v="West"/>
    <s v="Colorado"/>
    <s v="Broomfield"/>
    <n v="80020"/>
    <d v="2015-05-07T00:00:00"/>
    <d v="2015-05-10T00:00:00"/>
    <n v="43.537999999999997"/>
    <n v="5"/>
    <x v="719"/>
    <n v="89730"/>
    <n v="1891.15"/>
  </r>
  <r>
    <n v="5.28"/>
    <n v="6.26"/>
    <n v="1265"/>
    <s v="Danielle Kramer"/>
    <s v="Regular Air"/>
    <s v="Home Office"/>
    <x v="0"/>
    <x v="7"/>
    <s v="Small Box"/>
    <s v="Xerox 1928"/>
    <n v="0.4"/>
    <s v="United States"/>
    <s v="Central"/>
    <s v="Oklahoma"/>
    <s v="Altus"/>
    <n v="73521"/>
    <d v="2015-06-11T00:00:00"/>
    <d v="2015-06-12T00:00:00"/>
    <n v="-11.375999999999999"/>
    <n v="1"/>
    <x v="720"/>
    <n v="89729"/>
    <n v="7.15"/>
  </r>
  <r>
    <n v="13.99"/>
    <n v="7.51"/>
    <n v="1267"/>
    <s v="Rosemary Branch"/>
    <s v="Regular Air"/>
    <s v="Corporate"/>
    <x v="2"/>
    <x v="6"/>
    <s v="Medium Box"/>
    <s v="Sharp EL500L Fraction Calculator"/>
    <n v="0.39"/>
    <s v="United States"/>
    <s v="South"/>
    <s v="Florida"/>
    <s v="Boca Raton"/>
    <n v="33433"/>
    <d v="2015-02-10T00:00:00"/>
    <d v="2015-02-11T00:00:00"/>
    <n v="533.74199999999996"/>
    <n v="2"/>
    <x v="721"/>
    <n v="89514"/>
    <n v="59.7"/>
  </r>
  <r>
    <n v="128.24"/>
    <n v="12.65"/>
    <n v="1267"/>
    <s v="Rosemary Branch"/>
    <s v="Regular Air"/>
    <s v="Corporate"/>
    <x v="1"/>
    <x v="1"/>
    <s v="Medium Box"/>
    <s v="SAFCO Folding Chair Trolley"/>
    <m/>
    <s v="United States"/>
    <s v="South"/>
    <s v="Florida"/>
    <s v="Boca Raton"/>
    <n v="33433"/>
    <d v="2015-05-12T00:00:00"/>
    <d v="2015-05-13T00:00:00"/>
    <n v="-379.34399999999999"/>
    <n v="3"/>
    <x v="722"/>
    <n v="89515"/>
    <n v="1099.32"/>
  </r>
  <r>
    <n v="5.98"/>
    <n v="4.38"/>
    <n v="1267"/>
    <s v="Rosemary Branch"/>
    <s v="Regular Air"/>
    <s v="Corporate"/>
    <x v="2"/>
    <x v="13"/>
    <s v="Small Pack"/>
    <s v="Imation 3.5&quot; DS/HD IBM Formatted Diskettes, 10/Pack"/>
    <n v="0.75"/>
    <s v="United States"/>
    <s v="South"/>
    <s v="Florida"/>
    <s v="Boca Raton"/>
    <n v="33433"/>
    <d v="2015-05-12T00:00:00"/>
    <d v="2015-05-14T00:00:00"/>
    <n v="-1522.3040000000001"/>
    <n v="11"/>
    <x v="723"/>
    <n v="89515"/>
    <n v="767.25"/>
  </r>
  <r>
    <n v="125.99"/>
    <n v="7.69"/>
    <n v="1271"/>
    <s v="Joanne Church"/>
    <s v="Regular Air"/>
    <s v="Corporate"/>
    <x v="2"/>
    <x v="5"/>
    <s v="Small Box"/>
    <s v="StarTAC 3000"/>
    <n v="0.59"/>
    <s v="United States"/>
    <s v="West"/>
    <s v="California"/>
    <s v="La Mesa"/>
    <n v="91941"/>
    <d v="2015-04-09T00:00:00"/>
    <d v="2015-04-10T00:00:00"/>
    <n v="588.24570000000006"/>
    <n v="8"/>
    <x v="724"/>
    <n v="88410"/>
    <n v="6820.24"/>
  </r>
  <r>
    <n v="34.229999999999997"/>
    <n v="5.0199999999999996"/>
    <n v="1271"/>
    <s v="Joanne Church"/>
    <s v="Regular Air"/>
    <s v="Corporate"/>
    <x v="1"/>
    <x v="2"/>
    <s v="Small Box"/>
    <s v="Hand-Finished Solid Wood Document Frame"/>
    <n v="0.55000000000000004"/>
    <s v="United States"/>
    <s v="West"/>
    <s v="California"/>
    <s v="La Mesa"/>
    <n v="91941"/>
    <d v="2015-05-01T00:00:00"/>
    <d v="2015-05-06T00:00:00"/>
    <n v="151.56540000000001"/>
    <n v="7"/>
    <x v="725"/>
    <n v="88411"/>
    <n v="1537.62"/>
  </r>
  <r>
    <n v="40.98"/>
    <n v="7.47"/>
    <n v="1279"/>
    <s v="Josephine Rao"/>
    <s v="Regular Air"/>
    <s v="Corporate"/>
    <x v="0"/>
    <x v="8"/>
    <s v="Small Box"/>
    <s v="Wilson Jones Ledger-Size, Piano-Hinge Binder, 2&quot;, Blue"/>
    <n v="0.37"/>
    <s v="United States"/>
    <s v="Central"/>
    <s v="Indiana"/>
    <s v="Hammond"/>
    <n v="46324"/>
    <d v="2015-03-01T00:00:00"/>
    <d v="2015-03-02T00:00:00"/>
    <n v="54.901499999999999"/>
    <n v="2"/>
    <x v="726"/>
    <n v="90114"/>
    <n v="163.80000000000001"/>
  </r>
  <r>
    <n v="442.14"/>
    <n v="14.7"/>
    <n v="1279"/>
    <s v="Josephine Rao"/>
    <s v="Delivery Truck"/>
    <s v="Corporate"/>
    <x v="2"/>
    <x v="6"/>
    <s v="Jumbo Drum"/>
    <s v="Okidata ML390 Turbo Dot Matrix Printers"/>
    <n v="0.56000000000000005"/>
    <s v="United States"/>
    <s v="Central"/>
    <s v="Indiana"/>
    <s v="Hammond"/>
    <n v="46324"/>
    <d v="2015-03-05T00:00:00"/>
    <d v="2015-03-05T00:00:00"/>
    <n v="501.51"/>
    <n v="5"/>
    <x v="727"/>
    <n v="90115"/>
    <n v="11716.7"/>
  </r>
  <r>
    <n v="40.98"/>
    <n v="7.47"/>
    <n v="1280"/>
    <s v="Harold Albright"/>
    <s v="Regular Air"/>
    <s v="Corporate"/>
    <x v="0"/>
    <x v="8"/>
    <s v="Small Box"/>
    <s v="Wilson Jones Ledger-Size, Piano-Hinge Binder, 2&quot;, Blue"/>
    <n v="0.37"/>
    <s v="United States"/>
    <s v="West"/>
    <s v="Washington"/>
    <s v="Seattle"/>
    <n v="98119"/>
    <d v="2015-03-01T00:00:00"/>
    <d v="2015-03-02T00:00:00"/>
    <n v="54.901499999999999"/>
    <n v="8"/>
    <x v="728"/>
    <n v="19042"/>
    <n v="2620.88"/>
  </r>
  <r>
    <n v="238.4"/>
    <n v="24.49"/>
    <n v="1281"/>
    <s v="Pauline Denton"/>
    <s v="Regular Air"/>
    <s v="Small Business"/>
    <x v="1"/>
    <x v="1"/>
    <s v="Large Box"/>
    <s v="Safco Contoured Stacking Chairs"/>
    <m/>
    <s v="United States"/>
    <s v="Central"/>
    <s v="Indiana"/>
    <s v="Vincennes"/>
    <n v="47591"/>
    <d v="2015-01-24T00:00:00"/>
    <d v="2015-01-26T00:00:00"/>
    <n v="875.28440000000001"/>
    <n v="8"/>
    <x v="729"/>
    <n v="89112"/>
    <n v="14196"/>
  </r>
  <r>
    <n v="199.99"/>
    <n v="24.49"/>
    <n v="1281"/>
    <s v="Pauline Denton"/>
    <s v="Express Air"/>
    <s v="Small Business"/>
    <x v="2"/>
    <x v="16"/>
    <s v="Large Box"/>
    <s v="Canon PC-428 Personal Copier"/>
    <n v="0.46"/>
    <s v="United States"/>
    <s v="Central"/>
    <s v="Indiana"/>
    <s v="Vincennes"/>
    <n v="47591"/>
    <d v="2015-01-24T00:00:00"/>
    <d v="2015-01-26T00:00:00"/>
    <n v="727.73609999999996"/>
    <n v="5"/>
    <x v="730"/>
    <n v="89112"/>
    <n v="5273.4500000000007"/>
  </r>
  <r>
    <n v="238.4"/>
    <n v="24.49"/>
    <n v="1282"/>
    <s v="Dana Sharpe"/>
    <s v="Regular Air"/>
    <s v="Small Business"/>
    <x v="1"/>
    <x v="1"/>
    <s v="Large Box"/>
    <s v="Safco Contoured Stacking Chairs"/>
    <m/>
    <s v="United States"/>
    <s v="East"/>
    <s v="Pennsylvania"/>
    <s v="Philadelphia"/>
    <n v="19134"/>
    <d v="2015-01-24T00:00:00"/>
    <d v="2015-01-26T00:00:00"/>
    <n v="460.67599999999999"/>
    <n v="30"/>
    <x v="731"/>
    <n v="29319"/>
    <n v="199631.7"/>
  </r>
  <r>
    <n v="199.99"/>
    <n v="24.49"/>
    <n v="1282"/>
    <s v="Dana Sharpe"/>
    <s v="Express Air"/>
    <s v="Small Business"/>
    <x v="2"/>
    <x v="16"/>
    <s v="Large Box"/>
    <s v="Canon PC-428 Personal Copier"/>
    <n v="0.46"/>
    <s v="United States"/>
    <s v="East"/>
    <s v="Pennsylvania"/>
    <s v="Philadelphia"/>
    <n v="19134"/>
    <d v="2015-01-24T00:00:00"/>
    <d v="2015-01-26T00:00:00"/>
    <n v="393.42"/>
    <n v="21"/>
    <x v="732"/>
    <n v="29319"/>
    <n v="93023.489999999991"/>
  </r>
  <r>
    <n v="150.97999999999999"/>
    <n v="13.99"/>
    <n v="1298"/>
    <s v="Herbert Beard"/>
    <s v="Regular Air"/>
    <s v="Home Office"/>
    <x v="2"/>
    <x v="6"/>
    <s v="Medium Box"/>
    <s v="Canon MP41DH Printing Calculator"/>
    <n v="0.38"/>
    <s v="United States"/>
    <s v="Central"/>
    <s v="Texas"/>
    <s v="Sulphur Springs"/>
    <n v="75482"/>
    <d v="2015-02-12T00:00:00"/>
    <d v="2015-02-15T00:00:00"/>
    <n v="606.05460000000005"/>
    <n v="6"/>
    <x v="733"/>
    <n v="90662"/>
    <n v="5270.04"/>
  </r>
  <r>
    <n v="176.19"/>
    <n v="11.87"/>
    <n v="1298"/>
    <s v="Herbert Beard"/>
    <s v="Regular Air"/>
    <s v="Home Office"/>
    <x v="0"/>
    <x v="10"/>
    <s v="Small Box"/>
    <s v="Fellowes High-Stak® Drawer Files"/>
    <n v="0.62"/>
    <s v="United States"/>
    <s v="Central"/>
    <s v="Texas"/>
    <s v="Sulphur Springs"/>
    <n v="75482"/>
    <d v="2015-02-12T00:00:00"/>
    <d v="2015-02-14T00:00:00"/>
    <n v="320.10000000000002"/>
    <n v="4"/>
    <x v="734"/>
    <n v="90662"/>
    <n v="2706.28"/>
  </r>
  <r>
    <n v="39.479999999999997"/>
    <n v="1.99"/>
    <n v="1303"/>
    <s v="Cindy Harvey"/>
    <s v="Regular Air"/>
    <s v="Consumer"/>
    <x v="2"/>
    <x v="13"/>
    <s v="Small Pack"/>
    <s v="80 Minute CD-R Spindle, 100/Pack - Staples"/>
    <n v="0.54"/>
    <s v="United States"/>
    <s v="West"/>
    <s v="Utah"/>
    <s v="Tooele"/>
    <n v="84074"/>
    <d v="2015-02-19T00:00:00"/>
    <d v="2015-02-21T00:00:00"/>
    <n v="317.08949999999999"/>
    <n v="12"/>
    <x v="735"/>
    <n v="87003"/>
    <n v="5514.6"/>
  </r>
  <r>
    <n v="65.989999999999995"/>
    <n v="5.31"/>
    <n v="1303"/>
    <s v="Cindy Harvey"/>
    <s v="Regular Air"/>
    <s v="Consumer"/>
    <x v="2"/>
    <x v="5"/>
    <s v="Small Box"/>
    <n v="3390"/>
    <n v="0.56999999999999995"/>
    <s v="United States"/>
    <s v="West"/>
    <s v="Utah"/>
    <s v="Tooele"/>
    <n v="84074"/>
    <d v="2015-02-19T00:00:00"/>
    <d v="2015-02-26T00:00:00"/>
    <n v="250.36272"/>
    <n v="9"/>
    <x v="736"/>
    <n v="87005"/>
    <n v="4832.0999999999995"/>
  </r>
  <r>
    <n v="2.88"/>
    <n v="0.5"/>
    <n v="1304"/>
    <s v="Sherri McIntosh"/>
    <s v="Regular Air"/>
    <s v="Consumer"/>
    <x v="0"/>
    <x v="9"/>
    <s v="Small Box"/>
    <s v="Avery 507"/>
    <n v="0.39"/>
    <s v="United States"/>
    <s v="West"/>
    <s v="Utah"/>
    <s v="West Jordan"/>
    <n v="84084"/>
    <d v="2015-04-23T00:00:00"/>
    <d v="2015-04-24T00:00:00"/>
    <n v="6.0305999999999997"/>
    <n v="3"/>
    <x v="737"/>
    <n v="87004"/>
    <n v="26.22"/>
  </r>
  <r>
    <n v="62.18"/>
    <n v="10.84"/>
    <n v="1305"/>
    <s v="Chris Pritchard"/>
    <s v="Regular Air"/>
    <s v="Consumer"/>
    <x v="1"/>
    <x v="2"/>
    <s v="Medium Box"/>
    <s v="Deflect-o Glass Clear Studded Chair Mats"/>
    <n v="0.63"/>
    <s v="United States"/>
    <s v="West"/>
    <s v="Utah"/>
    <s v="West Valley City"/>
    <n v="84120"/>
    <d v="2015-02-17T00:00:00"/>
    <d v="2015-02-19T00:00:00"/>
    <n v="125.8077"/>
    <n v="3"/>
    <x v="738"/>
    <n v="87002"/>
    <n v="546.99"/>
  </r>
  <r>
    <n v="8.33"/>
    <n v="1.99"/>
    <n v="1307"/>
    <s v="Teresa Hill"/>
    <s v="Regular Air"/>
    <s v="Small Business"/>
    <x v="2"/>
    <x v="13"/>
    <s v="Small Pack"/>
    <s v="80 Minute Slim Jewel Case CD-R , 10/Pack - Staples"/>
    <n v="0.52"/>
    <s v="United States"/>
    <s v="West"/>
    <s v="Oregon"/>
    <s v="Coos Bay"/>
    <n v="97420"/>
    <d v="2015-06-30T00:00:00"/>
    <d v="2015-07-07T00:00:00"/>
    <n v="44.892000000000003"/>
    <n v="16"/>
    <x v="739"/>
    <n v="91451"/>
    <n v="2100.16"/>
  </r>
  <r>
    <n v="5.34"/>
    <n v="2.99"/>
    <n v="1314"/>
    <s v="Keith Marsh"/>
    <s v="Regular Air"/>
    <s v="Home Office"/>
    <x v="0"/>
    <x v="8"/>
    <s v="Small Box"/>
    <s v="Wilson Jones 14 Line Acrylic Coated Pressboard Data Binders"/>
    <n v="0.38"/>
    <s v="United States"/>
    <s v="West"/>
    <s v="California"/>
    <s v="Los Angeles"/>
    <n v="90058"/>
    <d v="2015-03-30T00:00:00"/>
    <d v="2015-04-01T00:00:00"/>
    <n v="3.4510000000000001"/>
    <n v="45"/>
    <x v="740"/>
    <n v="22755"/>
    <n v="10827"/>
  </r>
  <r>
    <n v="55.99"/>
    <n v="5"/>
    <n v="1314"/>
    <s v="Keith Marsh"/>
    <s v="Regular Air"/>
    <s v="Home Office"/>
    <x v="2"/>
    <x v="5"/>
    <s v="Small Pack"/>
    <s v="Accessory6"/>
    <n v="0.8"/>
    <s v="United States"/>
    <s v="West"/>
    <s v="California"/>
    <s v="Los Angeles"/>
    <n v="90058"/>
    <d v="2015-03-30T00:00:00"/>
    <d v="2015-04-01T00:00:00"/>
    <n v="-275.25299999999999"/>
    <n v="5"/>
    <x v="741"/>
    <n v="22755"/>
    <n v="1184.4000000000001"/>
  </r>
  <r>
    <n v="80.98"/>
    <n v="35"/>
    <n v="1314"/>
    <s v="Keith Marsh"/>
    <s v="Regular Air"/>
    <s v="Home Office"/>
    <x v="0"/>
    <x v="10"/>
    <s v="Large Box"/>
    <s v="Carina Double Wide Media Storage Towers in Natural &amp; Black"/>
    <n v="0.81"/>
    <s v="United States"/>
    <s v="West"/>
    <s v="California"/>
    <s v="Los Angeles"/>
    <n v="90058"/>
    <d v="2015-01-05T00:00:00"/>
    <d v="2015-01-09T00:00:00"/>
    <n v="-746.44"/>
    <n v="34"/>
    <x v="742"/>
    <n v="27013"/>
    <n v="92155.98"/>
  </r>
  <r>
    <n v="279.48"/>
    <n v="35"/>
    <n v="1314"/>
    <s v="Keith Marsh"/>
    <s v="Regular Air"/>
    <s v="Home Office"/>
    <x v="0"/>
    <x v="10"/>
    <s v="Large Box"/>
    <s v="Tennsco Snap-Together Open Shelving Units, Starter Sets and Add-On Units"/>
    <n v="0.8"/>
    <s v="United States"/>
    <s v="West"/>
    <s v="California"/>
    <s v="Los Angeles"/>
    <n v="90058"/>
    <d v="2015-01-05T00:00:00"/>
    <d v="2015-01-05T00:00:00"/>
    <n v="-274.95"/>
    <n v="31"/>
    <x v="743"/>
    <n v="27013"/>
    <n v="258996.62999999998"/>
  </r>
  <r>
    <n v="4.91"/>
    <n v="5.68"/>
    <n v="1315"/>
    <s v="Adam Saunders Gray"/>
    <s v="Regular Air"/>
    <s v="Home Office"/>
    <x v="0"/>
    <x v="8"/>
    <s v="Small Box"/>
    <s v="Acco Pressboard Covers with Storage Hooks, 14 7/8&quot; x 11&quot;, Light Blue"/>
    <n v="0.36"/>
    <s v="United States"/>
    <s v="West"/>
    <s v="Colorado"/>
    <s v="Colorado Springs"/>
    <n v="80906"/>
    <d v="2015-03-30T00:00:00"/>
    <d v="2015-03-31T00:00:00"/>
    <n v="-95.047499999999999"/>
    <n v="9"/>
    <x v="744"/>
    <n v="87602"/>
    <n v="434.7"/>
  </r>
  <r>
    <n v="5.34"/>
    <n v="2.99"/>
    <n v="1316"/>
    <s v="Marion Lindsey"/>
    <s v="Regular Air"/>
    <s v="Home Office"/>
    <x v="0"/>
    <x v="8"/>
    <s v="Small Box"/>
    <s v="Wilson Jones 14 Line Acrylic Coated Pressboard Data Binders"/>
    <n v="0.38"/>
    <s v="United States"/>
    <s v="West"/>
    <s v="Colorado"/>
    <s v="Commerce City"/>
    <n v="80022"/>
    <d v="2015-03-30T00:00:00"/>
    <d v="2015-04-01T00:00:00"/>
    <n v="3.4510000000000001"/>
    <n v="11"/>
    <x v="745"/>
    <n v="87602"/>
    <n v="646.91000000000008"/>
  </r>
  <r>
    <n v="55.99"/>
    <n v="5"/>
    <n v="1316"/>
    <s v="Marion Lindsey"/>
    <s v="Regular Air"/>
    <s v="Home Office"/>
    <x v="2"/>
    <x v="5"/>
    <s v="Small Pack"/>
    <s v="Accessory6"/>
    <n v="0.8"/>
    <s v="United States"/>
    <s v="West"/>
    <s v="Colorado"/>
    <s v="Commerce City"/>
    <n v="80022"/>
    <d v="2015-03-30T00:00:00"/>
    <d v="2015-04-01T00:00:00"/>
    <n v="-275.25299999999999"/>
    <n v="1"/>
    <x v="746"/>
    <n v="87602"/>
    <n v="47.38"/>
  </r>
  <r>
    <n v="80.98"/>
    <n v="35"/>
    <n v="1316"/>
    <s v="Marion Lindsey"/>
    <s v="Regular Air"/>
    <s v="Home Office"/>
    <x v="0"/>
    <x v="10"/>
    <s v="Large Box"/>
    <s v="Carina Double Wide Media Storage Towers in Natural &amp; Black"/>
    <n v="0.81"/>
    <s v="United States"/>
    <s v="West"/>
    <s v="Colorado"/>
    <s v="Commerce City"/>
    <n v="80022"/>
    <d v="2015-01-05T00:00:00"/>
    <d v="2015-01-09T00:00:00"/>
    <n v="-746.44"/>
    <n v="8"/>
    <x v="747"/>
    <n v="87603"/>
    <n v="5102.08"/>
  </r>
  <r>
    <n v="279.48"/>
    <n v="35"/>
    <n v="1316"/>
    <s v="Marion Lindsey"/>
    <s v="Regular Air"/>
    <s v="Home Office"/>
    <x v="0"/>
    <x v="10"/>
    <s v="Large Box"/>
    <s v="Tennsco Snap-Together Open Shelving Units, Starter Sets and Add-On Units"/>
    <n v="0.8"/>
    <s v="United States"/>
    <s v="West"/>
    <s v="Colorado"/>
    <s v="Commerce City"/>
    <n v="80022"/>
    <d v="2015-01-05T00:00:00"/>
    <d v="2015-01-05T00:00:00"/>
    <n v="-274.95"/>
    <n v="8"/>
    <x v="748"/>
    <n v="87603"/>
    <n v="17248.48"/>
  </r>
  <r>
    <n v="55.99"/>
    <n v="3.3"/>
    <n v="1338"/>
    <s v="Denise McIntosh"/>
    <s v="Regular Air"/>
    <s v="Home Office"/>
    <x v="2"/>
    <x v="5"/>
    <s v="Small Pack"/>
    <s v="Accessory24"/>
    <n v="0.59"/>
    <s v="United States"/>
    <s v="Central"/>
    <s v="Illinois"/>
    <s v="Chicago"/>
    <n v="60623"/>
    <d v="2015-02-10T00:00:00"/>
    <d v="2015-02-10T00:00:00"/>
    <n v="525.20039999999995"/>
    <n v="16"/>
    <x v="749"/>
    <n v="91244"/>
    <n v="12178.56"/>
  </r>
  <r>
    <n v="22.38"/>
    <n v="15.1"/>
    <n v="1340"/>
    <s v="Marie Bass"/>
    <s v="Express Air"/>
    <s v="Home Office"/>
    <x v="0"/>
    <x v="8"/>
    <s v="Small Box"/>
    <s v="Avery Flip-Chart Easel Binder, Black"/>
    <n v="0.38"/>
    <s v="United States"/>
    <s v="East"/>
    <s v="New York"/>
    <s v="New York City"/>
    <n v="10170"/>
    <d v="2015-02-10T00:00:00"/>
    <d v="2015-02-17T00:00:00"/>
    <n v="-52.646999999999998"/>
    <n v="29"/>
    <x v="750"/>
    <n v="21636"/>
    <n v="19797.719999999998"/>
  </r>
  <r>
    <n v="5.98"/>
    <n v="4.6900000000000004"/>
    <n v="1340"/>
    <s v="Marie Bass"/>
    <s v="Regular Air"/>
    <s v="Home Office"/>
    <x v="0"/>
    <x v="10"/>
    <s v="Small Box"/>
    <s v="Perma STOR-ALL™ Hanging File Box, 13 1/8&quot;W x 12 1/4&quot;D x 10 1/2&quot;H"/>
    <n v="0.68"/>
    <s v="United States"/>
    <s v="East"/>
    <s v="New York"/>
    <s v="New York City"/>
    <n v="10170"/>
    <d v="2015-02-10T00:00:00"/>
    <d v="2015-02-15T00:00:00"/>
    <n v="-24.44"/>
    <n v="11"/>
    <x v="751"/>
    <n v="21636"/>
    <n v="807.83999999999992"/>
  </r>
  <r>
    <n v="55.99"/>
    <n v="3.3"/>
    <n v="1340"/>
    <s v="Marie Bass"/>
    <s v="Regular Air"/>
    <s v="Home Office"/>
    <x v="2"/>
    <x v="5"/>
    <s v="Small Pack"/>
    <s v="Accessory24"/>
    <n v="0.59"/>
    <s v="United States"/>
    <s v="East"/>
    <s v="New York"/>
    <s v="New York City"/>
    <n v="10170"/>
    <d v="2015-02-10T00:00:00"/>
    <d v="2015-02-10T00:00:00"/>
    <n v="366.50700000000001"/>
    <n v="63"/>
    <x v="752"/>
    <n v="21636"/>
    <n v="188815.41"/>
  </r>
  <r>
    <n v="3.98"/>
    <n v="0.83"/>
    <n v="1340"/>
    <s v="Marie Bass"/>
    <s v="Regular Air"/>
    <s v="Home Office"/>
    <x v="0"/>
    <x v="0"/>
    <s v="Wrap Bag"/>
    <s v="Fluorescent Highlighters by Dixon"/>
    <n v="0.51"/>
    <s v="United States"/>
    <s v="East"/>
    <s v="New York"/>
    <s v="New York City"/>
    <n v="10170"/>
    <d v="2015-06-06T00:00:00"/>
    <d v="2015-06-09T00:00:00"/>
    <n v="27.38"/>
    <n v="76"/>
    <x v="753"/>
    <n v="24455"/>
    <n v="21496.600000000002"/>
  </r>
  <r>
    <n v="5.98"/>
    <n v="4.6900000000000004"/>
    <n v="1341"/>
    <s v="Edward Bynum"/>
    <s v="Regular Air"/>
    <s v="Home Office"/>
    <x v="0"/>
    <x v="10"/>
    <s v="Small Box"/>
    <s v="Perma STOR-ALL™ Hanging File Box, 13 1/8&quot;W x 12 1/4&quot;D x 10 1/2&quot;H"/>
    <n v="0.68"/>
    <s v="United States"/>
    <s v="East"/>
    <s v="Pennsylvania"/>
    <s v="Chambersburg"/>
    <n v="17201"/>
    <d v="2015-02-10T00:00:00"/>
    <d v="2015-02-15T00:00:00"/>
    <n v="-12.7088"/>
    <n v="3"/>
    <x v="754"/>
    <n v="91244"/>
    <n v="60.09"/>
  </r>
  <r>
    <n v="20.89"/>
    <n v="1.99"/>
    <n v="1341"/>
    <s v="Edward Bynum"/>
    <s v="Regular Air"/>
    <s v="Home Office"/>
    <x v="2"/>
    <x v="13"/>
    <s v="Small Pack"/>
    <s v="IBM 80 Minute CD-R Spindle, 50/Pack"/>
    <n v="0.48"/>
    <s v="United States"/>
    <s v="East"/>
    <s v="Pennsylvania"/>
    <s v="Chambersburg"/>
    <n v="17201"/>
    <d v="2015-06-06T00:00:00"/>
    <d v="2015-06-08T00:00:00"/>
    <n v="-5.2949999999999999"/>
    <n v="4"/>
    <x v="755"/>
    <n v="91245"/>
    <n v="338.24"/>
  </r>
  <r>
    <n v="3.98"/>
    <n v="0.83"/>
    <n v="1341"/>
    <s v="Edward Bynum"/>
    <s v="Regular Air"/>
    <s v="Home Office"/>
    <x v="0"/>
    <x v="0"/>
    <s v="Wrap Bag"/>
    <s v="Fluorescent Highlighters by Dixon"/>
    <n v="0.51"/>
    <s v="United States"/>
    <s v="East"/>
    <s v="Pennsylvania"/>
    <s v="Chambersburg"/>
    <n v="17201"/>
    <d v="2015-06-06T00:00:00"/>
    <d v="2015-06-09T00:00:00"/>
    <n v="41.07"/>
    <n v="19"/>
    <x v="756"/>
    <n v="91245"/>
    <n v="1343.4899999999998"/>
  </r>
  <r>
    <n v="2.62"/>
    <n v="0.8"/>
    <n v="1347"/>
    <s v="Vivian Goldstein"/>
    <s v="Regular Air"/>
    <s v="Home Office"/>
    <x v="0"/>
    <x v="3"/>
    <s v="Wrap Bag"/>
    <s v="Staples Metal Binder Clips"/>
    <n v="0.39"/>
    <s v="United States"/>
    <s v="South"/>
    <s v="Florida"/>
    <s v="Brandon"/>
    <n v="33511"/>
    <d v="2015-04-30T00:00:00"/>
    <d v="2015-05-06T00:00:00"/>
    <n v="-94.490899999999996"/>
    <n v="21"/>
    <x v="757"/>
    <n v="89686"/>
    <n v="1089.06"/>
  </r>
  <r>
    <n v="12.2"/>
    <n v="6.02"/>
    <n v="1350"/>
    <s v="Jackie Burke"/>
    <s v="Express Air"/>
    <s v="Home Office"/>
    <x v="1"/>
    <x v="2"/>
    <s v="Small Pack"/>
    <s v="Advantus Panel Wall Certificate Holder - 8.5x11"/>
    <n v="0.43"/>
    <s v="United States"/>
    <s v="South"/>
    <s v="Florida"/>
    <s v="Carol City"/>
    <n v="33055"/>
    <d v="2015-04-17T00:00:00"/>
    <d v="2015-04-18T00:00:00"/>
    <n v="-172.298"/>
    <n v="4"/>
    <x v="758"/>
    <n v="88233"/>
    <n v="224.96"/>
  </r>
  <r>
    <n v="110.99"/>
    <n v="8.99"/>
    <n v="1351"/>
    <s v="Janet McCullough"/>
    <s v="Express Air"/>
    <s v="Home Office"/>
    <x v="2"/>
    <x v="5"/>
    <s v="Small Box"/>
    <s v="LX 677"/>
    <n v="0.56999999999999995"/>
    <s v="United States"/>
    <s v="South"/>
    <s v="Florida"/>
    <s v="Coconut Creek"/>
    <n v="33063"/>
    <d v="2015-01-27T00:00:00"/>
    <d v="2015-01-29T00:00:00"/>
    <n v="3285.48"/>
    <n v="7"/>
    <x v="759"/>
    <n v="88232"/>
    <n v="4394.46"/>
  </r>
  <r>
    <n v="17.670000000000002"/>
    <n v="8.99"/>
    <n v="1352"/>
    <s v="Vivian Clarke"/>
    <s v="Regular Air"/>
    <s v="Home Office"/>
    <x v="1"/>
    <x v="2"/>
    <s v="Small Pack"/>
    <s v="Executive Impressions 12&quot; Wall Clock"/>
    <n v="0.47"/>
    <s v="United States"/>
    <s v="East"/>
    <s v="Maryland"/>
    <s v="Camp Springs"/>
    <n v="20746"/>
    <d v="2015-04-30T00:00:00"/>
    <d v="2015-05-01T00:00:00"/>
    <n v="46.036799999999999"/>
    <n v="16"/>
    <x v="760"/>
    <n v="88234"/>
    <n v="4535.04"/>
  </r>
  <r>
    <n v="4.13"/>
    <n v="0.99"/>
    <n v="1354"/>
    <s v="Aaron Dillon"/>
    <s v="Regular Air"/>
    <s v="Consumer"/>
    <x v="0"/>
    <x v="9"/>
    <s v="Small Box"/>
    <s v="Avery 491"/>
    <n v="0.39"/>
    <s v="United States"/>
    <s v="Central"/>
    <s v="Texas"/>
    <s v="Weatherford"/>
    <n v="76086"/>
    <d v="2015-02-11T00:00:00"/>
    <d v="2015-02-11T00:00:00"/>
    <n v="-1.0711999999999999"/>
    <n v="2"/>
    <x v="161"/>
    <n v="91209"/>
    <n v="16.600000000000001"/>
  </r>
  <r>
    <n v="4.9800000000000004"/>
    <n v="0.49"/>
    <n v="1354"/>
    <s v="Aaron Dillon"/>
    <s v="Regular Air"/>
    <s v="Consumer"/>
    <x v="0"/>
    <x v="9"/>
    <s v="Small Box"/>
    <s v="Avery White Multi-Purpose Labels"/>
    <n v="0.39"/>
    <s v="United States"/>
    <s v="Central"/>
    <s v="Texas"/>
    <s v="Weatherford"/>
    <n v="76086"/>
    <d v="2015-02-11T00:00:00"/>
    <d v="2015-02-13T00:00:00"/>
    <n v="4.4104000000000001"/>
    <n v="2"/>
    <x v="761"/>
    <n v="91209"/>
    <n v="20.079999999999998"/>
  </r>
  <r>
    <n v="125.99"/>
    <n v="7.69"/>
    <n v="1357"/>
    <s v="Marguerite Yu"/>
    <s v="Regular Air"/>
    <s v="Home Office"/>
    <x v="2"/>
    <x v="5"/>
    <s v="Small Box"/>
    <s v="Timeport L7089"/>
    <n v="0.57999999999999996"/>
    <s v="United States"/>
    <s v="Central"/>
    <s v="Texas"/>
    <s v="Weslaco"/>
    <n v="78596"/>
    <d v="2015-06-03T00:00:00"/>
    <d v="2015-06-05T00:00:00"/>
    <n v="500.95800000000003"/>
    <n v="9"/>
    <x v="762"/>
    <n v="88184"/>
    <n v="8834.85"/>
  </r>
  <r>
    <n v="119.99"/>
    <n v="16.8"/>
    <n v="1357"/>
    <s v="Marguerite Yu"/>
    <s v="Delivery Truck"/>
    <s v="Home Office"/>
    <x v="2"/>
    <x v="6"/>
    <s v="Jumbo Box"/>
    <s v="Epson C62 Color Inkjet Printer"/>
    <n v="0.35"/>
    <s v="United States"/>
    <s v="Central"/>
    <s v="Texas"/>
    <s v="Weslaco"/>
    <n v="78596"/>
    <d v="2015-06-28T00:00:00"/>
    <d v="2015-06-30T00:00:00"/>
    <n v="1206.5961"/>
    <n v="15"/>
    <x v="763"/>
    <n v="88185"/>
    <n v="26230.350000000002"/>
  </r>
  <r>
    <n v="14.34"/>
    <n v="5"/>
    <n v="1360"/>
    <s v="Arlene Gibbons"/>
    <s v="Regular Air"/>
    <s v="Consumer"/>
    <x v="1"/>
    <x v="2"/>
    <s v="Small Pack"/>
    <s v="Nu-Dell Leatherette Frames"/>
    <n v="0.49"/>
    <s v="United States"/>
    <s v="Central"/>
    <s v="Iowa"/>
    <s v="Muscatine"/>
    <n v="52761"/>
    <d v="2015-01-26T00:00:00"/>
    <d v="2015-01-27T00:00:00"/>
    <n v="82.310100000000006"/>
    <n v="8"/>
    <x v="764"/>
    <n v="89595"/>
    <n v="954.32"/>
  </r>
  <r>
    <n v="2.89"/>
    <n v="0.5"/>
    <n v="1361"/>
    <s v="Kristina Collier"/>
    <s v="Regular Air"/>
    <s v="Consumer"/>
    <x v="0"/>
    <x v="9"/>
    <s v="Small Box"/>
    <s v="Avery 498"/>
    <n v="0.38"/>
    <s v="United States"/>
    <s v="Central"/>
    <s v="Michigan"/>
    <s v="Allen Park"/>
    <n v="48101"/>
    <d v="2015-01-26T00:00:00"/>
    <d v="2015-01-28T00:00:00"/>
    <n v="1.2236"/>
    <n v="1"/>
    <x v="765"/>
    <n v="89595"/>
    <n v="3.08"/>
  </r>
  <r>
    <n v="6.48"/>
    <n v="6.22"/>
    <n v="1361"/>
    <s v="Kristina Collier"/>
    <s v="Express Air"/>
    <s v="Consumer"/>
    <x v="0"/>
    <x v="7"/>
    <s v="Small Box"/>
    <s v="Xerox 1894"/>
    <n v="0.37"/>
    <s v="United States"/>
    <s v="Central"/>
    <s v="Michigan"/>
    <s v="Allen Park"/>
    <n v="48101"/>
    <d v="2015-02-10T00:00:00"/>
    <d v="2015-02-11T00:00:00"/>
    <n v="-15.6312"/>
    <n v="9"/>
    <x v="766"/>
    <n v="89596"/>
    <n v="625.14"/>
  </r>
  <r>
    <n v="85.99"/>
    <n v="3.3"/>
    <n v="1361"/>
    <s v="Kristina Collier"/>
    <s v="Regular Air"/>
    <s v="Consumer"/>
    <x v="2"/>
    <x v="5"/>
    <s v="Small Pack"/>
    <s v="Accessory20"/>
    <n v="0.37"/>
    <s v="United States"/>
    <s v="Central"/>
    <s v="Michigan"/>
    <s v="Allen Park"/>
    <n v="48101"/>
    <d v="2015-02-10T00:00:00"/>
    <d v="2015-02-12T00:00:00"/>
    <n v="790.54679999999996"/>
    <n v="16"/>
    <x v="767"/>
    <n v="89596"/>
    <n v="18331.52"/>
  </r>
  <r>
    <n v="12.97"/>
    <n v="1.49"/>
    <n v="1363"/>
    <s v="Earl Roy"/>
    <s v="Regular Air"/>
    <s v="Consumer"/>
    <x v="0"/>
    <x v="8"/>
    <s v="Small Box"/>
    <s v="Mead 1st Gear 2&quot; Zipper Binder, Asst. Colors"/>
    <n v="0.35"/>
    <s v="United States"/>
    <s v="South"/>
    <s v="Florida"/>
    <s v="Casselberry"/>
    <n v="32707"/>
    <d v="2015-02-04T00:00:00"/>
    <d v="2015-02-06T00:00:00"/>
    <n v="5.4660000000000002"/>
    <n v="2"/>
    <x v="768"/>
    <n v="89993"/>
    <n v="52.74"/>
  </r>
  <r>
    <n v="5.81"/>
    <n v="3.37"/>
    <n v="1363"/>
    <s v="Earl Roy"/>
    <s v="Regular Air"/>
    <s v="Consumer"/>
    <x v="0"/>
    <x v="3"/>
    <s v="Wrap Bag"/>
    <s v="Advantus Push Pins, Aluminum Head"/>
    <n v="0.54"/>
    <s v="United States"/>
    <s v="South"/>
    <s v="Florida"/>
    <s v="Casselberry"/>
    <n v="32707"/>
    <d v="2015-02-04T00:00:00"/>
    <d v="2015-02-06T00:00:00"/>
    <n v="-149.1182"/>
    <n v="9"/>
    <x v="769"/>
    <n v="89993"/>
    <n v="480.96"/>
  </r>
  <r>
    <n v="5.98"/>
    <n v="5.35"/>
    <n v="1364"/>
    <s v="Chris Ford"/>
    <s v="Regular Air"/>
    <s v="Home Office"/>
    <x v="0"/>
    <x v="7"/>
    <s v="Small Box"/>
    <s v="Xerox 1947"/>
    <n v="0.4"/>
    <s v="United States"/>
    <s v="East"/>
    <s v="Maryland"/>
    <s v="Camp Springs"/>
    <n v="20746"/>
    <d v="2015-03-17T00:00:00"/>
    <d v="2015-03-17T00:00:00"/>
    <n v="-90.26"/>
    <n v="10"/>
    <x v="770"/>
    <n v="89994"/>
    <n v="573.40000000000009"/>
  </r>
  <r>
    <n v="73.98"/>
    <n v="14.52"/>
    <n v="1367"/>
    <s v="James Hunter"/>
    <s v="Regular Air"/>
    <s v="Consumer"/>
    <x v="2"/>
    <x v="13"/>
    <s v="Small Box"/>
    <s v="Keytronic French Keyboard"/>
    <n v="0.65"/>
    <s v="United States"/>
    <s v="Central"/>
    <s v="Texas"/>
    <s v="Lubbock"/>
    <n v="79424"/>
    <d v="2015-01-07T00:00:00"/>
    <d v="2015-01-10T00:00:00"/>
    <n v="-326.23160000000001"/>
    <n v="1"/>
    <x v="771"/>
    <n v="90513"/>
    <n v="79.02"/>
  </r>
  <r>
    <n v="4.55"/>
    <n v="1.49"/>
    <n v="1368"/>
    <s v="Patsy Harmon"/>
    <s v="Regular Air"/>
    <s v="Consumer"/>
    <x v="0"/>
    <x v="8"/>
    <s v="Small Box"/>
    <s v="Presstex Flexible Ring Binders"/>
    <n v="0.35"/>
    <s v="United States"/>
    <s v="Central"/>
    <s v="Texas"/>
    <s v="Lufkin"/>
    <n v="75901"/>
    <d v="2015-03-23T00:00:00"/>
    <d v="2015-03-25T00:00:00"/>
    <n v="16.898"/>
    <n v="6"/>
    <x v="772"/>
    <n v="90514"/>
    <n v="152.69999999999999"/>
  </r>
  <r>
    <n v="9.7799999999999994"/>
    <n v="5.76"/>
    <n v="1369"/>
    <s v="Joe D Dean"/>
    <s v="Express Air"/>
    <s v="Consumer"/>
    <x v="0"/>
    <x v="4"/>
    <s v="Small Box"/>
    <s v="Staples #10 Laser &amp; Inkjet Envelopes, 4 1/8&quot; x 9 1/2&quot;, 100/Box"/>
    <n v="0.35"/>
    <s v="United States"/>
    <s v="Central"/>
    <s v="Texas"/>
    <s v="Mansfield"/>
    <n v="76063"/>
    <d v="2015-03-23T00:00:00"/>
    <d v="2015-03-25T00:00:00"/>
    <n v="20.14"/>
    <n v="11"/>
    <x v="773"/>
    <n v="90514"/>
    <n v="1217.92"/>
  </r>
  <r>
    <n v="44.01"/>
    <n v="3.5"/>
    <n v="1374"/>
    <s v="Earl Buck"/>
    <s v="Regular Air"/>
    <s v="Home Office"/>
    <x v="0"/>
    <x v="15"/>
    <s v="Small Box"/>
    <s v="Acco Smartsocket® Color-Coded Six-Outlet AC Adapter Model Surge Protectors"/>
    <n v="0.59"/>
    <s v="United States"/>
    <s v="West"/>
    <s v="California"/>
    <s v="Stockton"/>
    <n v="95207"/>
    <d v="2015-06-07T00:00:00"/>
    <d v="2015-06-08T00:00:00"/>
    <n v="-21.231999999999999"/>
    <n v="1"/>
    <x v="774"/>
    <n v="88212"/>
    <n v="46.94"/>
  </r>
  <r>
    <n v="2.89"/>
    <n v="0.5"/>
    <n v="1380"/>
    <s v="Jeanne Walker"/>
    <s v="Regular Air"/>
    <s v="Home Office"/>
    <x v="0"/>
    <x v="9"/>
    <s v="Small Box"/>
    <s v="Avery 498"/>
    <n v="0.38"/>
    <s v="United States"/>
    <s v="East"/>
    <s v="New Hampshire"/>
    <s v="Portsmouth"/>
    <n v="3801"/>
    <d v="2015-06-27T00:00:00"/>
    <d v="2015-07-03T00:00:00"/>
    <n v="18.0642"/>
    <n v="9"/>
    <x v="775"/>
    <n v="88213"/>
    <n v="235.62"/>
  </r>
  <r>
    <n v="2.23"/>
    <n v="4.57"/>
    <n v="1383"/>
    <s v="Christina Hanna"/>
    <s v="Regular Air"/>
    <s v="Consumer"/>
    <x v="1"/>
    <x v="2"/>
    <s v="Small Pack"/>
    <s v="Eldon Pizzaz™ Desk Accessories"/>
    <n v="0.41"/>
    <s v="United States"/>
    <s v="West"/>
    <s v="Utah"/>
    <s v="West Valley City"/>
    <n v="84120"/>
    <d v="2015-05-01T00:00:00"/>
    <d v="2015-05-02T00:00:00"/>
    <n v="-93.25"/>
    <n v="12"/>
    <x v="776"/>
    <n v="89406"/>
    <n v="343.92"/>
  </r>
  <r>
    <n v="11.29"/>
    <n v="5.03"/>
    <n v="1384"/>
    <s v="George McLamb"/>
    <s v="Regular Air"/>
    <s v="Consumer"/>
    <x v="0"/>
    <x v="10"/>
    <s v="Small Box"/>
    <s v="X-Rack™ File for Hanging Folders"/>
    <n v="0.59"/>
    <s v="United States"/>
    <s v="South"/>
    <s v="Virginia"/>
    <s v="Alexandria"/>
    <n v="22304"/>
    <d v="2015-06-30T00:00:00"/>
    <d v="2015-07-02T00:00:00"/>
    <n v="-163.03"/>
    <n v="11"/>
    <x v="777"/>
    <n v="89407"/>
    <n v="1354.98"/>
  </r>
  <r>
    <n v="70.97"/>
    <n v="3.5"/>
    <n v="1384"/>
    <s v="George McLamb"/>
    <s v="Regular Air"/>
    <s v="Consumer"/>
    <x v="0"/>
    <x v="15"/>
    <s v="Small Box"/>
    <s v="Tripp Lite Isotel 8 Ultra 8 Outlet Metal Surge"/>
    <n v="0.59"/>
    <s v="United States"/>
    <s v="South"/>
    <s v="Virginia"/>
    <s v="Alexandria"/>
    <n v="22304"/>
    <d v="2015-06-07T00:00:00"/>
    <d v="2015-06-14T00:00:00"/>
    <n v="23.616"/>
    <n v="21"/>
    <x v="778"/>
    <n v="89408"/>
    <n v="32205.39"/>
  </r>
  <r>
    <n v="1.74"/>
    <n v="4.08"/>
    <n v="1389"/>
    <s v="Jean Khan"/>
    <s v="Regular Air"/>
    <s v="Corporate"/>
    <x v="1"/>
    <x v="2"/>
    <s v="Small Pack"/>
    <s v="Eldon Regeneration Recycled Desk Accessories, Smoke"/>
    <n v="0.53"/>
    <s v="United States"/>
    <s v="West"/>
    <s v="California"/>
    <s v="Menlo Park"/>
    <n v="94025"/>
    <d v="2015-01-25T00:00:00"/>
    <d v="2015-01-26T00:00:00"/>
    <n v="-11.0732"/>
    <n v="1"/>
    <x v="779"/>
    <n v="88726"/>
    <n v="2.77"/>
  </r>
  <r>
    <n v="2.62"/>
    <n v="0.8"/>
    <n v="1389"/>
    <s v="Jean Khan"/>
    <s v="Express Air"/>
    <s v="Small Business"/>
    <x v="0"/>
    <x v="3"/>
    <s v="Wrap Bag"/>
    <s v="Staples Metal Binder Clips"/>
    <n v="0.39"/>
    <s v="United States"/>
    <s v="West"/>
    <s v="California"/>
    <s v="Menlo Park"/>
    <n v="94025"/>
    <d v="2015-05-13T00:00:00"/>
    <d v="2015-05-15T00:00:00"/>
    <n v="21.769500000000001"/>
    <n v="12"/>
    <x v="780"/>
    <n v="88728"/>
    <n v="378.6"/>
  </r>
  <r>
    <n v="2.61"/>
    <n v="0.5"/>
    <n v="1389"/>
    <s v="Jean Khan"/>
    <s v="Regular Air"/>
    <s v="Consumer"/>
    <x v="0"/>
    <x v="9"/>
    <s v="Small Box"/>
    <s v="Avery 494"/>
    <n v="0.39"/>
    <s v="United States"/>
    <s v="West"/>
    <s v="California"/>
    <s v="Menlo Park"/>
    <n v="94025"/>
    <d v="2015-06-03T00:00:00"/>
    <d v="2015-06-05T00:00:00"/>
    <n v="29.380199999999999"/>
    <n v="17"/>
    <x v="781"/>
    <n v="88729"/>
    <n v="723.86"/>
  </r>
  <r>
    <n v="8.17"/>
    <n v="1.69"/>
    <n v="1390"/>
    <s v="Hazel Jones"/>
    <s v="Regular Air"/>
    <s v="Corporate"/>
    <x v="0"/>
    <x v="7"/>
    <s v="Wrap Bag"/>
    <s v="Wirebound Message Forms, Four 2 3/4 x 5 Forms per Page, Pink Paper"/>
    <n v="0.38"/>
    <s v="United States"/>
    <s v="West"/>
    <s v="California"/>
    <s v="Stockton"/>
    <n v="95207"/>
    <d v="2015-05-16T00:00:00"/>
    <d v="2015-05-16T00:00:00"/>
    <n v="100.2984"/>
    <n v="19"/>
    <x v="782"/>
    <n v="88731"/>
    <n v="2761.84"/>
  </r>
  <r>
    <n v="110.99"/>
    <n v="2.5"/>
    <n v="1390"/>
    <s v="Hazel Jones"/>
    <s v="Regular Air"/>
    <s v="Corporate"/>
    <x v="2"/>
    <x v="5"/>
    <s v="Small Box"/>
    <s v="T18"/>
    <n v="0.56999999999999995"/>
    <s v="United States"/>
    <s v="West"/>
    <s v="California"/>
    <s v="Stockton"/>
    <n v="95207"/>
    <d v="2015-05-16T00:00:00"/>
    <d v="2015-05-18T00:00:00"/>
    <n v="2495.3987999999999"/>
    <n v="38"/>
    <x v="783"/>
    <n v="88731"/>
    <n v="137427.76"/>
  </r>
  <r>
    <n v="2.88"/>
    <n v="0.7"/>
    <n v="1391"/>
    <s v="Carolyn Greer"/>
    <s v="Express Air"/>
    <s v="Consumer"/>
    <x v="0"/>
    <x v="0"/>
    <s v="Wrap Bag"/>
    <s v="Newell 340"/>
    <n v="0.56000000000000005"/>
    <s v="United States"/>
    <s v="West"/>
    <s v="California"/>
    <s v="Sunnyvale"/>
    <n v="94086"/>
    <d v="2015-04-24T00:00:00"/>
    <d v="2015-04-24T00:00:00"/>
    <n v="-0.11"/>
    <n v="1"/>
    <x v="784"/>
    <n v="88727"/>
    <n v="7.96"/>
  </r>
  <r>
    <n v="12.28"/>
    <n v="6.13"/>
    <n v="1391"/>
    <s v="Carolyn Greer"/>
    <s v="Regular Air"/>
    <s v="Small Business"/>
    <x v="0"/>
    <x v="10"/>
    <s v="Small Box"/>
    <s v="Recycled Eldon Regeneration Jumbo File"/>
    <n v="0.56999999999999995"/>
    <s v="United States"/>
    <s v="West"/>
    <s v="California"/>
    <s v="Sunnyvale"/>
    <n v="94086"/>
    <d v="2015-05-03T00:00:00"/>
    <d v="2015-05-10T00:00:00"/>
    <n v="15.236000000000001"/>
    <n v="33"/>
    <x v="785"/>
    <n v="88730"/>
    <n v="12856.47"/>
  </r>
  <r>
    <n v="8.6"/>
    <n v="6.19"/>
    <n v="1402"/>
    <s v="Wesley Tate"/>
    <s v="Regular Air"/>
    <s v="Corporate"/>
    <x v="0"/>
    <x v="8"/>
    <s v="Small Box"/>
    <s v="Avery Printable Repositionable Plastic Tabs"/>
    <n v="0.38"/>
    <s v="United States"/>
    <s v="Central"/>
    <s v="Illinois"/>
    <s v="Chicago"/>
    <n v="60653"/>
    <d v="2015-01-15T00:00:00"/>
    <d v="2015-01-15T00:00:00"/>
    <n v="-42.8536"/>
    <n v="48"/>
    <x v="786"/>
    <n v="37729"/>
    <n v="21498.720000000001"/>
  </r>
  <r>
    <n v="30.73"/>
    <n v="4"/>
    <n v="1402"/>
    <s v="Wesley Tate"/>
    <s v="Regular Air"/>
    <s v="Home Office"/>
    <x v="2"/>
    <x v="13"/>
    <s v="Small Box"/>
    <s v="Fellowes 17-key keypad for PS/2 interface"/>
    <n v="0.75"/>
    <s v="United States"/>
    <s v="Central"/>
    <s v="Illinois"/>
    <s v="Chicago"/>
    <n v="60653"/>
    <d v="2015-01-21T00:00:00"/>
    <d v="2015-01-22T00:00:00"/>
    <n v="-20.79"/>
    <n v="48"/>
    <x v="787"/>
    <n v="43079"/>
    <n v="68200.319999999992"/>
  </r>
  <r>
    <n v="8.6"/>
    <n v="6.19"/>
    <n v="1405"/>
    <s v="Crystal Floyd"/>
    <s v="Regular Air"/>
    <s v="Corporate"/>
    <x v="0"/>
    <x v="8"/>
    <s v="Small Box"/>
    <s v="Avery Printable Repositionable Plastic Tabs"/>
    <n v="0.38"/>
    <s v="United States"/>
    <s v="Central"/>
    <s v="Michigan"/>
    <s v="Battle Creek"/>
    <n v="49017"/>
    <d v="2015-01-15T00:00:00"/>
    <d v="2015-01-15T00:00:00"/>
    <n v="-33.211539999999999"/>
    <n v="12"/>
    <x v="788"/>
    <n v="86144"/>
    <n v="1343.6399999999999"/>
  </r>
  <r>
    <n v="30.73"/>
    <n v="4"/>
    <n v="1405"/>
    <s v="Crystal Floyd"/>
    <s v="Regular Air"/>
    <s v="Home Office"/>
    <x v="2"/>
    <x v="13"/>
    <s v="Small Box"/>
    <s v="Fellowes 17-key keypad for PS/2 interface"/>
    <n v="0.75"/>
    <s v="United States"/>
    <s v="Central"/>
    <s v="Michigan"/>
    <s v="Battle Creek"/>
    <n v="49017"/>
    <d v="2015-01-21T00:00:00"/>
    <d v="2015-01-22T00:00:00"/>
    <n v="-20.79"/>
    <n v="12"/>
    <x v="789"/>
    <n v="86145"/>
    <n v="4262.5199999999995"/>
  </r>
  <r>
    <n v="65.989999999999995"/>
    <n v="5.26"/>
    <n v="1410"/>
    <s v="Charles Ward"/>
    <s v="Regular Air"/>
    <s v="Corporate"/>
    <x v="2"/>
    <x v="5"/>
    <s v="Small Box"/>
    <s v="g520"/>
    <n v="0.59"/>
    <s v="United States"/>
    <s v="West"/>
    <s v="California"/>
    <s v="Moreno Valley"/>
    <n v="92553"/>
    <d v="2015-04-07T00:00:00"/>
    <d v="2015-04-08T00:00:00"/>
    <n v="369.99869999999999"/>
    <n v="9"/>
    <x v="790"/>
    <n v="87086"/>
    <n v="4826.07"/>
  </r>
  <r>
    <n v="3.38"/>
    <n v="0.85"/>
    <n v="1412"/>
    <s v="Marc Ray"/>
    <s v="Regular Air"/>
    <s v="Corporate"/>
    <x v="0"/>
    <x v="0"/>
    <s v="Wrap Bag"/>
    <s v="Avery Hi-Liter® Fluorescent Desk Style Markers"/>
    <n v="0.48"/>
    <s v="United States"/>
    <s v="West"/>
    <s v="California"/>
    <s v="Mountain View"/>
    <n v="94043"/>
    <d v="2015-02-02T00:00:00"/>
    <d v="2015-02-04T00:00:00"/>
    <n v="20.453600000000002"/>
    <n v="12"/>
    <x v="791"/>
    <n v="87087"/>
    <n v="465.72"/>
  </r>
  <r>
    <n v="65.989999999999995"/>
    <n v="5.26"/>
    <n v="1413"/>
    <s v="Pamela Wiley"/>
    <s v="Regular Air"/>
    <s v="Corporate"/>
    <x v="2"/>
    <x v="5"/>
    <s v="Small Box"/>
    <s v="g520"/>
    <n v="0.59"/>
    <s v="United States"/>
    <s v="East"/>
    <s v="Massachusetts"/>
    <s v="Boston"/>
    <n v="2113"/>
    <d v="2015-04-07T00:00:00"/>
    <d v="2015-04-08T00:00:00"/>
    <n v="542.25"/>
    <n v="36"/>
    <x v="792"/>
    <n v="10277"/>
    <n v="77217.119999999995"/>
  </r>
  <r>
    <n v="16.48"/>
    <n v="1.99"/>
    <n v="1413"/>
    <s v="Pamela Wiley"/>
    <s v="Express Air"/>
    <s v="Corporate"/>
    <x v="2"/>
    <x v="13"/>
    <s v="Small Pack"/>
    <s v="Maxell DVD-RAM Discs"/>
    <n v="0.42"/>
    <s v="United States"/>
    <s v="East"/>
    <s v="Massachusetts"/>
    <s v="Boston"/>
    <n v="2113"/>
    <d v="2015-02-02T00:00:00"/>
    <d v="2015-02-04T00:00:00"/>
    <n v="69.61"/>
    <n v="27"/>
    <x v="793"/>
    <n v="45539"/>
    <n v="13083.12"/>
  </r>
  <r>
    <n v="417.4"/>
    <n v="75.23"/>
    <n v="1416"/>
    <s v="Betsy Gibson"/>
    <s v="Delivery Truck"/>
    <s v="Small Business"/>
    <x v="1"/>
    <x v="11"/>
    <s v="Jumbo Box"/>
    <s v="Bretford “Just In Time” Height-Adjustable Multi-Task Work Tables"/>
    <n v="0.79"/>
    <s v="United States"/>
    <s v="Central"/>
    <s v="Indiana"/>
    <s v="Indianapolis"/>
    <n v="46203"/>
    <d v="2015-05-06T00:00:00"/>
    <d v="2015-05-07T00:00:00"/>
    <n v="-634.86540000000002"/>
    <n v="1"/>
    <x v="794"/>
    <n v="90538"/>
    <n v="471.21"/>
  </r>
  <r>
    <n v="46.89"/>
    <n v="5.0999999999999996"/>
    <n v="1416"/>
    <s v="Betsy Gibson"/>
    <s v="Regular Air"/>
    <s v="Small Business"/>
    <x v="0"/>
    <x v="15"/>
    <s v="Medium Box"/>
    <s v="Bionaire Personal Warm Mist Humidifier/Vaporizer"/>
    <n v="0.46"/>
    <s v="United States"/>
    <s v="Central"/>
    <s v="Indiana"/>
    <s v="Indianapolis"/>
    <n v="46203"/>
    <d v="2015-06-25T00:00:00"/>
    <d v="2015-06-27T00:00:00"/>
    <n v="87.12"/>
    <n v="4"/>
    <x v="795"/>
    <n v="90540"/>
    <n v="730.44"/>
  </r>
  <r>
    <n v="4.84"/>
    <n v="0.71"/>
    <n v="1418"/>
    <s v="Rebecca Lindsey"/>
    <s v="Regular Air"/>
    <s v="Small Business"/>
    <x v="0"/>
    <x v="0"/>
    <s v="Wrap Bag"/>
    <s v="*Staples* Highlighting Markers"/>
    <n v="0.52"/>
    <s v="United States"/>
    <s v="Central"/>
    <s v="Indiana"/>
    <s v="Kokomo"/>
    <n v="46901"/>
    <d v="2015-01-01T00:00:00"/>
    <d v="2015-01-03T00:00:00"/>
    <n v="25.240200000000002"/>
    <n v="8"/>
    <x v="796"/>
    <n v="90539"/>
    <n v="292.64"/>
  </r>
  <r>
    <n v="124.49"/>
    <n v="51.94"/>
    <n v="1419"/>
    <s v="Brooke Lancaster"/>
    <s v="Delivery Truck"/>
    <s v="Small Business"/>
    <x v="1"/>
    <x v="11"/>
    <s v="Jumbo Box"/>
    <s v="Bevis 36 x 72 Conference Tables"/>
    <n v="0.63"/>
    <s v="United States"/>
    <s v="Central"/>
    <s v="Indiana"/>
    <s v="Lafayette"/>
    <n v="47905"/>
    <d v="2015-06-25T00:00:00"/>
    <d v="2015-06-26T00:00:00"/>
    <n v="-94.674644999999998"/>
    <n v="18"/>
    <x v="797"/>
    <n v="90540"/>
    <n v="42770.159999999996"/>
  </r>
  <r>
    <n v="350.99"/>
    <n v="39"/>
    <n v="1424"/>
    <s v="Robyn Zhou"/>
    <s v="Delivery Truck"/>
    <s v="Home Office"/>
    <x v="1"/>
    <x v="1"/>
    <s v="Jumbo Drum"/>
    <s v="Global Leather Executive Chair"/>
    <n v="0.55000000000000004"/>
    <s v="United States"/>
    <s v="West"/>
    <s v="Colorado"/>
    <s v="Englewood"/>
    <n v="80112"/>
    <d v="2015-01-12T00:00:00"/>
    <d v="2015-01-14T00:00:00"/>
    <n v="451.28039999999999"/>
    <n v="3"/>
    <x v="798"/>
    <n v="89448"/>
    <n v="3060.2400000000002"/>
  </r>
  <r>
    <n v="8.74"/>
    <n v="1.39"/>
    <n v="1424"/>
    <s v="Robyn Zhou"/>
    <s v="Regular Air"/>
    <s v="Home Office"/>
    <x v="0"/>
    <x v="4"/>
    <s v="Small Box"/>
    <s v="#10- 4 1/8&quot; x 9 1/2&quot; Recycled Envelopes"/>
    <n v="0.38"/>
    <s v="United States"/>
    <s v="West"/>
    <s v="Colorado"/>
    <s v="Englewood"/>
    <n v="80112"/>
    <d v="2015-01-12T00:00:00"/>
    <d v="2015-01-16T00:00:00"/>
    <n v="44.988"/>
    <n v="7"/>
    <x v="799"/>
    <n v="89448"/>
    <n v="456.40000000000003"/>
  </r>
  <r>
    <n v="1.98"/>
    <n v="0.7"/>
    <n v="1424"/>
    <s v="Robyn Zhou"/>
    <s v="Regular Air"/>
    <s v="Home Office"/>
    <x v="0"/>
    <x v="3"/>
    <s v="Wrap Bag"/>
    <s v="Brites Rubber Bands, 1 1/2 oz. Box"/>
    <n v="0.83"/>
    <s v="United States"/>
    <s v="West"/>
    <s v="Colorado"/>
    <s v="Englewood"/>
    <n v="80112"/>
    <d v="2015-01-12T00:00:00"/>
    <d v="2015-01-16T00:00:00"/>
    <n v="-20.732800000000001"/>
    <n v="11"/>
    <x v="800"/>
    <n v="89448"/>
    <n v="248.49"/>
  </r>
  <r>
    <n v="8.0399999999999991"/>
    <n v="8.94"/>
    <n v="1424"/>
    <s v="Robyn Zhou"/>
    <s v="Regular Air"/>
    <s v="Home Office"/>
    <x v="0"/>
    <x v="8"/>
    <s v="Small Box"/>
    <s v="Fellowes Twister Kit, Gray/Clear, 3/pkg"/>
    <n v="0.4"/>
    <s v="United States"/>
    <s v="West"/>
    <s v="Colorado"/>
    <s v="Englewood"/>
    <n v="80112"/>
    <d v="2015-06-20T00:00:00"/>
    <d v="2015-06-22T00:00:00"/>
    <n v="-164.3948"/>
    <n v="15"/>
    <x v="801"/>
    <n v="89449"/>
    <n v="1820.4"/>
  </r>
  <r>
    <n v="2036.48"/>
    <n v="14.7"/>
    <n v="1425"/>
    <s v="Gregory Crane"/>
    <s v="Delivery Truck"/>
    <s v="Small Business"/>
    <x v="2"/>
    <x v="6"/>
    <s v="Jumbo Drum"/>
    <s v="Lexmark 4227 Plus Dot Matrix Printer"/>
    <n v="0.55000000000000004"/>
    <s v="United States"/>
    <s v="West"/>
    <s v="Colorado"/>
    <s v="Fort Collins"/>
    <n v="80525"/>
    <d v="2015-01-01T00:00:00"/>
    <d v="2015-01-06T00:00:00"/>
    <n v="-4793.0039999999999"/>
    <n v="1"/>
    <x v="802"/>
    <n v="89450"/>
    <n v="2013.67"/>
  </r>
  <r>
    <n v="125.99"/>
    <n v="2.5"/>
    <n v="1427"/>
    <s v="Stacy Gould"/>
    <s v="Regular Air"/>
    <s v="Home Office"/>
    <x v="2"/>
    <x v="5"/>
    <s v="Small Box"/>
    <s v="i2000"/>
    <n v="0.6"/>
    <s v="United States"/>
    <s v="Central"/>
    <s v="Michigan"/>
    <s v="Bay City"/>
    <n v="48708"/>
    <d v="2015-02-05T00:00:00"/>
    <d v="2015-02-09T00:00:00"/>
    <n v="1258.7877000000001"/>
    <n v="18"/>
    <x v="803"/>
    <n v="90905"/>
    <n v="32837.94"/>
  </r>
  <r>
    <n v="9.7799999999999994"/>
    <n v="1.39"/>
    <n v="1432"/>
    <s v="Kerry Green"/>
    <s v="Regular Air"/>
    <s v="Corporate"/>
    <x v="0"/>
    <x v="4"/>
    <s v="Small Box"/>
    <s v="Staples #10 Laser &amp; Inkjet Envelopes, 4 1/8&quot; x 9 1/2&quot;, 100/Box"/>
    <n v="0.39"/>
    <s v="United States"/>
    <s v="Central"/>
    <s v="Indiana"/>
    <s v="Indianapolis"/>
    <n v="46203"/>
    <d v="2015-03-05T00:00:00"/>
    <d v="2015-03-06T00:00:00"/>
    <n v="74.278499999999994"/>
    <n v="11"/>
    <x v="804"/>
    <n v="86826"/>
    <n v="1184.1500000000001"/>
  </r>
  <r>
    <n v="10.98"/>
    <n v="4.8"/>
    <n v="1432"/>
    <s v="Kerry Green"/>
    <s v="Regular Air"/>
    <s v="Corporate"/>
    <x v="0"/>
    <x v="4"/>
    <s v="Small Box"/>
    <s v="Manila Recycled Extra-Heavyweight Clasp Envelopes, 6&quot; x 9&quot;"/>
    <n v="0.36"/>
    <s v="United States"/>
    <s v="Central"/>
    <s v="Indiana"/>
    <s v="Indianapolis"/>
    <n v="46203"/>
    <d v="2015-06-20T00:00:00"/>
    <d v="2015-06-27T00:00:00"/>
    <n v="52.92"/>
    <n v="16"/>
    <x v="805"/>
    <n v="86827"/>
    <n v="2643.36"/>
  </r>
  <r>
    <n v="3.28"/>
    <n v="3.97"/>
    <n v="1433"/>
    <s v="Frances Jackson"/>
    <s v="Express Air"/>
    <s v="Corporate"/>
    <x v="0"/>
    <x v="0"/>
    <s v="Wrap Bag"/>
    <s v="Newell 337"/>
    <n v="0.56000000000000005"/>
    <s v="United States"/>
    <s v="Central"/>
    <s v="Indiana"/>
    <s v="Jeffersonville"/>
    <n v="47130"/>
    <d v="2015-03-05T00:00:00"/>
    <d v="2015-03-06T00:00:00"/>
    <n v="-66.349999999999994"/>
    <n v="7"/>
    <x v="806"/>
    <n v="86826"/>
    <n v="176.04999999999998"/>
  </r>
  <r>
    <n v="300.98"/>
    <n v="64.73"/>
    <n v="1433"/>
    <s v="Frances Jackson"/>
    <s v="Delivery Truck"/>
    <s v="Corporate"/>
    <x v="1"/>
    <x v="1"/>
    <s v="Jumbo Drum"/>
    <s v="Global Leather and Oak Executive Chair, Black"/>
    <n v="0.56000000000000005"/>
    <s v="United States"/>
    <s v="Central"/>
    <s v="Indiana"/>
    <s v="Jeffersonville"/>
    <n v="47130"/>
    <d v="2015-05-19T00:00:00"/>
    <d v="2015-05-21T00:00:00"/>
    <n v="1399.64"/>
    <n v="14"/>
    <x v="807"/>
    <n v="86828"/>
    <n v="59997.840000000004"/>
  </r>
  <r>
    <n v="20.98"/>
    <n v="45"/>
    <n v="1433"/>
    <s v="Frances Jackson"/>
    <s v="Delivery Truck"/>
    <s v="Corporate"/>
    <x v="0"/>
    <x v="10"/>
    <s v="Jumbo Drum"/>
    <s v="Tennsco Lockers, Sand"/>
    <n v="0.61"/>
    <s v="United States"/>
    <s v="Central"/>
    <s v="Indiana"/>
    <s v="Jeffersonville"/>
    <n v="47130"/>
    <d v="2015-05-19T00:00:00"/>
    <d v="2015-05-19T00:00:00"/>
    <n v="232.642"/>
    <n v="28"/>
    <x v="808"/>
    <n v="86828"/>
    <n v="17678.36"/>
  </r>
  <r>
    <n v="80.98"/>
    <n v="35"/>
    <n v="1438"/>
    <s v="Jean Weiss Diaz"/>
    <s v="Regular Air"/>
    <s v="Corporate"/>
    <x v="0"/>
    <x v="10"/>
    <s v="Large Box"/>
    <s v="Carina 42&quot;Hx23 3/4&quot;W Media Storage Unit"/>
    <n v="0.83"/>
    <s v="United States"/>
    <s v="East"/>
    <s v="Ohio"/>
    <s v="Elyria"/>
    <n v="44035"/>
    <d v="2015-01-22T00:00:00"/>
    <d v="2015-01-24T00:00:00"/>
    <n v="-409.37360000000001"/>
    <n v="3"/>
    <x v="809"/>
    <n v="90120"/>
    <n v="803.49"/>
  </r>
  <r>
    <n v="6.48"/>
    <n v="6.22"/>
    <n v="1439"/>
    <s v="Kyle Kaufman"/>
    <s v="Regular Air"/>
    <s v="Corporate"/>
    <x v="0"/>
    <x v="7"/>
    <s v="Small Box"/>
    <s v="Xerox 1894"/>
    <n v="0.37"/>
    <s v="United States"/>
    <s v="East"/>
    <s v="Ohio"/>
    <s v="Euclid"/>
    <n v="44117"/>
    <d v="2015-04-28T00:00:00"/>
    <d v="2015-04-29T00:00:00"/>
    <n v="-29.07"/>
    <n v="3"/>
    <x v="653"/>
    <n v="90121"/>
    <n v="64.38"/>
  </r>
  <r>
    <n v="177.98"/>
    <n v="0.99"/>
    <n v="1442"/>
    <s v="Rodney Field"/>
    <s v="Regular Air"/>
    <s v="Corporate"/>
    <x v="0"/>
    <x v="15"/>
    <s v="Small Box"/>
    <s v="Kensington 7 Outlet MasterPiece Power Center"/>
    <n v="0.56000000000000005"/>
    <s v="United States"/>
    <s v="Central"/>
    <s v="Missouri"/>
    <s v="Springfield"/>
    <n v="65807"/>
    <d v="2015-06-25T00:00:00"/>
    <d v="2015-06-27T00:00:00"/>
    <n v="1909.8855000000001"/>
    <n v="15"/>
    <x v="810"/>
    <n v="89076"/>
    <n v="41519.25"/>
  </r>
  <r>
    <n v="15.99"/>
    <n v="13.18"/>
    <n v="1442"/>
    <s v="Rodney Field"/>
    <s v="Express Air"/>
    <s v="Corporate"/>
    <x v="0"/>
    <x v="8"/>
    <s v="Small Box"/>
    <s v="GBC Pre-Punched Binding Paper, Plastic, White, 8-1/2&quot; x 11&quot;"/>
    <n v="0.37"/>
    <s v="United States"/>
    <s v="Central"/>
    <s v="Missouri"/>
    <s v="Springfield"/>
    <n v="65807"/>
    <d v="2015-01-30T00:00:00"/>
    <d v="2015-02-03T00:00:00"/>
    <n v="-76.992500000000007"/>
    <n v="7"/>
    <x v="811"/>
    <n v="89077"/>
    <n v="861.21"/>
  </r>
  <r>
    <n v="46.94"/>
    <n v="6.77"/>
    <n v="1442"/>
    <s v="Rodney Field"/>
    <s v="Express Air"/>
    <s v="Corporate"/>
    <x v="1"/>
    <x v="2"/>
    <s v="Small Box"/>
    <s v="Howard Miller 13&quot; Diameter Goldtone Round Wall Clock"/>
    <n v="0.44"/>
    <s v="United States"/>
    <s v="Central"/>
    <s v="Missouri"/>
    <s v="Springfield"/>
    <n v="65807"/>
    <d v="2015-01-30T00:00:00"/>
    <d v="2015-01-30T00:00:00"/>
    <n v="297.96960000000001"/>
    <n v="10"/>
    <x v="812"/>
    <n v="89077"/>
    <n v="4318.3999999999996"/>
  </r>
  <r>
    <n v="218.08"/>
    <n v="18.059999999999999"/>
    <n v="1450"/>
    <s v="Veronica Peck"/>
    <s v="Express Air"/>
    <s v="Consumer"/>
    <x v="1"/>
    <x v="1"/>
    <s v="Large Box"/>
    <s v="Lifetime Advantage™ Folding Chairs, 4/Carton"/>
    <n v="0.56999999999999995"/>
    <s v="United States"/>
    <s v="West"/>
    <s v="California"/>
    <s v="South Lake Tahoe"/>
    <n v="96150"/>
    <d v="2015-05-24T00:00:00"/>
    <d v="2015-05-25T00:00:00"/>
    <n v="1318.83"/>
    <n v="12"/>
    <x v="813"/>
    <n v="86735"/>
    <n v="28398.120000000003"/>
  </r>
  <r>
    <n v="85.99"/>
    <n v="0.99"/>
    <n v="1459"/>
    <s v="Steve Raynor"/>
    <s v="Regular Air"/>
    <s v="Consumer"/>
    <x v="2"/>
    <x v="5"/>
    <s v="Wrap Bag"/>
    <s v="Accessory34"/>
    <n v="0.55000000000000004"/>
    <s v="United States"/>
    <s v="South"/>
    <s v="South Carolina"/>
    <s v="Taylors"/>
    <n v="29687"/>
    <d v="2015-04-05T00:00:00"/>
    <d v="2015-04-07T00:00:00"/>
    <n v="36.216000000000001"/>
    <n v="4"/>
    <x v="814"/>
    <n v="86734"/>
    <n v="1166.56"/>
  </r>
  <r>
    <n v="12.95"/>
    <n v="4.9800000000000004"/>
    <n v="1461"/>
    <s v="Norman Adams"/>
    <s v="Regular Air"/>
    <s v="Consumer"/>
    <x v="0"/>
    <x v="8"/>
    <s v="Small Box"/>
    <s v="GBC Binding covers"/>
    <n v="0.4"/>
    <s v="United States"/>
    <s v="Central"/>
    <s v="Indiana"/>
    <s v="Lafayette"/>
    <n v="47905"/>
    <d v="2015-06-02T00:00:00"/>
    <d v="2015-06-04T00:00:00"/>
    <n v="134.16825"/>
    <n v="19"/>
    <x v="815"/>
    <n v="86397"/>
    <n v="4794.84"/>
  </r>
  <r>
    <n v="65.989999999999995"/>
    <n v="8.99"/>
    <n v="1466"/>
    <s v="Wesley Reid"/>
    <s v="Regular Air"/>
    <s v="Small Business"/>
    <x v="2"/>
    <x v="5"/>
    <s v="Small Box"/>
    <n v="5180"/>
    <n v="0.56000000000000005"/>
    <s v="United States"/>
    <s v="Central"/>
    <s v="Nebraska"/>
    <s v="Columbus"/>
    <n v="68601"/>
    <d v="2015-06-11T00:00:00"/>
    <d v="2015-06-13T00:00:00"/>
    <n v="253.3032"/>
    <n v="10"/>
    <x v="816"/>
    <n v="91115"/>
    <n v="5750.7000000000007"/>
  </r>
  <r>
    <n v="130.97999999999999"/>
    <n v="54.74"/>
    <n v="1466"/>
    <s v="Wesley Reid"/>
    <s v="Delivery Truck"/>
    <s v="Small Business"/>
    <x v="1"/>
    <x v="14"/>
    <s v="Jumbo Box"/>
    <s v="O'Sullivan Elevations Bookcase, Cherry Finish"/>
    <n v="0.69"/>
    <s v="United States"/>
    <s v="Central"/>
    <s v="Nebraska"/>
    <s v="Columbus"/>
    <n v="68601"/>
    <d v="2015-06-12T00:00:00"/>
    <d v="2015-06-12T00:00:00"/>
    <n v="-723.78399999999999"/>
    <n v="14"/>
    <x v="817"/>
    <n v="91116"/>
    <n v="24943.24"/>
  </r>
  <r>
    <n v="105.29"/>
    <n v="10.119999999999999"/>
    <n v="1469"/>
    <s v="Vicki Zhu Daniels"/>
    <s v="Regular Air"/>
    <s v="Small Business"/>
    <x v="1"/>
    <x v="2"/>
    <s v="Large Box"/>
    <s v="Eldon Antistatic Chair Mats for Low to Medium Pile Carpets"/>
    <n v="0.79"/>
    <s v="United States"/>
    <s v="West"/>
    <s v="Utah"/>
    <s v="Clearfield"/>
    <n v="84015"/>
    <d v="2015-06-12T00:00:00"/>
    <d v="2015-06-16T00:00:00"/>
    <n v="589.18799999999999"/>
    <n v="9"/>
    <x v="818"/>
    <n v="91116"/>
    <n v="8465.76"/>
  </r>
  <r>
    <n v="31.76"/>
    <n v="45.51"/>
    <n v="1469"/>
    <s v="Vicki Zhu Daniels"/>
    <s v="Delivery Truck"/>
    <s v="Small Business"/>
    <x v="1"/>
    <x v="11"/>
    <s v="Jumbo Box"/>
    <s v="Hon iLevel™ Computer Training Table"/>
    <n v="0.65"/>
    <s v="United States"/>
    <s v="West"/>
    <s v="Utah"/>
    <s v="Clearfield"/>
    <n v="84015"/>
    <d v="2015-06-12T00:00:00"/>
    <d v="2015-06-14T00:00:00"/>
    <n v="-1314.992"/>
    <n v="18"/>
    <x v="819"/>
    <n v="91116"/>
    <n v="7906.86"/>
  </r>
  <r>
    <n v="420.98"/>
    <n v="19.989999999999998"/>
    <n v="1471"/>
    <s v="Danielle Daniel"/>
    <s v="Regular Air"/>
    <s v="Home Office"/>
    <x v="0"/>
    <x v="8"/>
    <s v="Small Box"/>
    <s v="GBC DocuBind 200 Manual Binding Machine"/>
    <n v="0.35"/>
    <s v="United States"/>
    <s v="East"/>
    <s v="Ohio"/>
    <s v="Westerville"/>
    <n v="43081"/>
    <d v="2015-03-21T00:00:00"/>
    <d v="2015-03-22T00:00:00"/>
    <n v="3043.0311000000002"/>
    <n v="10"/>
    <x v="820"/>
    <n v="87077"/>
    <n v="44101.899999999994"/>
  </r>
  <r>
    <n v="30.98"/>
    <n v="6.5"/>
    <n v="1472"/>
    <s v="Tommy Ellis Ritchie"/>
    <s v="Express Air"/>
    <s v="Home Office"/>
    <x v="2"/>
    <x v="13"/>
    <s v="Small Box"/>
    <s v="Logitech Internet Navigator Keyboard"/>
    <n v="0.79"/>
    <s v="United States"/>
    <s v="East"/>
    <s v="Ohio"/>
    <s v="Westlake"/>
    <n v="44145"/>
    <d v="2015-06-30T00:00:00"/>
    <d v="2015-07-01T00:00:00"/>
    <n v="-44.624000000000002"/>
    <n v="17"/>
    <x v="821"/>
    <n v="87078"/>
    <n v="9399.1299999999992"/>
  </r>
  <r>
    <n v="20.27"/>
    <n v="3.99"/>
    <n v="1472"/>
    <s v="Tommy Ellis Ritchie"/>
    <s v="Regular Air"/>
    <s v="Home Office"/>
    <x v="0"/>
    <x v="15"/>
    <s v="Small Box"/>
    <s v="Fellowes Mighty 8 Compact Surge Protector"/>
    <n v="0.56999999999999995"/>
    <s v="United States"/>
    <s v="East"/>
    <s v="Ohio"/>
    <s v="Westlake"/>
    <n v="44145"/>
    <d v="2015-05-25T00:00:00"/>
    <d v="2015-05-26T00:00:00"/>
    <n v="309.25400000000002"/>
    <n v="30"/>
    <x v="822"/>
    <n v="87079"/>
    <n v="18646.8"/>
  </r>
  <r>
    <n v="9.7799999999999994"/>
    <n v="1.99"/>
    <n v="1473"/>
    <s v="Paul Puckett"/>
    <s v="Express Air"/>
    <s v="Home Office"/>
    <x v="2"/>
    <x v="13"/>
    <s v="Small Pack"/>
    <s v="Memorex Slim 80 Minute CD-R, 10/Pack"/>
    <n v="0.43"/>
    <s v="United States"/>
    <s v="East"/>
    <s v="Ohio"/>
    <s v="Wooster"/>
    <n v="44691"/>
    <d v="2015-01-21T00:00:00"/>
    <d v="2015-01-22T00:00:00"/>
    <n v="61.292700000000004"/>
    <n v="9"/>
    <x v="823"/>
    <n v="87076"/>
    <n v="799.47"/>
  </r>
  <r>
    <n v="8.9499999999999993"/>
    <n v="2.0099999999999998"/>
    <n v="1481"/>
    <s v="Marvin MacDonald"/>
    <s v="Regular Air"/>
    <s v="Corporate"/>
    <x v="0"/>
    <x v="7"/>
    <s v="Wrap Bag"/>
    <s v="Recycled Desk Saver Line &quot;While You Were Out&quot; Book, 5 1/2&quot; X 4&quot;"/>
    <n v="0.39"/>
    <s v="United States"/>
    <s v="West"/>
    <s v="California"/>
    <s v="Los Angeles"/>
    <n v="90049"/>
    <d v="2015-03-27T00:00:00"/>
    <d v="2015-03-28T00:00:00"/>
    <n v="91.73"/>
    <n v="36"/>
    <x v="824"/>
    <n v="53953"/>
    <n v="11075.4"/>
  </r>
  <r>
    <n v="8.9499999999999993"/>
    <n v="2.0099999999999998"/>
    <n v="1482"/>
    <s v="Michael Tanner"/>
    <s v="Regular Air"/>
    <s v="Corporate"/>
    <x v="0"/>
    <x v="7"/>
    <s v="Wrap Bag"/>
    <s v="Recycled Desk Saver Line &quot;While You Were Out&quot; Book, 5 1/2&quot; X 4&quot;"/>
    <n v="0.39"/>
    <s v="United States"/>
    <s v="Central"/>
    <s v="Michigan"/>
    <s v="Bay City"/>
    <n v="48708"/>
    <d v="2015-03-27T00:00:00"/>
    <d v="2015-03-28T00:00:00"/>
    <n v="53.067900000000002"/>
    <n v="9"/>
    <x v="825"/>
    <n v="91362"/>
    <n v="692.18999999999994"/>
  </r>
  <r>
    <n v="9.65"/>
    <n v="6.22"/>
    <n v="1482"/>
    <s v="Michael Tanner"/>
    <s v="Regular Air"/>
    <s v="Corporate"/>
    <x v="1"/>
    <x v="2"/>
    <s v="Small Box"/>
    <s v="Eldon Expressions™ Desk Accessory, Wood Pencil Holder, Oak"/>
    <n v="0.55000000000000004"/>
    <s v="United States"/>
    <s v="Central"/>
    <s v="Michigan"/>
    <s v="Bay City"/>
    <n v="48708"/>
    <d v="2015-02-28T00:00:00"/>
    <d v="2015-02-28T00:00:00"/>
    <n v="-14.6432"/>
    <n v="15"/>
    <x v="826"/>
    <n v="91363"/>
    <n v="2270.1"/>
  </r>
  <r>
    <n v="99.99"/>
    <n v="19.989999999999998"/>
    <n v="1484"/>
    <s v="Alison Stewart"/>
    <s v="Regular Air"/>
    <s v="Home Office"/>
    <x v="2"/>
    <x v="13"/>
    <s v="Small Box"/>
    <s v="US Robotics 56K V.92 External Faxmodem"/>
    <n v="0.52"/>
    <s v="United States"/>
    <s v="Central"/>
    <s v="Illinois"/>
    <s v="Des Plaines"/>
    <n v="60016"/>
    <d v="2015-03-11T00:00:00"/>
    <d v="2015-03-14T00:00:00"/>
    <n v="-127.56"/>
    <n v="3"/>
    <x v="827"/>
    <n v="91235"/>
    <n v="870.72"/>
  </r>
  <r>
    <n v="193.17"/>
    <n v="19.989999999999998"/>
    <n v="1484"/>
    <s v="Alison Stewart"/>
    <s v="Regular Air"/>
    <s v="Home Office"/>
    <x v="0"/>
    <x v="10"/>
    <s v="Small Box"/>
    <s v="Fellowes Staxonsteel® Drawer Files"/>
    <n v="0.71"/>
    <s v="United States"/>
    <s v="Central"/>
    <s v="Illinois"/>
    <s v="Des Plaines"/>
    <n v="60016"/>
    <d v="2015-03-11T00:00:00"/>
    <d v="2015-03-12T00:00:00"/>
    <n v="282.18"/>
    <n v="5"/>
    <x v="828"/>
    <n v="91235"/>
    <n v="4857"/>
  </r>
  <r>
    <n v="20.99"/>
    <n v="3.3"/>
    <n v="1484"/>
    <s v="Alison Stewart"/>
    <s v="Express Air"/>
    <s v="Home Office"/>
    <x v="2"/>
    <x v="5"/>
    <s v="Small Pack"/>
    <s v="Accessory39"/>
    <n v="0.81"/>
    <s v="United States"/>
    <s v="Central"/>
    <s v="Illinois"/>
    <s v="Des Plaines"/>
    <n v="60016"/>
    <d v="2015-03-11T00:00:00"/>
    <d v="2015-03-11T00:00:00"/>
    <n v="-96.337999999999994"/>
    <n v="11"/>
    <x v="829"/>
    <n v="91235"/>
    <n v="2128.6099999999997"/>
  </r>
  <r>
    <n v="11.5"/>
    <n v="7.19"/>
    <n v="1485"/>
    <s v="Wayne Sutherland"/>
    <s v="Regular Air"/>
    <s v="Home Office"/>
    <x v="0"/>
    <x v="8"/>
    <s v="Small Box"/>
    <s v="Ibico Covers for Plastic or Wire Binding Elements"/>
    <n v="0.4"/>
    <s v="United States"/>
    <s v="Central"/>
    <s v="Illinois"/>
    <s v="Downers Grove"/>
    <n v="60516"/>
    <d v="2015-02-20T00:00:00"/>
    <d v="2015-02-23T00:00:00"/>
    <n v="-23.357880000000002"/>
    <n v="14"/>
    <x v="830"/>
    <n v="91236"/>
    <n v="2209.34"/>
  </r>
  <r>
    <n v="15.7"/>
    <n v="11.25"/>
    <n v="1485"/>
    <s v="Wayne Sutherland"/>
    <s v="Regular Air"/>
    <s v="Home Office"/>
    <x v="0"/>
    <x v="10"/>
    <s v="Small Box"/>
    <s v="Hanging Personal Folder File"/>
    <n v="0.6"/>
    <s v="United States"/>
    <s v="Central"/>
    <s v="Illinois"/>
    <s v="Downers Grove"/>
    <n v="60516"/>
    <d v="2015-02-20T00:00:00"/>
    <d v="2015-02-21T00:00:00"/>
    <n v="-18.241599999999998"/>
    <n v="1"/>
    <x v="831"/>
    <n v="91236"/>
    <n v="19.440000000000001"/>
  </r>
  <r>
    <n v="225.02"/>
    <n v="28.66"/>
    <n v="1485"/>
    <s v="Wayne Sutherland"/>
    <s v="Delivery Truck"/>
    <s v="Home Office"/>
    <x v="0"/>
    <x v="10"/>
    <s v="Jumbo Drum"/>
    <s v="Tennsco Double-Tier Lockers"/>
    <n v="0.72"/>
    <s v="United States"/>
    <s v="Central"/>
    <s v="Illinois"/>
    <s v="Downers Grove"/>
    <n v="60516"/>
    <d v="2015-02-20T00:00:00"/>
    <d v="2015-02-22T00:00:00"/>
    <n v="1428.9104"/>
    <n v="21"/>
    <x v="832"/>
    <n v="91236"/>
    <n v="97369.23"/>
  </r>
  <r>
    <n v="119.99"/>
    <n v="14"/>
    <n v="1492"/>
    <s v="Don Beard"/>
    <s v="Delivery Truck"/>
    <s v="Corporate"/>
    <x v="2"/>
    <x v="6"/>
    <s v="Jumbo Drum"/>
    <s v="Epson C82 Color Inkjet Printer"/>
    <n v="0.36"/>
    <s v="United States"/>
    <s v="Central"/>
    <s v="Missouri"/>
    <s v="Ozark"/>
    <n v="65721"/>
    <d v="2015-06-16T00:00:00"/>
    <d v="2015-06-18T00:00:00"/>
    <n v="509.95830000000001"/>
    <n v="6"/>
    <x v="833"/>
    <n v="88004"/>
    <n v="4434.42"/>
  </r>
  <r>
    <n v="8.3699999999999992"/>
    <n v="10.16"/>
    <n v="1494"/>
    <s v="Kate Lehman"/>
    <s v="Regular Air"/>
    <s v="Corporate"/>
    <x v="1"/>
    <x v="2"/>
    <s v="Large Box"/>
    <s v="Westinghouse Clip-On Gooseneck Lamps"/>
    <n v="0.59"/>
    <s v="United States"/>
    <s v="East"/>
    <s v="Maryland"/>
    <s v="Dundalk"/>
    <n v="21222"/>
    <d v="2015-03-11T00:00:00"/>
    <d v="2015-03-13T00:00:00"/>
    <n v="-255.65"/>
    <n v="18"/>
    <x v="834"/>
    <n v="85880"/>
    <n v="2837.5199999999995"/>
  </r>
  <r>
    <n v="6.48"/>
    <n v="9.17"/>
    <n v="1494"/>
    <s v="Kate Lehman"/>
    <s v="Express Air"/>
    <s v="Corporate"/>
    <x v="0"/>
    <x v="7"/>
    <s v="Small Box"/>
    <s v="Xerox 1996"/>
    <n v="0.37"/>
    <s v="United States"/>
    <s v="East"/>
    <s v="Maryland"/>
    <s v="Dundalk"/>
    <n v="21222"/>
    <d v="2015-03-11T00:00:00"/>
    <d v="2015-03-13T00:00:00"/>
    <n v="-76.540000000000006"/>
    <n v="6"/>
    <x v="835"/>
    <n v="85880"/>
    <n v="252.95999999999998"/>
  </r>
  <r>
    <n v="6.28"/>
    <n v="5.29"/>
    <n v="1497"/>
    <s v="Gloria Jacobs"/>
    <s v="Regular Air"/>
    <s v="Corporate"/>
    <x v="1"/>
    <x v="2"/>
    <s v="Small Box"/>
    <s v="Eldon® 200 Class™ Desk Accessories, Burgundy"/>
    <n v="0.43"/>
    <s v="United States"/>
    <s v="East"/>
    <s v="New York"/>
    <s v="Elmira"/>
    <n v="14901"/>
    <d v="2015-03-11T00:00:00"/>
    <d v="2015-03-12T00:00:00"/>
    <n v="-10.09"/>
    <n v="2"/>
    <x v="836"/>
    <n v="85880"/>
    <n v="28.16"/>
  </r>
  <r>
    <n v="15.14"/>
    <n v="4.53"/>
    <n v="1497"/>
    <s v="Gloria Jacobs"/>
    <s v="Regular Air"/>
    <s v="Corporate"/>
    <x v="0"/>
    <x v="10"/>
    <s v="Small Box"/>
    <s v="Eldon® Gobal File Keepers"/>
    <n v="0.81"/>
    <s v="United States"/>
    <s v="East"/>
    <s v="New York"/>
    <s v="Elmira"/>
    <n v="14901"/>
    <d v="2015-03-11T00:00:00"/>
    <d v="2015-03-13T00:00:00"/>
    <n v="-92.87"/>
    <n v="17"/>
    <x v="837"/>
    <n v="85880"/>
    <n v="4364.41"/>
  </r>
  <r>
    <n v="2.16"/>
    <n v="6.05"/>
    <n v="1499"/>
    <s v="Charlotte L Doyle"/>
    <s v="Regular Air"/>
    <s v="Home Office"/>
    <x v="0"/>
    <x v="8"/>
    <s v="Small Box"/>
    <s v="Peel &amp; Stick Add-On Corner Pockets"/>
    <n v="0.37"/>
    <s v="United States"/>
    <s v="South"/>
    <s v="Florida"/>
    <s v="Coral Gables"/>
    <n v="33134"/>
    <d v="2015-02-04T00:00:00"/>
    <d v="2015-02-05T00:00:00"/>
    <n v="-298.88600000000002"/>
    <n v="8"/>
    <x v="450"/>
    <n v="90731"/>
    <n v="148.72"/>
  </r>
  <r>
    <n v="6.48"/>
    <n v="6.6"/>
    <n v="1499"/>
    <s v="Charlotte L Doyle"/>
    <s v="Regular Air"/>
    <s v="Home Office"/>
    <x v="0"/>
    <x v="7"/>
    <s v="Small Box"/>
    <s v="Xerox 21"/>
    <n v="0.37"/>
    <s v="United States"/>
    <s v="South"/>
    <s v="Florida"/>
    <s v="Coral Gables"/>
    <n v="33134"/>
    <d v="2015-02-04T00:00:00"/>
    <d v="2015-02-05T00:00:00"/>
    <n v="-145.852"/>
    <n v="9"/>
    <x v="838"/>
    <n v="90731"/>
    <n v="529.47"/>
  </r>
  <r>
    <n v="146.05000000000001"/>
    <n v="80.2"/>
    <n v="1499"/>
    <s v="Charlotte L Doyle"/>
    <s v="Delivery Truck"/>
    <s v="Home Office"/>
    <x v="1"/>
    <x v="11"/>
    <s v="Jumbo Box"/>
    <s v="BPI Conference Tables"/>
    <n v="0.71"/>
    <s v="United States"/>
    <s v="South"/>
    <s v="Florida"/>
    <s v="Coral Gables"/>
    <n v="33134"/>
    <d v="2015-02-04T00:00:00"/>
    <d v="2015-02-05T00:00:00"/>
    <n v="-27.951000000000001"/>
    <n v="11"/>
    <x v="839"/>
    <n v="90731"/>
    <n v="17134.260000000002"/>
  </r>
  <r>
    <n v="3.69"/>
    <n v="0.5"/>
    <n v="1502"/>
    <s v="Renee Huang"/>
    <s v="Regular Air"/>
    <s v="Small Business"/>
    <x v="0"/>
    <x v="9"/>
    <s v="Small Box"/>
    <s v="Avery 487"/>
    <n v="0.38"/>
    <s v="United States"/>
    <s v="South"/>
    <s v="Florida"/>
    <s v="Coral Springs"/>
    <n v="33065"/>
    <d v="2015-05-07T00:00:00"/>
    <d v="2015-05-10T00:00:00"/>
    <n v="-3.6547000000000001"/>
    <n v="38"/>
    <x v="840"/>
    <n v="89193"/>
    <n v="4918.34"/>
  </r>
  <r>
    <n v="5.84"/>
    <n v="1"/>
    <n v="1502"/>
    <s v="Renee Huang"/>
    <s v="Express Air"/>
    <s v="Small Business"/>
    <x v="0"/>
    <x v="0"/>
    <s v="Wrap Bag"/>
    <s v="Quartet Omega® Colored Chalk, 12/Pack"/>
    <n v="0.38"/>
    <s v="United States"/>
    <s v="South"/>
    <s v="Florida"/>
    <s v="Coral Springs"/>
    <n v="33065"/>
    <d v="2015-06-29T00:00:00"/>
    <d v="2015-07-03T00:00:00"/>
    <n v="731.92200000000003"/>
    <n v="11"/>
    <x v="841"/>
    <n v="89194"/>
    <n v="675.29"/>
  </r>
  <r>
    <n v="205.99"/>
    <n v="8.99"/>
    <n v="1502"/>
    <s v="Renee Huang"/>
    <s v="Regular Air"/>
    <s v="Small Business"/>
    <x v="2"/>
    <x v="5"/>
    <s v="Small Box"/>
    <s v="StarTAC 8000"/>
    <n v="0.6"/>
    <s v="United States"/>
    <s v="South"/>
    <s v="Florida"/>
    <s v="Coral Springs"/>
    <n v="33065"/>
    <d v="2015-06-29T00:00:00"/>
    <d v="2015-07-02T00:00:00"/>
    <n v="186.55799999999999"/>
    <n v="13"/>
    <x v="842"/>
    <n v="89194"/>
    <n v="31661.759999999998"/>
  </r>
  <r>
    <n v="85.99"/>
    <n v="0.99"/>
    <n v="1505"/>
    <s v="Kay Schultz"/>
    <s v="Regular Air"/>
    <s v="Small Business"/>
    <x v="2"/>
    <x v="5"/>
    <s v="Wrap Bag"/>
    <s v="Accessory4"/>
    <n v="0.85"/>
    <s v="United States"/>
    <s v="Central"/>
    <s v="Texas"/>
    <s v="College Station"/>
    <n v="77840"/>
    <d v="2015-06-13T00:00:00"/>
    <d v="2015-06-18T00:00:00"/>
    <n v="-138.0368"/>
    <n v="6"/>
    <x v="843"/>
    <n v="86181"/>
    <n v="2789.16"/>
  </r>
  <r>
    <n v="20.98"/>
    <n v="1.49"/>
    <n v="1511"/>
    <s v="Joseph Dawson"/>
    <s v="Regular Air"/>
    <s v="Corporate"/>
    <x v="0"/>
    <x v="8"/>
    <s v="Small Box"/>
    <s v="Avery Legal 4-Ring Binder"/>
    <n v="0.35"/>
    <s v="United States"/>
    <s v="Central"/>
    <s v="Indiana"/>
    <s v="Muncie"/>
    <n v="47302"/>
    <d v="2015-06-22T00:00:00"/>
    <d v="2015-06-24T00:00:00"/>
    <n v="199.1823"/>
    <n v="14"/>
    <x v="844"/>
    <n v="90303"/>
    <n v="4041.38"/>
  </r>
  <r>
    <n v="55.48"/>
    <n v="4.8499999999999996"/>
    <n v="1519"/>
    <s v="Randall Boykin"/>
    <s v="Regular Air"/>
    <s v="Consumer"/>
    <x v="0"/>
    <x v="7"/>
    <s v="Small Box"/>
    <s v="Xerox 1888"/>
    <n v="0.37"/>
    <s v="United States"/>
    <s v="East"/>
    <s v="Maine"/>
    <s v="Auburn"/>
    <n v="4210"/>
    <d v="2015-06-14T00:00:00"/>
    <d v="2015-06-14T00:00:00"/>
    <n v="711.05190000000005"/>
    <n v="19"/>
    <x v="845"/>
    <n v="89957"/>
    <n v="19579.689999999999"/>
  </r>
  <r>
    <n v="122.99"/>
    <n v="70.2"/>
    <n v="1522"/>
    <s v="Earl Watts"/>
    <s v="Delivery Truck"/>
    <s v="Consumer"/>
    <x v="1"/>
    <x v="1"/>
    <s v="Jumbo Drum"/>
    <s v="Global High-Back Leather Tilter, Burgundy"/>
    <n v="0.74"/>
    <s v="United States"/>
    <s v="Central"/>
    <s v="Minnesota"/>
    <s v="Hopkins"/>
    <n v="55305"/>
    <d v="2015-06-14T00:00:00"/>
    <d v="2015-06-15T00:00:00"/>
    <n v="-899.67499999999995"/>
    <n v="17"/>
    <x v="846"/>
    <n v="89957"/>
    <n v="34457.47"/>
  </r>
  <r>
    <n v="11.34"/>
    <n v="5.01"/>
    <n v="1526"/>
    <s v="Larry Hall"/>
    <s v="Regular Air"/>
    <s v="Home Office"/>
    <x v="0"/>
    <x v="7"/>
    <s v="Small Box"/>
    <s v="Xerox 188"/>
    <n v="0.36"/>
    <s v="United States"/>
    <s v="South"/>
    <s v="Alabama"/>
    <s v="Birmingham"/>
    <n v="35211"/>
    <d v="2015-02-10T00:00:00"/>
    <d v="2015-02-11T00:00:00"/>
    <n v="-189.22399999999999"/>
    <n v="10"/>
    <x v="847"/>
    <n v="86812"/>
    <n v="1155.3"/>
  </r>
  <r>
    <n v="30.98"/>
    <n v="8.99"/>
    <n v="1527"/>
    <s v="Neil Parker"/>
    <s v="Express Air"/>
    <s v="Small Business"/>
    <x v="0"/>
    <x v="0"/>
    <s v="Small Pack"/>
    <s v="Boston School Pro Electric Pencil Sharpener, 1670"/>
    <n v="0.57999999999999996"/>
    <s v="United States"/>
    <s v="South"/>
    <s v="Alabama"/>
    <s v="Decatur"/>
    <n v="35601"/>
    <d v="2015-01-09T00:00:00"/>
    <d v="2015-01-11T00:00:00"/>
    <n v="0.51"/>
    <n v="5"/>
    <x v="848"/>
    <n v="86813"/>
    <n v="811.94999999999993"/>
  </r>
  <r>
    <n v="65.989999999999995"/>
    <n v="5.26"/>
    <n v="1527"/>
    <s v="Neil Parker"/>
    <s v="Regular Air"/>
    <s v="Home Office"/>
    <x v="2"/>
    <x v="5"/>
    <s v="Small Box"/>
    <n v="8860"/>
    <n v="0.56000000000000005"/>
    <s v="United States"/>
    <s v="South"/>
    <s v="Alabama"/>
    <s v="Decatur"/>
    <n v="35601"/>
    <d v="2015-03-30T00:00:00"/>
    <d v="2015-04-09T00:00:00"/>
    <n v="-52.247999999999998"/>
    <n v="23"/>
    <x v="849"/>
    <n v="86814"/>
    <n v="30268.69"/>
  </r>
  <r>
    <n v="50.98"/>
    <n v="6.5"/>
    <n v="1527"/>
    <s v="Neil Parker"/>
    <s v="Regular Air"/>
    <s v="Home Office"/>
    <x v="2"/>
    <x v="13"/>
    <s v="Small Box"/>
    <s v="Microsoft Natural Multimedia Keyboard"/>
    <n v="0.73"/>
    <s v="United States"/>
    <s v="South"/>
    <s v="Alabama"/>
    <s v="Decatur"/>
    <n v="35601"/>
    <d v="2015-05-21T00:00:00"/>
    <d v="2015-05-28T00:00:00"/>
    <n v="70.176000000000002"/>
    <n v="28"/>
    <x v="850"/>
    <n v="86815"/>
    <n v="39071.480000000003"/>
  </r>
  <r>
    <n v="525.98"/>
    <n v="19.989999999999998"/>
    <n v="1528"/>
    <s v="Brad Stark"/>
    <s v="Regular Air"/>
    <s v="Small Business"/>
    <x v="0"/>
    <x v="8"/>
    <s v="Small Box"/>
    <s v="GBC DocuBind 300 Electric Binding Machine"/>
    <n v="0.37"/>
    <s v="United States"/>
    <s v="South"/>
    <s v="North Carolina"/>
    <s v="Eden"/>
    <n v="27288"/>
    <d v="2015-01-09T00:00:00"/>
    <d v="2015-01-11T00:00:00"/>
    <n v="-161.92400000000001"/>
    <n v="9"/>
    <x v="851"/>
    <n v="86813"/>
    <n v="44287.29"/>
  </r>
  <r>
    <n v="4.91"/>
    <n v="0.5"/>
    <n v="1531"/>
    <s v="Jon Ayers"/>
    <s v="Regular Air"/>
    <s v="Consumer"/>
    <x v="0"/>
    <x v="9"/>
    <s v="Small Box"/>
    <s v="Avery 508"/>
    <n v="0.36"/>
    <s v="United States"/>
    <s v="South"/>
    <s v="Florida"/>
    <s v="Palm Coast"/>
    <n v="32137"/>
    <d v="2015-01-17T00:00:00"/>
    <d v="2015-01-18T00:00:00"/>
    <n v="-157.696"/>
    <n v="6"/>
    <x v="852"/>
    <n v="88852"/>
    <n v="169.32"/>
  </r>
  <r>
    <n v="4.8899999999999997"/>
    <n v="4.93"/>
    <n v="1533"/>
    <s v="Nicole Reid"/>
    <s v="Regular Air"/>
    <s v="Corporate"/>
    <x v="2"/>
    <x v="13"/>
    <s v="Small Pack"/>
    <s v="Maxell 3.5&quot; DS/HD IBM-Formatted Diskettes, 10/Pack"/>
    <n v="0.66"/>
    <s v="United States"/>
    <s v="Central"/>
    <s v="Missouri"/>
    <s v="University City"/>
    <n v="63130"/>
    <d v="2015-02-06T00:00:00"/>
    <d v="2015-02-07T00:00:00"/>
    <n v="-56.445999999999998"/>
    <n v="14"/>
    <x v="853"/>
    <n v="91328"/>
    <n v="1036.1400000000001"/>
  </r>
  <r>
    <n v="10.06"/>
    <n v="2.06"/>
    <n v="1533"/>
    <s v="Nicole Reid"/>
    <s v="Regular Air"/>
    <s v="Corporate"/>
    <x v="0"/>
    <x v="7"/>
    <s v="Wrap Bag"/>
    <s v="Riverleaf Stik-Withit® Designer Note Cubes®"/>
    <n v="0.39"/>
    <s v="United States"/>
    <s v="Central"/>
    <s v="Missouri"/>
    <s v="University City"/>
    <n v="63130"/>
    <d v="2015-02-06T00:00:00"/>
    <d v="2015-02-07T00:00:00"/>
    <n v="33.189"/>
    <n v="5"/>
    <x v="854"/>
    <n v="91328"/>
    <n v="240.5"/>
  </r>
  <r>
    <n v="599.99"/>
    <n v="24.49"/>
    <n v="1548"/>
    <s v="John Bray"/>
    <s v="Regular Air"/>
    <s v="Corporate"/>
    <x v="2"/>
    <x v="16"/>
    <s v="Large Box"/>
    <s v="Canon Image Class D660 Copier"/>
    <n v="0.44"/>
    <s v="United States"/>
    <s v="Central"/>
    <s v="Indiana"/>
    <s v="Richmond"/>
    <n v="47374"/>
    <d v="2015-06-23T00:00:00"/>
    <d v="2015-06-25T00:00:00"/>
    <n v="-367.16500000000002"/>
    <n v="18"/>
    <x v="855"/>
    <n v="88487"/>
    <n v="198284.76"/>
  </r>
  <r>
    <n v="17.7"/>
    <n v="9.4700000000000006"/>
    <n v="1551"/>
    <s v="Laurence Flowers"/>
    <s v="Regular Air"/>
    <s v="Consumer"/>
    <x v="0"/>
    <x v="10"/>
    <s v="Small Box"/>
    <s v="Portfile® Personal File Boxes"/>
    <n v="0.59"/>
    <s v="United States"/>
    <s v="South"/>
    <s v="Mississippi"/>
    <s v="Biloxi"/>
    <n v="39530"/>
    <d v="2015-06-25T00:00:00"/>
    <d v="2015-07-01T00:00:00"/>
    <n v="-243.54400000000001"/>
    <n v="18"/>
    <x v="856"/>
    <n v="87488"/>
    <n v="5412.06"/>
  </r>
  <r>
    <n v="348.21"/>
    <n v="40.19"/>
    <n v="1552"/>
    <s v="Gary Koch"/>
    <s v="Delivery Truck"/>
    <s v="Small Business"/>
    <x v="1"/>
    <x v="11"/>
    <s v="Jumbo Box"/>
    <s v="Bretford CR4500 Series Slim Rectangular Table"/>
    <n v="0.62"/>
    <s v="United States"/>
    <s v="South"/>
    <s v="Mississippi"/>
    <s v="Clinton"/>
    <n v="39056"/>
    <d v="2015-01-01T00:00:00"/>
    <d v="2015-01-04T00:00:00"/>
    <n v="-337.09199999999998"/>
    <n v="2"/>
    <x v="857"/>
    <n v="87486"/>
    <n v="1447.08"/>
  </r>
  <r>
    <n v="12.28"/>
    <n v="6.35"/>
    <n v="1553"/>
    <s v="Tara Powers Underwood"/>
    <s v="Regular Air"/>
    <s v="Small Business"/>
    <x v="0"/>
    <x v="7"/>
    <s v="Small Box"/>
    <s v="Staples Premium Bright 1-Part Blank Computer Paper"/>
    <n v="0.38"/>
    <s v="United States"/>
    <s v="South"/>
    <s v="Mississippi"/>
    <s v="Greenville"/>
    <n v="38701"/>
    <d v="2015-03-22T00:00:00"/>
    <d v="2015-03-24T00:00:00"/>
    <n v="68.676000000000002"/>
    <n v="7"/>
    <x v="858"/>
    <n v="87484"/>
    <n v="612.71"/>
  </r>
  <r>
    <n v="10.98"/>
    <n v="3.99"/>
    <n v="1554"/>
    <s v="Joan Floyd"/>
    <s v="Regular Air"/>
    <s v="Small Business"/>
    <x v="0"/>
    <x v="15"/>
    <s v="Small Box"/>
    <s v="Staples Surge Protector 6 outlet"/>
    <n v="0.57999999999999996"/>
    <s v="United States"/>
    <s v="South"/>
    <s v="Mississippi"/>
    <s v="Gulfport"/>
    <n v="39503"/>
    <d v="2015-05-18T00:00:00"/>
    <d v="2015-05-18T00:00:00"/>
    <n v="481.03199999999998"/>
    <n v="15"/>
    <x v="859"/>
    <n v="87485"/>
    <n v="2583.3000000000002"/>
  </r>
  <r>
    <n v="124.49"/>
    <n v="51.94"/>
    <n v="1554"/>
    <s v="Joan Floyd"/>
    <s v="Delivery Truck"/>
    <s v="Consumer"/>
    <x v="1"/>
    <x v="11"/>
    <s v="Jumbo Box"/>
    <s v="Bevis 36 x 72 Conference Tables"/>
    <n v="0.63"/>
    <s v="United States"/>
    <s v="South"/>
    <s v="Mississippi"/>
    <s v="Gulfport"/>
    <n v="39503"/>
    <d v="2015-02-13T00:00:00"/>
    <d v="2015-02-14T00:00:00"/>
    <n v="-4.0179999999999998"/>
    <n v="7"/>
    <x v="860"/>
    <n v="87487"/>
    <n v="6264.16"/>
  </r>
  <r>
    <n v="2.89"/>
    <n v="0.99"/>
    <n v="1556"/>
    <s v="Carol Wood"/>
    <s v="Regular Air"/>
    <s v="Consumer"/>
    <x v="0"/>
    <x v="9"/>
    <s v="Small Box"/>
    <s v="Avery 482"/>
    <n v="0.38"/>
    <s v="United States"/>
    <s v="South"/>
    <s v="Virginia"/>
    <s v="Alexandria"/>
    <n v="22304"/>
    <d v="2015-06-01T00:00:00"/>
    <d v="2015-06-03T00:00:00"/>
    <n v="-2.0097"/>
    <n v="6"/>
    <x v="861"/>
    <n v="87425"/>
    <n v="100.02000000000001"/>
  </r>
  <r>
    <n v="22.84"/>
    <n v="11.54"/>
    <n v="1556"/>
    <s v="Carol Wood"/>
    <s v="Regular Air"/>
    <s v="Consumer"/>
    <x v="0"/>
    <x v="7"/>
    <s v="Small Box"/>
    <s v="Xerox 1964"/>
    <n v="0.39"/>
    <s v="United States"/>
    <s v="South"/>
    <s v="Virginia"/>
    <s v="Alexandria"/>
    <n v="22304"/>
    <d v="2015-06-01T00:00:00"/>
    <d v="2015-06-03T00:00:00"/>
    <n v="-477.37200000000001"/>
    <n v="9"/>
    <x v="862"/>
    <n v="87425"/>
    <n v="1756.44"/>
  </r>
  <r>
    <n v="60.98"/>
    <n v="49"/>
    <n v="1557"/>
    <s v="James Nicholson"/>
    <s v="Regular Air"/>
    <s v="Consumer"/>
    <x v="0"/>
    <x v="15"/>
    <s v="Large Box"/>
    <s v="Euro Pro Shark Stick Mini Vacuum"/>
    <n v="0.59"/>
    <s v="United States"/>
    <s v="South"/>
    <s v="Virginia"/>
    <s v="Annandale"/>
    <n v="22003"/>
    <d v="2015-03-25T00:00:00"/>
    <d v="2015-04-02T00:00:00"/>
    <n v="-954.75800000000004"/>
    <n v="15"/>
    <x v="863"/>
    <n v="87426"/>
    <n v="13194.3"/>
  </r>
  <r>
    <n v="29.89"/>
    <n v="1.99"/>
    <n v="1557"/>
    <s v="James Nicholson"/>
    <s v="Regular Air"/>
    <s v="Consumer"/>
    <x v="2"/>
    <x v="13"/>
    <s v="Small Pack"/>
    <s v="Verbatim DVD-RAM, 5.2GB, Rewritable, Type 1, DS"/>
    <n v="0.5"/>
    <s v="United States"/>
    <s v="South"/>
    <s v="Virginia"/>
    <s v="Annandale"/>
    <n v="22003"/>
    <d v="2015-03-25T00:00:00"/>
    <d v="2015-03-27T00:00:00"/>
    <n v="219.4734"/>
    <n v="12"/>
    <x v="864"/>
    <n v="87426"/>
    <n v="4334.28"/>
  </r>
  <r>
    <n v="226.67"/>
    <n v="28.16"/>
    <n v="1559"/>
    <s v="Zachary Maynard"/>
    <s v="Delivery Truck"/>
    <s v="Consumer"/>
    <x v="1"/>
    <x v="1"/>
    <s v="Jumbo Drum"/>
    <s v="Hon GuestStacker Chair"/>
    <n v="0.59"/>
    <s v="United States"/>
    <s v="South"/>
    <s v="Virginia"/>
    <s v="Blacksburg"/>
    <n v="24060"/>
    <d v="2015-04-15T00:00:00"/>
    <d v="2015-04-17T00:00:00"/>
    <n v="-390.76799999999997"/>
    <n v="5"/>
    <x v="865"/>
    <n v="87424"/>
    <n v="5441.3"/>
  </r>
  <r>
    <n v="11.34"/>
    <n v="11.25"/>
    <n v="1561"/>
    <s v="Edwin Coley"/>
    <s v="Regular Air"/>
    <s v="Corporate"/>
    <x v="0"/>
    <x v="7"/>
    <s v="Small Box"/>
    <s v="Staples 1 Part Blank Computer Paper"/>
    <n v="0.36"/>
    <s v="United States"/>
    <s v="Central"/>
    <s v="Texas"/>
    <s v="Mansfield"/>
    <n v="76063"/>
    <d v="2015-03-01T00:00:00"/>
    <d v="2015-03-02T00:00:00"/>
    <n v="-155.21"/>
    <n v="9"/>
    <x v="866"/>
    <n v="88093"/>
    <n v="951.75"/>
  </r>
  <r>
    <n v="12.2"/>
    <n v="6.02"/>
    <n v="1561"/>
    <s v="Edwin Coley"/>
    <s v="Regular Air"/>
    <s v="Corporate"/>
    <x v="1"/>
    <x v="2"/>
    <s v="Small Pack"/>
    <s v="Advantus Panel Wall Certificate Holder - 8.5x11"/>
    <n v="0.43"/>
    <s v="United States"/>
    <s v="Central"/>
    <s v="Texas"/>
    <s v="Mansfield"/>
    <n v="76063"/>
    <d v="2015-04-13T00:00:00"/>
    <d v="2015-04-14T00:00:00"/>
    <n v="-6.6420000000000003"/>
    <n v="5"/>
    <x v="867"/>
    <n v="88094"/>
    <n v="319.64999999999998"/>
  </r>
  <r>
    <n v="20.95"/>
    <n v="5.99"/>
    <n v="1574"/>
    <s v="Sherry Hurley"/>
    <s v="Regular Air"/>
    <s v="Consumer"/>
    <x v="2"/>
    <x v="13"/>
    <s v="Small Box"/>
    <s v="Fellowes Basic 104-Key Keyboard, Platinum"/>
    <n v="0.65"/>
    <s v="United States"/>
    <s v="South"/>
    <s v="North Carolina"/>
    <s v="Fayetteville"/>
    <n v="28314"/>
    <d v="2015-02-09T00:00:00"/>
    <d v="2015-02-10T00:00:00"/>
    <n v="27.234000000000002"/>
    <n v="19"/>
    <x v="868"/>
    <n v="86966"/>
    <n v="7436.5999999999995"/>
  </r>
  <r>
    <n v="11.58"/>
    <n v="6.97"/>
    <n v="1580"/>
    <s v="Ronnie Nolan"/>
    <s v="Regular Air"/>
    <s v="Corporate"/>
    <x v="0"/>
    <x v="4"/>
    <s v="Small Box"/>
    <s v="Peel &amp; Seel® Recycled Catalog Envelopes, Brown"/>
    <n v="0.35"/>
    <s v="United States"/>
    <s v="East"/>
    <s v="Maine"/>
    <s v="Waterville"/>
    <n v="4901"/>
    <d v="2015-02-16T00:00:00"/>
    <d v="2015-02-20T00:00:00"/>
    <n v="-8.3979999999999997"/>
    <n v="1"/>
    <x v="869"/>
    <n v="90934"/>
    <n v="14.53"/>
  </r>
  <r>
    <n v="19.04"/>
    <n v="6.38"/>
    <n v="1590"/>
    <s v="Lucille Buchanan"/>
    <s v="Express Air"/>
    <s v="Corporate"/>
    <x v="1"/>
    <x v="2"/>
    <s v="Small Box"/>
    <s v="Eldon Expressions™ Desk Accessory, Wood Photo Frame, Mahogany"/>
    <n v="0.56000000000000005"/>
    <s v="United States"/>
    <s v="East"/>
    <s v="Ohio"/>
    <s v="Willoughby"/>
    <n v="44094"/>
    <d v="2015-04-04T00:00:00"/>
    <d v="2015-04-04T00:00:00"/>
    <n v="83.793599999999998"/>
    <n v="7"/>
    <x v="870"/>
    <n v="86668"/>
    <n v="1008.21"/>
  </r>
  <r>
    <n v="5.53"/>
    <n v="6.98"/>
    <n v="1593"/>
    <s v="Ronald O'Neill"/>
    <s v="Regular Air"/>
    <s v="Corporate"/>
    <x v="0"/>
    <x v="8"/>
    <s v="Small Box"/>
    <s v="Avery Durable Poly Binders"/>
    <n v="0.39"/>
    <s v="United States"/>
    <s v="Central"/>
    <s v="Oklahoma"/>
    <s v="Bartlesville"/>
    <n v="74006"/>
    <d v="2015-04-04T00:00:00"/>
    <d v="2015-04-06T00:00:00"/>
    <n v="-77.823719999999994"/>
    <n v="8"/>
    <x v="871"/>
    <n v="86668"/>
    <n v="390.48"/>
  </r>
  <r>
    <n v="500.98"/>
    <n v="26"/>
    <n v="1595"/>
    <s v="Chad Henson"/>
    <s v="Delivery Truck"/>
    <s v="Corporate"/>
    <x v="1"/>
    <x v="1"/>
    <s v="Jumbo Drum"/>
    <s v="Global Troy™ Executive Leather Low-Back Tilter"/>
    <n v="0.6"/>
    <s v="United States"/>
    <s v="East"/>
    <s v="West Virginia"/>
    <s v="Huntington"/>
    <n v="25705"/>
    <d v="2015-05-11T00:00:00"/>
    <d v="2015-05-12T00:00:00"/>
    <n v="5078.5379999999996"/>
    <n v="14"/>
    <x v="872"/>
    <n v="90796"/>
    <n v="103042.8"/>
  </r>
  <r>
    <n v="9.77"/>
    <n v="6.02"/>
    <n v="1595"/>
    <s v="Chad Henson"/>
    <s v="Regular Air"/>
    <s v="Corporate"/>
    <x v="1"/>
    <x v="2"/>
    <s v="Medium Box"/>
    <s v="DAX Solid Wood Frames"/>
    <n v="0.48"/>
    <s v="United States"/>
    <s v="East"/>
    <s v="West Virginia"/>
    <s v="Huntington"/>
    <n v="25705"/>
    <d v="2015-05-11T00:00:00"/>
    <d v="2015-05-12T00:00:00"/>
    <n v="23.276"/>
    <n v="9"/>
    <x v="873"/>
    <n v="90796"/>
    <n v="801.54"/>
  </r>
  <r>
    <n v="3.28"/>
    <n v="0.98"/>
    <n v="1595"/>
    <s v="Chad Henson"/>
    <s v="Regular Air"/>
    <s v="Corporate"/>
    <x v="0"/>
    <x v="0"/>
    <s v="Wrap Bag"/>
    <s v="Newell 329"/>
    <n v="0.59"/>
    <s v="United States"/>
    <s v="East"/>
    <s v="West Virginia"/>
    <s v="Huntington"/>
    <n v="25705"/>
    <d v="2015-05-11T00:00:00"/>
    <d v="2015-05-13T00:00:00"/>
    <n v="17.754000000000001"/>
    <n v="42"/>
    <x v="874"/>
    <n v="90796"/>
    <n v="5668.74"/>
  </r>
  <r>
    <n v="9.11"/>
    <n v="2.15"/>
    <n v="1602"/>
    <s v="Frank Hess"/>
    <s v="Regular Air"/>
    <s v="Home Office"/>
    <x v="0"/>
    <x v="7"/>
    <s v="Wrap Bag"/>
    <s v="Black Print Carbonless Snap-Off® Rapid Letter, 8 1/2&quot; x 7&quot;"/>
    <n v="0.4"/>
    <s v="United States"/>
    <s v="East"/>
    <s v="Maryland"/>
    <s v="Waldorf"/>
    <n v="20601"/>
    <d v="2015-04-10T00:00:00"/>
    <d v="2015-04-12T00:00:00"/>
    <n v="-3.9312"/>
    <n v="2"/>
    <x v="379"/>
    <n v="89680"/>
    <n v="34.840000000000003"/>
  </r>
  <r>
    <n v="2.1800000000000002"/>
    <n v="0.78"/>
    <n v="1603"/>
    <s v="Alex Watkins"/>
    <s v="Regular Air"/>
    <s v="Small Business"/>
    <x v="0"/>
    <x v="3"/>
    <s v="Wrap Bag"/>
    <s v="Stockwell Push Pins"/>
    <n v="0.52"/>
    <s v="United States"/>
    <s v="East"/>
    <s v="New York"/>
    <s v="Woodmere"/>
    <n v="11598"/>
    <d v="2015-01-16T00:00:00"/>
    <d v="2015-01-18T00:00:00"/>
    <n v="2.4548000000000001"/>
    <n v="9"/>
    <x v="875"/>
    <n v="89679"/>
    <n v="172.08"/>
  </r>
  <r>
    <n v="179.29"/>
    <n v="29.21"/>
    <n v="1603"/>
    <s v="Alex Watkins"/>
    <s v="Delivery Truck"/>
    <s v="Small Business"/>
    <x v="1"/>
    <x v="11"/>
    <s v="Jumbo Box"/>
    <s v="Bevis Round Conference Table Top, X-Base"/>
    <n v="0.76"/>
    <s v="United States"/>
    <s v="East"/>
    <s v="New York"/>
    <s v="Woodmere"/>
    <n v="11598"/>
    <d v="2015-01-16T00:00:00"/>
    <d v="2015-01-18T00:00:00"/>
    <n v="-537.27977729999998"/>
    <n v="1"/>
    <x v="876"/>
    <n v="89679"/>
    <n v="186.64"/>
  </r>
  <r>
    <n v="1.98"/>
    <n v="4.7699999999999996"/>
    <n v="1606"/>
    <s v="Don Rogers"/>
    <s v="Regular Air"/>
    <s v="Home Office"/>
    <x v="0"/>
    <x v="8"/>
    <s v="Small Box"/>
    <s v="Avery Reinforcements for Hole-Punch Pages"/>
    <n v="0.4"/>
    <s v="United States"/>
    <s v="East"/>
    <s v="New York"/>
    <s v="Franklin Square"/>
    <n v="11010"/>
    <d v="2015-01-07T00:00:00"/>
    <d v="2015-01-08T00:00:00"/>
    <n v="-14.359819999999999"/>
    <n v="1"/>
    <x v="877"/>
    <n v="87993"/>
    <n v="3.53"/>
  </r>
  <r>
    <n v="699.99"/>
    <n v="24.49"/>
    <n v="1606"/>
    <s v="Don Rogers"/>
    <s v="Express Air"/>
    <s v="Home Office"/>
    <x v="2"/>
    <x v="16"/>
    <s v="Large Box"/>
    <s v="Canon PC1060 Personal Laser Copier"/>
    <n v="0.41"/>
    <s v="United States"/>
    <s v="East"/>
    <s v="New York"/>
    <s v="Franklin Square"/>
    <n v="11010"/>
    <d v="2015-01-07T00:00:00"/>
    <d v="2015-01-08T00:00:00"/>
    <n v="-2870.2775999999999"/>
    <n v="1"/>
    <x v="878"/>
    <n v="87993"/>
    <n v="706.56"/>
  </r>
  <r>
    <n v="6783.02"/>
    <n v="24.49"/>
    <n v="1606"/>
    <s v="Don Rogers"/>
    <s v="Regular Air"/>
    <s v="Home Office"/>
    <x v="2"/>
    <x v="6"/>
    <s v="Large Box"/>
    <s v="Polycom ViewStation™ ISDN Videoconferencing Unit"/>
    <n v="0.39"/>
    <s v="United States"/>
    <s v="East"/>
    <s v="New York"/>
    <s v="Franklin Square"/>
    <n v="11010"/>
    <d v="2015-01-07T00:00:00"/>
    <d v="2015-01-08T00:00:00"/>
    <n v="77.983599999999996"/>
    <n v="2"/>
    <x v="879"/>
    <n v="87993"/>
    <n v="26242.14"/>
  </r>
  <r>
    <n v="15.16"/>
    <n v="15.09"/>
    <n v="1607"/>
    <s v="Kathleen Huang Hall"/>
    <s v="Regular Air"/>
    <s v="Home Office"/>
    <x v="0"/>
    <x v="8"/>
    <s v="Small Box"/>
    <s v="GBC Clear Cover, 8-1/2 x 11, unpunched, 25 covers per pack"/>
    <n v="0.39"/>
    <s v="United States"/>
    <s v="East"/>
    <s v="New York"/>
    <s v="Freeport"/>
    <n v="11520"/>
    <d v="2015-04-15T00:00:00"/>
    <d v="2015-04-15T00:00:00"/>
    <n v="-200.85900000000001"/>
    <n v="7"/>
    <x v="880"/>
    <n v="87994"/>
    <n v="776.51"/>
  </r>
  <r>
    <n v="5.68"/>
    <n v="3.6"/>
    <n v="1607"/>
    <s v="Kathleen Huang Hall"/>
    <s v="Express Air"/>
    <s v="Home Office"/>
    <x v="0"/>
    <x v="12"/>
    <s v="Small Pack"/>
    <s v="Acme® Preferred Stainless Steel Scissors"/>
    <n v="0.56000000000000005"/>
    <s v="United States"/>
    <s v="East"/>
    <s v="New York"/>
    <s v="Freeport"/>
    <n v="11520"/>
    <d v="2015-02-06T00:00:00"/>
    <d v="2015-02-10T00:00:00"/>
    <n v="-33.2956"/>
    <n v="21"/>
    <x v="881"/>
    <n v="87995"/>
    <n v="2485.35"/>
  </r>
  <r>
    <n v="2.16"/>
    <n v="6.05"/>
    <n v="1609"/>
    <s v="Jerry Ennis"/>
    <s v="Regular Air"/>
    <s v="Consumer"/>
    <x v="0"/>
    <x v="8"/>
    <s v="Small Box"/>
    <s v="Peel &amp; Stick Add-On Corner Pockets"/>
    <n v="0.37"/>
    <s v="United States"/>
    <s v="West"/>
    <s v="California"/>
    <s v="Sacramento"/>
    <n v="95823"/>
    <d v="2015-05-11T00:00:00"/>
    <d v="2015-05-12T00:00:00"/>
    <n v="-90.585499999999996"/>
    <n v="7"/>
    <x v="882"/>
    <n v="87824"/>
    <n v="121.16999999999999"/>
  </r>
  <r>
    <n v="9.7100000000000009"/>
    <n v="9.4499999999999993"/>
    <n v="1609"/>
    <s v="Jerry Ennis"/>
    <s v="Regular Air"/>
    <s v="Consumer"/>
    <x v="0"/>
    <x v="10"/>
    <s v="Small Box"/>
    <s v="Filing/Storage Totes and Swivel Casters"/>
    <n v="0.6"/>
    <s v="United States"/>
    <s v="West"/>
    <s v="California"/>
    <s v="Sacramento"/>
    <n v="95823"/>
    <d v="2015-05-11T00:00:00"/>
    <d v="2015-05-11T00:00:00"/>
    <n v="-36.9"/>
    <n v="2"/>
    <x v="883"/>
    <n v="87824"/>
    <n v="47.12"/>
  </r>
  <r>
    <n v="40.97"/>
    <n v="1.99"/>
    <n v="1614"/>
    <s v="Wayne Lutz"/>
    <s v="Regular Air"/>
    <s v="Consumer"/>
    <x v="2"/>
    <x v="13"/>
    <s v="Small Pack"/>
    <s v="TDK 4.7GB DVD-R Spindle, 15/Pack"/>
    <n v="0.42"/>
    <s v="United States"/>
    <s v="East"/>
    <s v="Massachusetts"/>
    <s v="Hopkinton"/>
    <n v="1748"/>
    <d v="2015-04-08T00:00:00"/>
    <d v="2015-04-12T00:00:00"/>
    <n v="341.19810000000001"/>
    <n v="12"/>
    <x v="884"/>
    <n v="87823"/>
    <n v="5933.88"/>
  </r>
  <r>
    <n v="12.88"/>
    <n v="4.59"/>
    <n v="1618"/>
    <s v="June Roberts"/>
    <s v="Regular Air"/>
    <s v="Consumer"/>
    <x v="0"/>
    <x v="12"/>
    <s v="Wrap Bag"/>
    <s v="Martin-Yale Premier Letter Opener"/>
    <n v="0.82"/>
    <s v="United States"/>
    <s v="Central"/>
    <s v="Indiana"/>
    <s v="Highland"/>
    <n v="46322"/>
    <d v="2015-04-06T00:00:00"/>
    <d v="2015-04-06T00:00:00"/>
    <n v="-175.13"/>
    <n v="13"/>
    <x v="885"/>
    <n v="90248"/>
    <n v="2055.69"/>
  </r>
  <r>
    <n v="45.99"/>
    <n v="4.99"/>
    <n v="1620"/>
    <s v="Gerald Petty"/>
    <s v="Express Air"/>
    <s v="Consumer"/>
    <x v="2"/>
    <x v="5"/>
    <s v="Small Box"/>
    <s v="600 Series Non-Flip"/>
    <n v="0.56999999999999995"/>
    <s v="United States"/>
    <s v="East"/>
    <s v="Pennsylvania"/>
    <s v="Lancaster"/>
    <n v="17602"/>
    <d v="2015-04-06T00:00:00"/>
    <d v="2015-04-07T00:00:00"/>
    <n v="3.96"/>
    <n v="4"/>
    <x v="886"/>
    <n v="90248"/>
    <n v="652.04"/>
  </r>
  <r>
    <n v="15.01"/>
    <n v="8.4"/>
    <n v="1623"/>
    <s v="Patrick Adcock"/>
    <s v="Regular Air"/>
    <s v="Small Business"/>
    <x v="0"/>
    <x v="8"/>
    <s v="Small Box"/>
    <s v="GBC Prepunched Paper, 19-Hole, for Binding Systems, 24-lb"/>
    <n v="0.39"/>
    <s v="United States"/>
    <s v="Central"/>
    <s v="Indiana"/>
    <s v="Schererville"/>
    <n v="46375"/>
    <d v="2015-05-24T00:00:00"/>
    <d v="2015-05-26T00:00:00"/>
    <n v="1.6169"/>
    <n v="22"/>
    <x v="887"/>
    <n v="87611"/>
    <n v="7326.88"/>
  </r>
  <r>
    <n v="40.479999999999997"/>
    <n v="19.989999999999998"/>
    <n v="1623"/>
    <s v="Patrick Adcock"/>
    <s v="Regular Air"/>
    <s v="Small Business"/>
    <x v="2"/>
    <x v="13"/>
    <s v="Small Box"/>
    <s v="Keytronic Designer 104- Key Black Keyboard"/>
    <n v="0.77"/>
    <s v="United States"/>
    <s v="Central"/>
    <s v="Indiana"/>
    <s v="Schererville"/>
    <n v="46375"/>
    <d v="2015-05-24T00:00:00"/>
    <d v="2015-05-26T00:00:00"/>
    <n v="65.394000000000005"/>
    <n v="12"/>
    <x v="888"/>
    <n v="87611"/>
    <n v="5669.28"/>
  </r>
  <r>
    <n v="12.28"/>
    <n v="6.13"/>
    <n v="1623"/>
    <s v="Patrick Adcock"/>
    <s v="Regular Air"/>
    <s v="Small Business"/>
    <x v="0"/>
    <x v="10"/>
    <s v="Small Box"/>
    <s v="Recycled Eldon Regeneration Jumbo File"/>
    <n v="0.56999999999999995"/>
    <s v="United States"/>
    <s v="Central"/>
    <s v="Indiana"/>
    <s v="Schererville"/>
    <n v="46375"/>
    <d v="2015-05-24T00:00:00"/>
    <d v="2015-05-25T00:00:00"/>
    <n v="1.3360000000000001"/>
    <n v="1"/>
    <x v="889"/>
    <n v="87611"/>
    <n v="18.73"/>
  </r>
  <r>
    <n v="213.45"/>
    <n v="14.7"/>
    <n v="1625"/>
    <s v="Molly Browning"/>
    <s v="Delivery Truck"/>
    <s v="Home Office"/>
    <x v="2"/>
    <x v="6"/>
    <s v="Jumbo Drum"/>
    <s v="Panasonic KX-P2130 Dot Matrix Printer"/>
    <n v="0.59"/>
    <s v="United States"/>
    <s v="East"/>
    <s v="New York"/>
    <s v="Glen Cove"/>
    <n v="11542"/>
    <d v="2015-03-27T00:00:00"/>
    <d v="2015-03-29T00:00:00"/>
    <n v="1674.7542000000001"/>
    <n v="12"/>
    <x v="890"/>
    <n v="90600"/>
    <n v="29126.159999999996"/>
  </r>
  <r>
    <n v="55.98"/>
    <n v="13.88"/>
    <n v="1625"/>
    <s v="Molly Browning"/>
    <s v="Regular Air"/>
    <s v="Home Office"/>
    <x v="0"/>
    <x v="7"/>
    <s v="Small Box"/>
    <s v="Xerox 1882"/>
    <n v="0.36"/>
    <s v="United States"/>
    <s v="East"/>
    <s v="New York"/>
    <s v="Glen Cove"/>
    <n v="11542"/>
    <d v="2015-03-27T00:00:00"/>
    <d v="2015-03-29T00:00:00"/>
    <n v="300.04649999999998"/>
    <n v="8"/>
    <x v="891"/>
    <n v="90600"/>
    <n v="3478.8"/>
  </r>
  <r>
    <n v="16.059999999999999"/>
    <n v="8.34"/>
    <n v="1625"/>
    <s v="Molly Browning"/>
    <s v="Regular Air"/>
    <s v="Home Office"/>
    <x v="0"/>
    <x v="10"/>
    <s v="Small Box"/>
    <s v="Letter/Legal File Tote with Clear Snap-On Lid, Black Granite"/>
    <n v="0.59"/>
    <s v="United States"/>
    <s v="East"/>
    <s v="New York"/>
    <s v="Glen Cove"/>
    <n v="11542"/>
    <d v="2015-03-27T00:00:00"/>
    <d v="2015-03-28T00:00:00"/>
    <n v="-28.09"/>
    <n v="1"/>
    <x v="892"/>
    <n v="90600"/>
    <n v="19.16"/>
  </r>
  <r>
    <n v="209.37"/>
    <n v="69"/>
    <n v="1625"/>
    <s v="Molly Browning"/>
    <s v="Regular Air"/>
    <s v="Home Office"/>
    <x v="1"/>
    <x v="11"/>
    <s v="Large Box"/>
    <s v="Hon 2111 Invitation™ Series Corner Table"/>
    <n v="0.79"/>
    <s v="United States"/>
    <s v="East"/>
    <s v="New York"/>
    <s v="Glen Cove"/>
    <n v="11542"/>
    <d v="2015-02-16T00:00:00"/>
    <d v="2015-02-18T00:00:00"/>
    <n v="-263.1119291"/>
    <n v="11"/>
    <x v="893"/>
    <n v="90601"/>
    <n v="21558.68"/>
  </r>
  <r>
    <n v="43.57"/>
    <n v="16.36"/>
    <n v="1627"/>
    <s v="Aaron Day"/>
    <s v="Regular Air"/>
    <s v="Corporate"/>
    <x v="0"/>
    <x v="10"/>
    <s v="Small Box"/>
    <s v="Trav-L-File Heavy-Duty Shuttle II, Black"/>
    <n v="0.55000000000000004"/>
    <s v="United States"/>
    <s v="South"/>
    <s v="Tennessee"/>
    <s v="Greeneville"/>
    <n v="37743"/>
    <d v="2015-05-28T00:00:00"/>
    <d v="2015-05-30T00:00:00"/>
    <n v="-38.808"/>
    <n v="17"/>
    <x v="894"/>
    <n v="90602"/>
    <n v="12072.72"/>
  </r>
  <r>
    <n v="8.09"/>
    <n v="7.96"/>
    <n v="1632"/>
    <s v="Lori Wolfe"/>
    <s v="Express Air"/>
    <s v="Home Office"/>
    <x v="1"/>
    <x v="2"/>
    <s v="Small Box"/>
    <s v="6&quot; Cubicle Wall Clock, Black"/>
    <n v="0.49"/>
    <s v="United States"/>
    <s v="South"/>
    <s v="Mississippi"/>
    <s v="Hattiesburg"/>
    <n v="39401"/>
    <d v="2015-01-15T00:00:00"/>
    <d v="2015-01-16T00:00:00"/>
    <n v="15.984"/>
    <n v="6"/>
    <x v="895"/>
    <n v="90530"/>
    <n v="289.5"/>
  </r>
  <r>
    <n v="25.99"/>
    <n v="5.37"/>
    <n v="1632"/>
    <s v="Lori Wolfe"/>
    <s v="Regular Air"/>
    <s v="Home Office"/>
    <x v="0"/>
    <x v="0"/>
    <s v="Small Box"/>
    <s v="BOSTON® Ranger® #55 Pencil Sharpener, Black"/>
    <n v="0.56000000000000005"/>
    <s v="United States"/>
    <s v="South"/>
    <s v="Mississippi"/>
    <s v="Hattiesburg"/>
    <n v="39401"/>
    <d v="2015-04-15T00:00:00"/>
    <d v="2015-04-17T00:00:00"/>
    <n v="-88.158000000000001"/>
    <n v="9"/>
    <x v="896"/>
    <n v="90533"/>
    <n v="2189.16"/>
  </r>
  <r>
    <n v="5.98"/>
    <n v="3.85"/>
    <n v="1633"/>
    <s v="Gerald Raynor"/>
    <s v="Regular Air"/>
    <s v="Home Office"/>
    <x v="2"/>
    <x v="13"/>
    <s v="Small Pack"/>
    <s v="Imation 3.5&quot; IBM-Formatted Diskettes, 10/Pack"/>
    <n v="0.68"/>
    <s v="United States"/>
    <s v="South"/>
    <s v="Mississippi"/>
    <s v="Horn Lake"/>
    <n v="38637"/>
    <d v="2015-02-10T00:00:00"/>
    <d v="2015-02-12T00:00:00"/>
    <n v="-76.106800000000007"/>
    <n v="6"/>
    <x v="897"/>
    <n v="90531"/>
    <n v="231.24"/>
  </r>
  <r>
    <n v="100.97"/>
    <n v="14"/>
    <n v="1634"/>
    <s v="Katherine W Epstein"/>
    <s v="Delivery Truck"/>
    <s v="Home Office"/>
    <x v="2"/>
    <x v="6"/>
    <s v="Jumbo Drum"/>
    <s v="Hewlett-Packard Deskjet 3820 Color Inkjet Printer"/>
    <n v="0.37"/>
    <s v="United States"/>
    <s v="South"/>
    <s v="Mississippi"/>
    <s v="Jackson"/>
    <n v="39212"/>
    <d v="2015-04-09T00:00:00"/>
    <d v="2015-04-10T00:00:00"/>
    <n v="-73.494119999999995"/>
    <n v="15"/>
    <x v="898"/>
    <n v="90532"/>
    <n v="22247.4"/>
  </r>
  <r>
    <n v="115.99"/>
    <n v="56.14"/>
    <n v="1636"/>
    <s v="Sidney Greenberg"/>
    <s v="Delivery Truck"/>
    <s v="Home Office"/>
    <x v="2"/>
    <x v="6"/>
    <s v="Jumbo Drum"/>
    <s v="Hewlett-Packard Deskjet 5550 Color Inkjet Printer"/>
    <n v="0.4"/>
    <s v="United States"/>
    <s v="West"/>
    <s v="California"/>
    <s v="Salinas"/>
    <n v="93905"/>
    <d v="2015-01-14T00:00:00"/>
    <d v="2015-01-16T00:00:00"/>
    <n v="-272.860884"/>
    <n v="5"/>
    <x v="899"/>
    <n v="89704"/>
    <n v="2814.6499999999996"/>
  </r>
  <r>
    <n v="4.28"/>
    <n v="0.94"/>
    <n v="1636"/>
    <s v="Sidney Greenberg"/>
    <s v="Regular Air"/>
    <s v="Home Office"/>
    <x v="0"/>
    <x v="0"/>
    <s v="Wrap Bag"/>
    <s v="Newell 336"/>
    <n v="0.56000000000000005"/>
    <s v="United States"/>
    <s v="West"/>
    <s v="California"/>
    <s v="Salinas"/>
    <n v="93905"/>
    <d v="2015-01-14T00:00:00"/>
    <d v="2015-01-17T00:00:00"/>
    <n v="10.5792"/>
    <n v="7"/>
    <x v="900"/>
    <n v="89704"/>
    <n v="204.26"/>
  </r>
  <r>
    <n v="136.97999999999999"/>
    <n v="24.49"/>
    <n v="1636"/>
    <s v="Sidney Greenberg"/>
    <s v="Express Air"/>
    <s v="Home Office"/>
    <x v="1"/>
    <x v="2"/>
    <s v="Large Box"/>
    <s v="3M Polarizing Task Lamp with Clamp Arm, Light Gray"/>
    <n v="0.59"/>
    <s v="United States"/>
    <s v="West"/>
    <s v="California"/>
    <s v="Salinas"/>
    <n v="93905"/>
    <d v="2015-01-12T00:00:00"/>
    <d v="2015-01-14T00:00:00"/>
    <n v="1127.5497"/>
    <n v="12"/>
    <x v="901"/>
    <n v="89706"/>
    <n v="19609.560000000001"/>
  </r>
  <r>
    <n v="55.48"/>
    <n v="6.79"/>
    <n v="1639"/>
    <s v="Marvin Rollins"/>
    <s v="Regular Air"/>
    <s v="Home Office"/>
    <x v="0"/>
    <x v="7"/>
    <s v="Small Box"/>
    <s v="Eaton Premium Continuous-Feed Paper, 25% Cotton, Letter Size, White, 1000 Shts/Box"/>
    <n v="0.37"/>
    <s v="United States"/>
    <s v="East"/>
    <s v="Connecticut"/>
    <s v="Stamford"/>
    <n v="6901"/>
    <d v="2015-02-26T00:00:00"/>
    <d v="2015-02-28T00:00:00"/>
    <n v="147.75659999999999"/>
    <n v="4"/>
    <x v="902"/>
    <n v="89705"/>
    <n v="856.56"/>
  </r>
  <r>
    <n v="107.53"/>
    <n v="5.81"/>
    <n v="1644"/>
    <s v="Sam Woodward"/>
    <s v="Regular Air"/>
    <s v="Small Business"/>
    <x v="1"/>
    <x v="2"/>
    <s v="Medium Box"/>
    <s v="Tenex Contemporary Contur Chairmats for Low and Medium Pile Carpet, Computer, 39&quot; x 49&quot;"/>
    <n v="0.65"/>
    <s v="United States"/>
    <s v="Central"/>
    <s v="Texas"/>
    <s v="Friendswood"/>
    <n v="77546"/>
    <d v="2015-06-14T00:00:00"/>
    <d v="2015-06-16T00:00:00"/>
    <n v="69.545100000000005"/>
    <n v="1"/>
    <x v="903"/>
    <n v="87342"/>
    <n v="100.79"/>
  </r>
  <r>
    <n v="3.29"/>
    <n v="1.35"/>
    <n v="1646"/>
    <s v="Eugene Brewer Knox"/>
    <s v="Regular Air"/>
    <s v="Small Business"/>
    <x v="0"/>
    <x v="3"/>
    <s v="Wrap Bag"/>
    <s v="Acco® Hot Clips™ Clips to Go"/>
    <n v="0.4"/>
    <s v="United States"/>
    <s v="East"/>
    <s v="New York"/>
    <s v="Bethpage"/>
    <n v="11714"/>
    <d v="2015-03-15T00:00:00"/>
    <d v="2015-03-17T00:00:00"/>
    <n v="8.5299999999999994"/>
    <n v="11"/>
    <x v="707"/>
    <n v="90932"/>
    <n v="395.66999999999996"/>
  </r>
  <r>
    <n v="46.89"/>
    <n v="5.0999999999999996"/>
    <n v="1648"/>
    <s v="Nina Bowles"/>
    <s v="Regular Air"/>
    <s v="Corporate"/>
    <x v="0"/>
    <x v="15"/>
    <s v="Medium Box"/>
    <s v="Bionaire Personal Warm Mist Humidifier/Vaporizer"/>
    <n v="0.46"/>
    <s v="United States"/>
    <s v="Central"/>
    <s v="Illinois"/>
    <s v="Woodstock"/>
    <n v="60098"/>
    <d v="2015-03-25T00:00:00"/>
    <d v="2015-03-27T00:00:00"/>
    <n v="507.63299999999998"/>
    <n v="17"/>
    <x v="904"/>
    <n v="91043"/>
    <n v="12506.900000000001"/>
  </r>
  <r>
    <n v="12.98"/>
    <n v="3.14"/>
    <n v="1648"/>
    <s v="Nina Bowles"/>
    <s v="Regular Air"/>
    <s v="Corporate"/>
    <x v="0"/>
    <x v="12"/>
    <s v="Small Pack"/>
    <s v="Acme® 8&quot; Straight Scissors"/>
    <n v="0.6"/>
    <s v="United States"/>
    <s v="Central"/>
    <s v="Illinois"/>
    <s v="Woodstock"/>
    <n v="60098"/>
    <d v="2015-03-25T00:00:00"/>
    <d v="2015-03-25T00:00:00"/>
    <n v="38.229999999999997"/>
    <n v="18"/>
    <x v="905"/>
    <n v="91043"/>
    <n v="4060.62"/>
  </r>
  <r>
    <n v="48.58"/>
    <n v="3.99"/>
    <n v="1649"/>
    <s v="Roy Hardison"/>
    <s v="Express Air"/>
    <s v="Corporate"/>
    <x v="0"/>
    <x v="15"/>
    <s v="Small Box"/>
    <s v="Belkin Premiere Surge Master II 8-outlet surge protector"/>
    <n v="0.56000000000000005"/>
    <s v="United States"/>
    <s v="East"/>
    <s v="New York"/>
    <s v="Woodmere"/>
    <n v="11598"/>
    <d v="2015-02-24T00:00:00"/>
    <d v="2015-02-26T00:00:00"/>
    <n v="100.1328"/>
    <n v="3"/>
    <x v="906"/>
    <n v="91041"/>
    <n v="435.36"/>
  </r>
  <r>
    <n v="6.48"/>
    <n v="2.74"/>
    <n v="1650"/>
    <s v="Dan Lamm"/>
    <s v="Regular Air"/>
    <s v="Corporate"/>
    <x v="2"/>
    <x v="13"/>
    <s v="Small Pack"/>
    <s v="Sony MFD2HD Formatted Diskettes, 10/Pack"/>
    <n v="0.71"/>
    <s v="United States"/>
    <s v="South"/>
    <s v="North Carolina"/>
    <s v="Asheboro"/>
    <n v="27203"/>
    <d v="2015-05-09T00:00:00"/>
    <d v="2015-05-09T00:00:00"/>
    <n v="15.096"/>
    <n v="15"/>
    <x v="907"/>
    <n v="91042"/>
    <n v="1414.05"/>
  </r>
  <r>
    <n v="12.53"/>
    <n v="0.5"/>
    <n v="1650"/>
    <s v="Dan Lamm"/>
    <s v="Regular Air"/>
    <s v="Corporate"/>
    <x v="0"/>
    <x v="9"/>
    <s v="Small Box"/>
    <s v="Avery 485"/>
    <n v="0.38"/>
    <s v="United States"/>
    <s v="South"/>
    <s v="North Carolina"/>
    <s v="Asheboro"/>
    <n v="27203"/>
    <d v="2015-05-09T00:00:00"/>
    <d v="2015-05-10T00:00:00"/>
    <n v="14.9124"/>
    <n v="7"/>
    <x v="908"/>
    <n v="91042"/>
    <n v="575.46999999999991"/>
  </r>
  <r>
    <n v="65.989999999999995"/>
    <n v="8.99"/>
    <n v="1650"/>
    <s v="Dan Lamm"/>
    <s v="Express Air"/>
    <s v="Corporate"/>
    <x v="2"/>
    <x v="5"/>
    <s v="Small Box"/>
    <s v="i270"/>
    <n v="0.55000000000000004"/>
    <s v="United States"/>
    <s v="South"/>
    <s v="North Carolina"/>
    <s v="Asheboro"/>
    <n v="27203"/>
    <d v="2015-05-09T00:00:00"/>
    <d v="2015-05-11T00:00:00"/>
    <n v="-135.226"/>
    <n v="8"/>
    <x v="909"/>
    <n v="91042"/>
    <n v="3339.76"/>
  </r>
  <r>
    <n v="101.41"/>
    <n v="35"/>
    <n v="1653"/>
    <s v="Charles Cline"/>
    <s v="Express Air"/>
    <s v="Corporate"/>
    <x v="0"/>
    <x v="10"/>
    <s v="Large Box"/>
    <s v="Tennsco Regal Shelving Units"/>
    <n v="0.82"/>
    <s v="United States"/>
    <s v="West"/>
    <s v="California"/>
    <s v="Thousand Oaks"/>
    <n v="91360"/>
    <d v="2015-01-24T00:00:00"/>
    <d v="2015-01-25T00:00:00"/>
    <n v="-457.73"/>
    <n v="10"/>
    <x v="910"/>
    <n v="89885"/>
    <n v="11043.199999999999"/>
  </r>
  <r>
    <n v="95.99"/>
    <n v="4.9000000000000004"/>
    <n v="1653"/>
    <s v="Charles Cline"/>
    <s v="Regular Air"/>
    <s v="Corporate"/>
    <x v="2"/>
    <x v="5"/>
    <s v="Small Box"/>
    <s v="T60"/>
    <n v="0.56000000000000005"/>
    <s v="United States"/>
    <s v="West"/>
    <s v="California"/>
    <s v="Thousand Oaks"/>
    <n v="91360"/>
    <d v="2015-01-24T00:00:00"/>
    <d v="2015-01-25T00:00:00"/>
    <n v="-268.66399999999999"/>
    <n v="2"/>
    <x v="911"/>
    <n v="89885"/>
    <n v="299.60000000000002"/>
  </r>
  <r>
    <n v="3.6"/>
    <n v="2.2000000000000002"/>
    <n v="1665"/>
    <s v="Elsie Pridgen"/>
    <s v="Regular Air"/>
    <s v="Consumer"/>
    <x v="0"/>
    <x v="7"/>
    <s v="Wrap Bag"/>
    <s v="Telephone Message Books with Fax/Mobile Section, 4 1/4&quot; x 6&quot;"/>
    <n v="0.39"/>
    <s v="United States"/>
    <s v="West"/>
    <s v="California"/>
    <s v="Laguna Hills"/>
    <n v="92653"/>
    <d v="2015-02-26T00:00:00"/>
    <d v="2015-02-27T00:00:00"/>
    <n v="-8.2799999999999994"/>
    <n v="2"/>
    <x v="912"/>
    <n v="90678"/>
    <n v="13.94"/>
  </r>
  <r>
    <n v="35.409999999999997"/>
    <n v="1.99"/>
    <n v="1670"/>
    <s v="Carolyn Bowling"/>
    <s v="Regular Air"/>
    <s v="Small Business"/>
    <x v="2"/>
    <x v="13"/>
    <s v="Small Pack"/>
    <s v="Imation DVD-RAM discs"/>
    <n v="0.43"/>
    <s v="United States"/>
    <s v="South"/>
    <s v="Virginia"/>
    <s v="Blacksburg"/>
    <n v="24060"/>
    <d v="2015-04-24T00:00:00"/>
    <d v="2015-04-26T00:00:00"/>
    <n v="1912.422"/>
    <n v="10"/>
    <x v="913"/>
    <n v="86722"/>
    <n v="3675.2"/>
  </r>
  <r>
    <n v="142.86000000000001"/>
    <n v="19.989999999999998"/>
    <n v="1670"/>
    <s v="Carolyn Bowling"/>
    <s v="Regular Air"/>
    <s v="Small Business"/>
    <x v="0"/>
    <x v="10"/>
    <s v="Small Box"/>
    <s v="Letter Size Cart"/>
    <n v="0.56000000000000005"/>
    <s v="United States"/>
    <s v="South"/>
    <s v="Virginia"/>
    <s v="Blacksburg"/>
    <n v="24060"/>
    <d v="2015-04-24T00:00:00"/>
    <d v="2015-05-03T00:00:00"/>
    <n v="-739.32600000000002"/>
    <n v="11"/>
    <x v="914"/>
    <n v="86722"/>
    <n v="17339.849999999999"/>
  </r>
  <r>
    <n v="4.13"/>
    <n v="0.99"/>
    <n v="1671"/>
    <s v="Mitchell Ross"/>
    <s v="Regular Air"/>
    <s v="Small Business"/>
    <x v="0"/>
    <x v="9"/>
    <s v="Small Box"/>
    <s v="Avery 491"/>
    <n v="0.39"/>
    <s v="United States"/>
    <s v="South"/>
    <s v="Virginia"/>
    <s v="Burke"/>
    <n v="22015"/>
    <d v="2015-02-09T00:00:00"/>
    <d v="2015-02-13T00:00:00"/>
    <n v="-40.53"/>
    <n v="13"/>
    <x v="915"/>
    <n v="86724"/>
    <n v="678.07999999999993"/>
  </r>
  <r>
    <n v="223.98"/>
    <n v="15.01"/>
    <n v="1671"/>
    <s v="Mitchell Ross"/>
    <s v="Regular Air"/>
    <s v="Small Business"/>
    <x v="0"/>
    <x v="8"/>
    <s v="Small Box"/>
    <s v="GBC DocuBind TL200 Manual Binding Machine"/>
    <n v="0.38"/>
    <s v="United States"/>
    <s v="South"/>
    <s v="Virginia"/>
    <s v="Burke"/>
    <n v="22015"/>
    <d v="2015-05-12T00:00:00"/>
    <d v="2015-05-13T00:00:00"/>
    <n v="0.69599999999999995"/>
    <n v="21"/>
    <x v="916"/>
    <n v="86725"/>
    <n v="102518.64"/>
  </r>
  <r>
    <n v="284.98"/>
    <n v="69.55"/>
    <n v="1672"/>
    <s v="Sidney Scarborough"/>
    <s v="Delivery Truck"/>
    <s v="Small Business"/>
    <x v="1"/>
    <x v="1"/>
    <s v="Jumbo Drum"/>
    <s v="Global Commerce™ Series High-Back Swivel/Tilt Chairs"/>
    <n v="0.6"/>
    <s v="United States"/>
    <s v="South"/>
    <s v="Virginia"/>
    <s v="Charlottesville"/>
    <n v="22901"/>
    <d v="2015-06-07T00:00:00"/>
    <d v="2015-06-12T00:00:00"/>
    <n v="15.528"/>
    <n v="3"/>
    <x v="917"/>
    <n v="86723"/>
    <n v="2778.8999999999996"/>
  </r>
  <r>
    <n v="55.48"/>
    <n v="14.3"/>
    <n v="1672"/>
    <s v="Sidney Scarborough"/>
    <s v="Regular Air"/>
    <s v="Small Business"/>
    <x v="0"/>
    <x v="7"/>
    <s v="Small Box"/>
    <s v="Xerox 194"/>
    <n v="0.37"/>
    <s v="United States"/>
    <s v="South"/>
    <s v="Virginia"/>
    <s v="Charlottesville"/>
    <n v="22901"/>
    <d v="2015-06-07T00:00:00"/>
    <d v="2015-06-09T00:00:00"/>
    <n v="-225.56379999999999"/>
    <n v="17"/>
    <x v="918"/>
    <n v="86723"/>
    <n v="16023.01"/>
  </r>
  <r>
    <n v="13.73"/>
    <n v="6.85"/>
    <n v="1679"/>
    <s v="Jeanne Nguyen"/>
    <s v="Regular Air"/>
    <s v="Consumer"/>
    <x v="1"/>
    <x v="2"/>
    <s v="Wrap Bag"/>
    <s v="DAX Wood Document Frame."/>
    <n v="0.54"/>
    <s v="United States"/>
    <s v="East"/>
    <s v="Ohio"/>
    <s v="Fairborn"/>
    <n v="45324"/>
    <d v="2015-03-20T00:00:00"/>
    <d v="2015-03-21T00:00:00"/>
    <n v="-22.72"/>
    <n v="21"/>
    <x v="919"/>
    <n v="86646"/>
    <n v="5809.44"/>
  </r>
  <r>
    <n v="30.98"/>
    <n v="19.510000000000002"/>
    <n v="1680"/>
    <s v="Esther Whitaker"/>
    <s v="Regular Air"/>
    <s v="Consumer"/>
    <x v="0"/>
    <x v="4"/>
    <s v="Small Box"/>
    <s v="Staples Colored Interoffice Envelopes"/>
    <n v="0.36"/>
    <s v="United States"/>
    <s v="East"/>
    <s v="Ohio"/>
    <s v="Fairfield"/>
    <n v="45014"/>
    <d v="2015-05-03T00:00:00"/>
    <d v="2015-05-05T00:00:00"/>
    <n v="-163.53"/>
    <n v="18"/>
    <x v="920"/>
    <n v="86645"/>
    <n v="9263.16"/>
  </r>
  <r>
    <n v="49.34"/>
    <n v="10.25"/>
    <n v="1680"/>
    <s v="Esther Whitaker"/>
    <s v="Regular Air"/>
    <s v="Consumer"/>
    <x v="1"/>
    <x v="2"/>
    <s v="Large Box"/>
    <s v="Electrix Fluorescent Magnifier Lamps &amp; Weighted Base"/>
    <n v="0.56999999999999995"/>
    <s v="United States"/>
    <s v="East"/>
    <s v="Ohio"/>
    <s v="Fairfield"/>
    <n v="45014"/>
    <d v="2015-05-03T00:00:00"/>
    <d v="2015-05-05T00:00:00"/>
    <n v="554.77"/>
    <n v="17"/>
    <x v="921"/>
    <n v="86645"/>
    <n v="13894.44"/>
  </r>
  <r>
    <n v="6.28"/>
    <n v="5.41"/>
    <n v="1682"/>
    <s v="Julie Edwards"/>
    <s v="Regular Air"/>
    <s v="Consumer"/>
    <x v="1"/>
    <x v="2"/>
    <s v="Small Box"/>
    <s v="Eldon® 200 Class™ Desk Accessories"/>
    <n v="0.53"/>
    <s v="United States"/>
    <s v="Central"/>
    <s v="Illinois"/>
    <s v="Chicago"/>
    <n v="60611"/>
    <d v="2015-02-14T00:00:00"/>
    <d v="2015-02-16T00:00:00"/>
    <n v="-38.380000000000003"/>
    <n v="43"/>
    <x v="922"/>
    <n v="14115"/>
    <n v="12232.640000000001"/>
  </r>
  <r>
    <n v="4.9800000000000004"/>
    <n v="4.7"/>
    <n v="1682"/>
    <s v="Julie Edwards"/>
    <s v="Regular Air"/>
    <s v="Consumer"/>
    <x v="0"/>
    <x v="7"/>
    <s v="Small Box"/>
    <s v="Staples Copy Paper (20Lb. and 84 Bright)"/>
    <n v="0.38"/>
    <s v="United States"/>
    <s v="Central"/>
    <s v="Illinois"/>
    <s v="Chicago"/>
    <n v="60611"/>
    <d v="2015-03-14T00:00:00"/>
    <d v="2015-03-15T00:00:00"/>
    <n v="-56.35"/>
    <n v="47"/>
    <x v="923"/>
    <n v="38080"/>
    <n v="10621.06"/>
  </r>
  <r>
    <n v="6.28"/>
    <n v="5.41"/>
    <n v="1683"/>
    <s v="Wesley Corbett"/>
    <s v="Regular Air"/>
    <s v="Consumer"/>
    <x v="1"/>
    <x v="2"/>
    <s v="Small Box"/>
    <s v="Eldon® 200 Class™ Desk Accessories"/>
    <n v="0.53"/>
    <s v="United States"/>
    <s v="Central"/>
    <s v="Texas"/>
    <s v="Conroe"/>
    <n v="77301"/>
    <d v="2015-02-14T00:00:00"/>
    <d v="2015-02-16T00:00:00"/>
    <n v="-19.957599999999999"/>
    <n v="11"/>
    <x v="924"/>
    <n v="90612"/>
    <n v="800.46999999999991"/>
  </r>
  <r>
    <n v="4.9800000000000004"/>
    <n v="4.7"/>
    <n v="1683"/>
    <s v="Wesley Corbett"/>
    <s v="Regular Air"/>
    <s v="Consumer"/>
    <x v="0"/>
    <x v="7"/>
    <s v="Small Box"/>
    <s v="Staples Copy Paper (20Lb. and 84 Bright)"/>
    <n v="0.38"/>
    <s v="United States"/>
    <s v="Central"/>
    <s v="Texas"/>
    <s v="Conroe"/>
    <n v="77301"/>
    <d v="2015-03-14T00:00:00"/>
    <d v="2015-03-15T00:00:00"/>
    <n v="-56.35"/>
    <n v="12"/>
    <x v="925"/>
    <n v="90613"/>
    <n v="692.40000000000009"/>
  </r>
  <r>
    <n v="2.08"/>
    <n v="5.33"/>
    <n v="1686"/>
    <s v="Lynn O'Donnell"/>
    <s v="Regular Air"/>
    <s v="Corporate"/>
    <x v="1"/>
    <x v="2"/>
    <s v="Small Box"/>
    <s v="Eldon® Wave Desk Accessories"/>
    <n v="0.43"/>
    <s v="United States"/>
    <s v="Central"/>
    <s v="Illinois"/>
    <s v="Elgin"/>
    <n v="60123"/>
    <d v="2015-03-03T00:00:00"/>
    <d v="2015-03-10T00:00:00"/>
    <n v="-129.01"/>
    <n v="9"/>
    <x v="926"/>
    <n v="86973"/>
    <n v="177.03000000000003"/>
  </r>
  <r>
    <n v="48.91"/>
    <n v="35"/>
    <n v="1689"/>
    <s v="Larry Church"/>
    <s v="Regular Air"/>
    <s v="Corporate"/>
    <x v="0"/>
    <x v="10"/>
    <s v="Large Box"/>
    <s v="Tennsco Industrial Shelving"/>
    <n v="0.83"/>
    <s v="United States"/>
    <s v="Central"/>
    <s v="Indiana"/>
    <s v="Highland"/>
    <n v="46322"/>
    <d v="2015-03-24T00:00:00"/>
    <d v="2015-03-25T00:00:00"/>
    <n v="-628.38"/>
    <n v="10"/>
    <x v="927"/>
    <n v="91077"/>
    <n v="5147.8999999999996"/>
  </r>
  <r>
    <n v="115.99"/>
    <n v="5.26"/>
    <n v="1690"/>
    <s v="Neil Bailey"/>
    <s v="Regular Air"/>
    <s v="Corporate"/>
    <x v="2"/>
    <x v="5"/>
    <s v="Small Box"/>
    <n v="636"/>
    <n v="0.56999999999999995"/>
    <s v="United States"/>
    <s v="East"/>
    <s v="Pennsylvania"/>
    <s v="Harrisburg"/>
    <n v="17112"/>
    <d v="2015-01-24T00:00:00"/>
    <d v="2015-01-28T00:00:00"/>
    <n v="616.53570000000002"/>
    <n v="9"/>
    <x v="928"/>
    <n v="91076"/>
    <n v="8041.7699999999995"/>
  </r>
  <r>
    <n v="95.43"/>
    <n v="19.989999999999998"/>
    <n v="1690"/>
    <s v="Neil Bailey"/>
    <s v="Regular Air"/>
    <s v="Corporate"/>
    <x v="0"/>
    <x v="10"/>
    <s v="Small Box"/>
    <s v="Fellowes Stor/Drawer® Steel Plus™ Storage Drawers"/>
    <n v="0.79"/>
    <s v="United States"/>
    <s v="East"/>
    <s v="Pennsylvania"/>
    <s v="Harrisburg"/>
    <n v="17112"/>
    <d v="2015-06-01T00:00:00"/>
    <d v="2015-06-02T00:00:00"/>
    <n v="-143.23500000000001"/>
    <n v="22"/>
    <x v="929"/>
    <n v="91078"/>
    <n v="45179.199999999997"/>
  </r>
  <r>
    <n v="6.84"/>
    <n v="8.3699999999999992"/>
    <n v="1692"/>
    <s v="Rhonda Schroeder"/>
    <s v="Regular Air"/>
    <s v="Consumer"/>
    <x v="0"/>
    <x v="12"/>
    <s v="Small Pack"/>
    <s v="Acme Design Line 8&quot; Stainless Steel Bent Scissors w/Champagne Handles, 3-1/8&quot; Cut"/>
    <n v="0.57999999999999996"/>
    <s v="United States"/>
    <s v="Central"/>
    <s v="Kansas"/>
    <s v="Newton"/>
    <n v="67114"/>
    <d v="2015-01-23T00:00:00"/>
    <d v="2015-01-24T00:00:00"/>
    <n v="-123.1816"/>
    <n v="5"/>
    <x v="930"/>
    <n v="90189"/>
    <n v="189.45"/>
  </r>
  <r>
    <n v="30.98"/>
    <n v="5.76"/>
    <n v="1693"/>
    <s v="Melinda Thornton"/>
    <s v="Regular Air"/>
    <s v="Consumer"/>
    <x v="0"/>
    <x v="7"/>
    <s v="Small Box"/>
    <s v="IBM Multi-Purpose Copy Paper, 8 1/2 x 11&quot;, Case"/>
    <n v="0.4"/>
    <s v="United States"/>
    <s v="South"/>
    <s v="Virginia"/>
    <s v="Reston"/>
    <n v="20190"/>
    <d v="2015-01-23T00:00:00"/>
    <d v="2015-01-25T00:00:00"/>
    <n v="-28.797999999999998"/>
    <n v="11"/>
    <x v="931"/>
    <n v="90189"/>
    <n v="3781.69"/>
  </r>
  <r>
    <n v="15.67"/>
    <n v="1.39"/>
    <n v="1693"/>
    <s v="Melinda Thornton"/>
    <s v="Express Air"/>
    <s v="Consumer"/>
    <x v="0"/>
    <x v="4"/>
    <s v="Small Box"/>
    <s v="#10 White Business Envelopes,4 1/8 x 9 1/2"/>
    <n v="0.38"/>
    <s v="United States"/>
    <s v="South"/>
    <s v="Virginia"/>
    <s v="Reston"/>
    <n v="20190"/>
    <d v="2015-05-11T00:00:00"/>
    <d v="2015-05-11T00:00:00"/>
    <n v="-273.98"/>
    <n v="11"/>
    <x v="932"/>
    <n v="90190"/>
    <n v="2068.9900000000002"/>
  </r>
  <r>
    <n v="13.43"/>
    <n v="5.5"/>
    <n v="1697"/>
    <s v="Holly Osborne"/>
    <s v="Regular Air"/>
    <s v="Home Office"/>
    <x v="0"/>
    <x v="10"/>
    <s v="Small Box"/>
    <s v="Fellowes Personal Hanging Folder Files, Navy"/>
    <n v="0.56999999999999995"/>
    <s v="United States"/>
    <s v="South"/>
    <s v="Arkansas"/>
    <s v="Hot Springs"/>
    <n v="71901"/>
    <d v="2015-01-16T00:00:00"/>
    <d v="2015-01-17T00:00:00"/>
    <n v="-253.77799999999999"/>
    <n v="9"/>
    <x v="933"/>
    <n v="86338"/>
    <n v="1165.8599999999999"/>
  </r>
  <r>
    <n v="3.98"/>
    <n v="5.26"/>
    <n v="1699"/>
    <s v="Joseph Hurst"/>
    <s v="Regular Air"/>
    <s v="Small Business"/>
    <x v="0"/>
    <x v="8"/>
    <s v="Small Box"/>
    <s v="Ibico Presentation Index for Binding Systems"/>
    <n v="0.38"/>
    <s v="United States"/>
    <s v="East"/>
    <s v="Pennsylvania"/>
    <s v="Levittown"/>
    <n v="19057"/>
    <d v="2015-03-25T00:00:00"/>
    <d v="2015-03-29T00:00:00"/>
    <n v="-152.52449999999999"/>
    <n v="12"/>
    <x v="934"/>
    <n v="87345"/>
    <n v="593.28"/>
  </r>
  <r>
    <n v="6.48"/>
    <n v="5.4"/>
    <n v="1699"/>
    <s v="Joseph Hurst"/>
    <s v="Regular Air"/>
    <s v="Small Business"/>
    <x v="0"/>
    <x v="7"/>
    <s v="Small Box"/>
    <s v="Xerox 207"/>
    <n v="0.37"/>
    <s v="United States"/>
    <s v="East"/>
    <s v="Pennsylvania"/>
    <s v="Levittown"/>
    <n v="19057"/>
    <d v="2015-03-25T00:00:00"/>
    <d v="2015-03-25T00:00:00"/>
    <n v="-18.850000000000001"/>
    <n v="2"/>
    <x v="935"/>
    <n v="87345"/>
    <n v="28.58"/>
  </r>
  <r>
    <n v="14.81"/>
    <n v="13.32"/>
    <n v="1702"/>
    <s v="Sandra Berry"/>
    <s v="Regular Air"/>
    <s v="Home Office"/>
    <x v="0"/>
    <x v="15"/>
    <s v="Small Box"/>
    <s v="Holmes Replacement Filter for HEPA Air Cleaner, Large Room"/>
    <n v="0.43"/>
    <s v="United States"/>
    <s v="South"/>
    <s v="Mississippi"/>
    <s v="Meridian"/>
    <n v="39301"/>
    <d v="2015-01-17T00:00:00"/>
    <d v="2015-01-20T00:00:00"/>
    <n v="-220.05199999999999"/>
    <n v="3"/>
    <x v="936"/>
    <n v="90473"/>
    <n v="135.84"/>
  </r>
  <r>
    <n v="4.2"/>
    <n v="2.2599999999999998"/>
    <n v="1702"/>
    <s v="Sandra Berry"/>
    <s v="Express Air"/>
    <s v="Home Office"/>
    <x v="0"/>
    <x v="7"/>
    <s v="Wrap Bag"/>
    <s v="Important Message Pads, 50 4-1/4 x 5-1/2 Forms per Pad"/>
    <n v="0.36"/>
    <s v="United States"/>
    <s v="South"/>
    <s v="Mississippi"/>
    <s v="Meridian"/>
    <n v="39301"/>
    <d v="2015-01-17T00:00:00"/>
    <d v="2015-01-19T00:00:00"/>
    <n v="20.393370000000001"/>
    <n v="3"/>
    <x v="937"/>
    <n v="90473"/>
    <n v="40.71"/>
  </r>
  <r>
    <n v="5.68"/>
    <n v="1.39"/>
    <n v="1708"/>
    <s v="Lillian Day"/>
    <s v="Regular Air"/>
    <s v="Small Business"/>
    <x v="0"/>
    <x v="4"/>
    <s v="Small Box"/>
    <s v="Staples Standard Envelopes"/>
    <n v="0.38"/>
    <s v="United States"/>
    <s v="East"/>
    <s v="Ohio"/>
    <s v="Shaker Heights"/>
    <n v="44118"/>
    <d v="2015-01-17T00:00:00"/>
    <d v="2015-01-18T00:00:00"/>
    <n v="38.281199999999998"/>
    <n v="10"/>
    <x v="938"/>
    <n v="88781"/>
    <n v="554.79999999999995"/>
  </r>
  <r>
    <n v="205.99"/>
    <n v="3"/>
    <n v="1708"/>
    <s v="Lillian Day"/>
    <s v="Regular Air"/>
    <s v="Small Business"/>
    <x v="2"/>
    <x v="5"/>
    <s v="Small Box"/>
    <n v="6185"/>
    <n v="0.57999999999999996"/>
    <s v="United States"/>
    <s v="East"/>
    <s v="Ohio"/>
    <s v="Shaker Heights"/>
    <n v="44118"/>
    <d v="2015-05-20T00:00:00"/>
    <d v="2015-05-21T00:00:00"/>
    <n v="3670.3515000000002"/>
    <n v="29"/>
    <x v="939"/>
    <n v="88784"/>
    <n v="154261.15000000002"/>
  </r>
  <r>
    <n v="14.28"/>
    <n v="2.99"/>
    <n v="1709"/>
    <s v="Dennis Bowen"/>
    <s v="Regular Air"/>
    <s v="Consumer"/>
    <x v="0"/>
    <x v="8"/>
    <s v="Small Box"/>
    <s v="Avery Premier Heavy-Duty Binder with Round Locking Rings"/>
    <n v="0.39"/>
    <s v="United States"/>
    <s v="East"/>
    <s v="Pennsylvania"/>
    <s v="Pottstown"/>
    <n v="19464"/>
    <d v="2015-01-21T00:00:00"/>
    <d v="2015-01-22T00:00:00"/>
    <n v="21.003499999999999"/>
    <n v="2"/>
    <x v="940"/>
    <n v="88782"/>
    <n v="60.88"/>
  </r>
  <r>
    <n v="95.43"/>
    <n v="19.989999999999998"/>
    <n v="1709"/>
    <s v="Dennis Bowen"/>
    <s v="Regular Air"/>
    <s v="Small Business"/>
    <x v="0"/>
    <x v="10"/>
    <s v="Small Box"/>
    <s v="Fellowes Stor/Drawer® Steel Plus™ Storage Drawers"/>
    <n v="0.79"/>
    <s v="United States"/>
    <s v="East"/>
    <s v="Pennsylvania"/>
    <s v="Pottstown"/>
    <n v="19464"/>
    <d v="2015-05-10T00:00:00"/>
    <d v="2015-05-12T00:00:00"/>
    <n v="13.536"/>
    <n v="33"/>
    <x v="941"/>
    <n v="88783"/>
    <n v="107308.08"/>
  </r>
  <r>
    <n v="7.59"/>
    <n v="4"/>
    <n v="1711"/>
    <s v="Sharon Long"/>
    <s v="Regular Air"/>
    <s v="Corporate"/>
    <x v="1"/>
    <x v="2"/>
    <s v="Wrap Bag"/>
    <s v="Master Giant Foot® Doorstop, Safety Yellow"/>
    <n v="0.42"/>
    <s v="United States"/>
    <s v="South"/>
    <s v="Georgia"/>
    <s v="Marietta"/>
    <n v="30062"/>
    <d v="2015-03-16T00:00:00"/>
    <d v="2015-03-18T00:00:00"/>
    <n v="-167.048"/>
    <n v="3"/>
    <x v="942"/>
    <n v="87747"/>
    <n v="67.44"/>
  </r>
  <r>
    <n v="11.66"/>
    <n v="7.95"/>
    <n v="1712"/>
    <s v="Regina Langley"/>
    <s v="Regular Air"/>
    <s v="Corporate"/>
    <x v="0"/>
    <x v="0"/>
    <s v="Small Pack"/>
    <s v="Hunt BOSTON® Vista® Battery-Operated Pencil Sharpener, Black"/>
    <n v="0.57999999999999996"/>
    <s v="United States"/>
    <s v="South"/>
    <s v="Georgia"/>
    <s v="Martinez"/>
    <n v="30907"/>
    <d v="2015-04-11T00:00:00"/>
    <d v="2015-04-20T00:00:00"/>
    <n v="-31.094000000000001"/>
    <n v="22"/>
    <x v="943"/>
    <n v="87749"/>
    <n v="5881.04"/>
  </r>
  <r>
    <n v="23.99"/>
    <n v="6.3"/>
    <n v="1713"/>
    <s v="Rosemary Stark"/>
    <s v="Regular Air"/>
    <s v="Corporate"/>
    <x v="2"/>
    <x v="6"/>
    <s v="Medium Box"/>
    <s v="TI 36X Solar Scientific Calculator"/>
    <n v="0.38"/>
    <s v="United States"/>
    <s v="South"/>
    <s v="Georgia"/>
    <s v="Newnan"/>
    <n v="30265"/>
    <d v="2015-05-29T00:00:00"/>
    <d v="2015-05-31T00:00:00"/>
    <n v="-6.202"/>
    <n v="11"/>
    <x v="944"/>
    <n v="87748"/>
    <n v="3128.29"/>
  </r>
  <r>
    <n v="300.98"/>
    <n v="64.73"/>
    <n v="1718"/>
    <s v="Kathy Shah"/>
    <s v="Delivery Truck"/>
    <s v="Consumer"/>
    <x v="1"/>
    <x v="1"/>
    <s v="Jumbo Drum"/>
    <s v="Global Leather and Oak Executive Chair, Black"/>
    <n v="0.56000000000000005"/>
    <s v="United States"/>
    <s v="South"/>
    <s v="North Carolina"/>
    <s v="Garner"/>
    <n v="27529"/>
    <d v="2015-03-08T00:00:00"/>
    <d v="2015-03-15T00:00:00"/>
    <n v="-48.874000000000002"/>
    <n v="3"/>
    <x v="945"/>
    <n v="90621"/>
    <n v="2922.42"/>
  </r>
  <r>
    <n v="16.48"/>
    <n v="1.99"/>
    <n v="1719"/>
    <s v="Russell W Melton"/>
    <s v="Regular Air"/>
    <s v="Corporate"/>
    <x v="2"/>
    <x v="13"/>
    <s v="Small Pack"/>
    <s v="Maxell DVD-RAM Discs"/>
    <n v="0.42"/>
    <s v="United States"/>
    <s v="South"/>
    <s v="Alabama"/>
    <s v="Northport"/>
    <n v="35473"/>
    <d v="2015-01-17T00:00:00"/>
    <d v="2015-01-19T00:00:00"/>
    <n v="-144.59200000000001"/>
    <n v="8"/>
    <x v="946"/>
    <n v="90786"/>
    <n v="1025.04"/>
  </r>
  <r>
    <n v="12.44"/>
    <n v="6.27"/>
    <n v="1721"/>
    <s v="Jennifer Zimmerman"/>
    <s v="Regular Air"/>
    <s v="Corporate"/>
    <x v="0"/>
    <x v="10"/>
    <s v="Medium Box"/>
    <s v="Eldon Simplefile® Box Office®"/>
    <n v="0.56999999999999995"/>
    <s v="United States"/>
    <s v="South"/>
    <s v="Arkansas"/>
    <s v="Jonesboro"/>
    <n v="72401"/>
    <d v="2015-05-16T00:00:00"/>
    <d v="2015-05-17T00:00:00"/>
    <n v="-258.56599999999997"/>
    <n v="37"/>
    <x v="947"/>
    <n v="90787"/>
    <n v="17202.78"/>
  </r>
  <r>
    <n v="49.99"/>
    <n v="19.989999999999998"/>
    <n v="1723"/>
    <s v="Constance Flowers"/>
    <s v="Express Air"/>
    <s v="Corporate"/>
    <x v="2"/>
    <x v="13"/>
    <s v="Small Box"/>
    <s v="US Robotics 56K V.92 Internal PCI Faxmodem"/>
    <n v="0.45"/>
    <s v="United States"/>
    <s v="West"/>
    <s v="California"/>
    <s v="San Diego"/>
    <n v="92037"/>
    <d v="2015-01-31T00:00:00"/>
    <d v="2015-02-05T00:00:00"/>
    <n v="13.507999999999999"/>
    <n v="46"/>
    <x v="948"/>
    <n v="40101"/>
    <n v="100650.76"/>
  </r>
  <r>
    <n v="6.68"/>
    <n v="5.66"/>
    <n v="1723"/>
    <s v="Constance Flowers"/>
    <s v="Regular Air"/>
    <s v="Corporate"/>
    <x v="0"/>
    <x v="7"/>
    <s v="Small Box"/>
    <s v="Xerox 1923"/>
    <n v="0.37"/>
    <s v="United States"/>
    <s v="West"/>
    <s v="California"/>
    <s v="San Diego"/>
    <n v="92037"/>
    <d v="2015-02-07T00:00:00"/>
    <d v="2015-02-09T00:00:00"/>
    <n v="-66.48"/>
    <n v="46"/>
    <x v="949"/>
    <n v="44002"/>
    <n v="14762.78"/>
  </r>
  <r>
    <n v="17.7"/>
    <n v="9.4700000000000006"/>
    <n v="1723"/>
    <s v="Constance Flowers"/>
    <s v="Regular Air"/>
    <s v="Corporate"/>
    <x v="0"/>
    <x v="10"/>
    <s v="Small Box"/>
    <s v="Portfile® Personal File Boxes"/>
    <n v="0.59"/>
    <s v="United States"/>
    <s v="West"/>
    <s v="California"/>
    <s v="San Diego"/>
    <n v="92037"/>
    <d v="2015-02-07T00:00:00"/>
    <d v="2015-02-07T00:00:00"/>
    <n v="-52.33"/>
    <n v="14"/>
    <x v="950"/>
    <n v="44002"/>
    <n v="3665.9000000000005"/>
  </r>
  <r>
    <n v="12.44"/>
    <n v="6.27"/>
    <n v="1723"/>
    <s v="Constance Flowers"/>
    <s v="Regular Air"/>
    <s v="Corporate"/>
    <x v="0"/>
    <x v="10"/>
    <s v="Medium Box"/>
    <s v="Eldon Simplefile® Box Office®"/>
    <n v="0.56999999999999995"/>
    <s v="United States"/>
    <s v="West"/>
    <s v="California"/>
    <s v="San Diego"/>
    <n v="92037"/>
    <d v="2015-05-16T00:00:00"/>
    <d v="2015-05-17T00:00:00"/>
    <n v="-59.06"/>
    <n v="146"/>
    <x v="951"/>
    <n v="32710"/>
    <n v="267853.06"/>
  </r>
  <r>
    <n v="35.99"/>
    <n v="1.1000000000000001"/>
    <n v="1725"/>
    <s v="Linda Blake"/>
    <s v="Regular Air"/>
    <s v="Corporate"/>
    <x v="2"/>
    <x v="5"/>
    <s v="Small Box"/>
    <s v="Accessory35"/>
    <n v="0.55000000000000004"/>
    <s v="United States"/>
    <s v="East"/>
    <s v="Ohio"/>
    <s v="Hilliard"/>
    <n v="43026"/>
    <d v="2015-05-07T00:00:00"/>
    <d v="2015-05-09T00:00:00"/>
    <n v="149.166"/>
    <n v="9"/>
    <x v="952"/>
    <n v="87193"/>
    <n v="2354.04"/>
  </r>
  <r>
    <n v="14.98"/>
    <n v="7.69"/>
    <n v="1727"/>
    <s v="Juanita Ballard"/>
    <s v="Express Air"/>
    <s v="Small Business"/>
    <x v="0"/>
    <x v="10"/>
    <s v="Small Box"/>
    <s v="Super Decoflex Portable Personal File"/>
    <n v="0.56999999999999995"/>
    <s v="United States"/>
    <s v="East"/>
    <s v="Ohio"/>
    <s v="Kent"/>
    <n v="44240"/>
    <d v="2015-01-21T00:00:00"/>
    <d v="2015-01-23T00:00:00"/>
    <n v="-76.900000000000006"/>
    <n v="8"/>
    <x v="953"/>
    <n v="87194"/>
    <n v="918.48"/>
  </r>
  <r>
    <n v="55.48"/>
    <n v="6.79"/>
    <n v="1728"/>
    <s v="Carrie Lewis"/>
    <s v="Regular Air"/>
    <s v="Corporate"/>
    <x v="0"/>
    <x v="7"/>
    <s v="Small Box"/>
    <s v="Eaton Premium Continuous-Feed Paper, 25% Cotton, Letter Size, White, 1000 Shts/Box"/>
    <n v="0.37"/>
    <s v="United States"/>
    <s v="East"/>
    <s v="Ohio"/>
    <s v="Kettering"/>
    <n v="45429"/>
    <d v="2015-02-22T00:00:00"/>
    <d v="2015-02-24T00:00:00"/>
    <n v="376.88490000000002"/>
    <n v="10"/>
    <x v="954"/>
    <n v="87195"/>
    <n v="5462.1"/>
  </r>
  <r>
    <n v="65.989999999999995"/>
    <n v="3.99"/>
    <n v="1730"/>
    <s v="Kerry Wilkerson"/>
    <s v="Express Air"/>
    <s v="Small Business"/>
    <x v="2"/>
    <x v="5"/>
    <s v="Small Box"/>
    <s v="StarTAC 7760"/>
    <n v="0.59"/>
    <s v="United States"/>
    <s v="West"/>
    <s v="Idaho"/>
    <s v="Moscow"/>
    <n v="83843"/>
    <d v="2015-04-07T00:00:00"/>
    <d v="2015-04-09T00:00:00"/>
    <n v="-88.624799999999993"/>
    <n v="5"/>
    <x v="955"/>
    <n v="90653"/>
    <n v="1364.3000000000002"/>
  </r>
  <r>
    <n v="60.98"/>
    <n v="49"/>
    <n v="1733"/>
    <s v="Nina Horne Kelly"/>
    <s v="Regular Air"/>
    <s v="Small Business"/>
    <x v="0"/>
    <x v="15"/>
    <s v="Large Box"/>
    <s v="Euro Pro Shark Stick Mini Vacuum"/>
    <n v="0.59"/>
    <s v="United States"/>
    <s v="East"/>
    <s v="District of Columbia"/>
    <s v="Washington"/>
    <n v="20012"/>
    <d v="2015-04-04T00:00:00"/>
    <d v="2015-04-06T00:00:00"/>
    <n v="-662.52"/>
    <n v="34"/>
    <x v="956"/>
    <n v="3841"/>
    <n v="72064.36"/>
  </r>
  <r>
    <n v="1270.99"/>
    <n v="19.989999999999998"/>
    <n v="1733"/>
    <s v="Nina Horne Kelly"/>
    <s v="Regular Air"/>
    <s v="Small Business"/>
    <x v="0"/>
    <x v="8"/>
    <s v="Small Box"/>
    <s v="Fellowes PB500 Electric Punch Plastic Comb Binding Machine with Manual Bind"/>
    <n v="0.35"/>
    <s v="United States"/>
    <s v="East"/>
    <s v="District of Columbia"/>
    <s v="Washington"/>
    <n v="20012"/>
    <d v="2015-04-04T00:00:00"/>
    <d v="2015-04-06T00:00:00"/>
    <n v="9228.2255999999998"/>
    <n v="36"/>
    <x v="957"/>
    <n v="3841"/>
    <n v="1646543.8800000001"/>
  </r>
  <r>
    <n v="30.98"/>
    <n v="17.079999999999998"/>
    <n v="1733"/>
    <s v="Nina Horne Kelly"/>
    <s v="Regular Air"/>
    <s v="Small Business"/>
    <x v="0"/>
    <x v="7"/>
    <s v="Small Box"/>
    <s v="Xerox 197"/>
    <n v="0.4"/>
    <s v="United States"/>
    <s v="East"/>
    <s v="District of Columbia"/>
    <s v="Washington"/>
    <n v="20012"/>
    <d v="2015-06-28T00:00:00"/>
    <d v="2015-06-29T00:00:00"/>
    <n v="-32.28"/>
    <n v="13"/>
    <x v="958"/>
    <n v="59937"/>
    <n v="5697.25"/>
  </r>
  <r>
    <n v="60.98"/>
    <n v="49"/>
    <n v="1734"/>
    <s v="Christopher Meadows"/>
    <s v="Regular Air"/>
    <s v="Small Business"/>
    <x v="0"/>
    <x v="15"/>
    <s v="Large Box"/>
    <s v="Euro Pro Shark Stick Mini Vacuum"/>
    <n v="0.59"/>
    <s v="United States"/>
    <s v="East"/>
    <s v="New York"/>
    <s v="Harrison"/>
    <n v="10528"/>
    <d v="2015-04-04T00:00:00"/>
    <d v="2015-04-06T00:00:00"/>
    <n v="-596.26800000000003"/>
    <n v="9"/>
    <x v="959"/>
    <n v="88443"/>
    <n v="5049.5399999999991"/>
  </r>
  <r>
    <n v="1270.99"/>
    <n v="19.989999999999998"/>
    <n v="1734"/>
    <s v="Christopher Meadows"/>
    <s v="Regular Air"/>
    <s v="Small Business"/>
    <x v="0"/>
    <x v="8"/>
    <s v="Small Box"/>
    <s v="Fellowes PB500 Electric Punch Plastic Comb Binding Machine with Manual Bind"/>
    <n v="0.35"/>
    <s v="United States"/>
    <s v="East"/>
    <s v="New York"/>
    <s v="Harrison"/>
    <n v="10528"/>
    <d v="2015-04-04T00:00:00"/>
    <d v="2015-04-06T00:00:00"/>
    <n v="7889.6877000000004"/>
    <n v="9"/>
    <x v="960"/>
    <n v="88443"/>
    <n v="102908.97"/>
  </r>
  <r>
    <n v="205.99"/>
    <n v="8.99"/>
    <n v="1734"/>
    <s v="Christopher Meadows"/>
    <s v="Express Air"/>
    <s v="Small Business"/>
    <x v="2"/>
    <x v="5"/>
    <s v="Small Box"/>
    <s v="StarTAC 8000"/>
    <n v="0.6"/>
    <s v="United States"/>
    <s v="East"/>
    <s v="New York"/>
    <s v="Harrison"/>
    <n v="10528"/>
    <d v="2015-04-04T00:00:00"/>
    <d v="2015-04-06T00:00:00"/>
    <n v="1545.8097600000001"/>
    <n v="19"/>
    <x v="961"/>
    <n v="88443"/>
    <n v="61355.56"/>
  </r>
  <r>
    <n v="30.98"/>
    <n v="17.079999999999998"/>
    <n v="1735"/>
    <s v="Eric West"/>
    <s v="Regular Air"/>
    <s v="Small Business"/>
    <x v="0"/>
    <x v="7"/>
    <s v="Small Box"/>
    <s v="Xerox 197"/>
    <n v="0.4"/>
    <s v="United States"/>
    <s v="East"/>
    <s v="New York"/>
    <s v="Hempstead"/>
    <n v="11550"/>
    <d v="2015-06-28T00:00:00"/>
    <d v="2015-06-29T00:00:00"/>
    <n v="-16.14"/>
    <n v="3"/>
    <x v="962"/>
    <n v="88444"/>
    <n v="303.39"/>
  </r>
  <r>
    <n v="30.93"/>
    <n v="3.92"/>
    <n v="1737"/>
    <s v="Danielle Myers"/>
    <s v="Regular Air"/>
    <s v="Corporate"/>
    <x v="1"/>
    <x v="2"/>
    <s v="Small Pack"/>
    <s v="Advantus Employee of the Month Certificate Frame, 11 x 13-1/2"/>
    <n v="0.44"/>
    <s v="United States"/>
    <s v="South"/>
    <s v="North Carolina"/>
    <s v="Garner"/>
    <n v="27529"/>
    <d v="2015-06-03T00:00:00"/>
    <d v="2015-06-05T00:00:00"/>
    <n v="-130.42400000000001"/>
    <n v="16"/>
    <x v="963"/>
    <n v="85866"/>
    <n v="7229.28"/>
  </r>
  <r>
    <n v="1.68"/>
    <n v="0.7"/>
    <n v="1737"/>
    <s v="Danielle Myers"/>
    <s v="Express Air"/>
    <s v="Corporate"/>
    <x v="0"/>
    <x v="0"/>
    <s v="Wrap Bag"/>
    <s v="Newell 308"/>
    <n v="0.6"/>
    <s v="United States"/>
    <s v="South"/>
    <s v="North Carolina"/>
    <s v="Garner"/>
    <n v="27529"/>
    <d v="2015-06-03T00:00:00"/>
    <d v="2015-06-05T00:00:00"/>
    <n v="-106.42100000000001"/>
    <n v="11"/>
    <x v="964"/>
    <n v="85866"/>
    <n v="222.64"/>
  </r>
  <r>
    <n v="175.99"/>
    <n v="4.99"/>
    <n v="1738"/>
    <s v="Dean Solomon"/>
    <s v="Regular Air"/>
    <s v="Corporate"/>
    <x v="2"/>
    <x v="5"/>
    <s v="Small Box"/>
    <n v="5165"/>
    <n v="0.59"/>
    <s v="United States"/>
    <s v="South"/>
    <s v="North Carolina"/>
    <s v="Gastonia"/>
    <n v="28052"/>
    <d v="2015-03-28T00:00:00"/>
    <d v="2015-03-28T00:00:00"/>
    <n v="-16476.838"/>
    <n v="10"/>
    <x v="965"/>
    <n v="85865"/>
    <n v="14863.4"/>
  </r>
  <r>
    <n v="35.44"/>
    <n v="19.989999999999998"/>
    <n v="1738"/>
    <s v="Dean Solomon"/>
    <s v="Regular Air"/>
    <s v="Corporate"/>
    <x v="0"/>
    <x v="7"/>
    <s v="Small Box"/>
    <s v="Xerox 1880"/>
    <n v="0.38"/>
    <s v="United States"/>
    <s v="South"/>
    <s v="North Carolina"/>
    <s v="Gastonia"/>
    <n v="28052"/>
    <d v="2015-06-14T00:00:00"/>
    <d v="2015-06-21T00:00:00"/>
    <n v="-108.27249999999999"/>
    <n v="11"/>
    <x v="966"/>
    <n v="85868"/>
    <n v="4468.8599999999997"/>
  </r>
  <r>
    <n v="349.45"/>
    <n v="60"/>
    <n v="1739"/>
    <s v="Edna Pierce"/>
    <s v="Delivery Truck"/>
    <s v="Corporate"/>
    <x v="1"/>
    <x v="11"/>
    <s v="Jumbo Drum"/>
    <s v="SAFCO PlanMaster Heigh-Adjustable Drafting Table Base, 43w x 30d x 30-37h, Black"/>
    <m/>
    <s v="United States"/>
    <s v="South"/>
    <s v="North Carolina"/>
    <s v="Goldsboro"/>
    <n v="27534"/>
    <d v="2015-05-03T00:00:00"/>
    <d v="2015-05-04T00:00:00"/>
    <n v="-90.748000000000005"/>
    <n v="17"/>
    <x v="967"/>
    <n v="85867"/>
    <n v="99201.97"/>
  </r>
  <r>
    <n v="55.99"/>
    <n v="2.5"/>
    <n v="1743"/>
    <s v="Paige Jacobs"/>
    <s v="Regular Air"/>
    <s v="Consumer"/>
    <x v="2"/>
    <x v="5"/>
    <s v="Small Pack"/>
    <s v="Accessory28"/>
    <n v="0.83"/>
    <s v="United States"/>
    <s v="Central"/>
    <s v="Texas"/>
    <s v="Friendswood"/>
    <n v="77546"/>
    <d v="2015-02-12T00:00:00"/>
    <d v="2015-02-14T00:00:00"/>
    <n v="-121.05808"/>
    <n v="1"/>
    <x v="968"/>
    <n v="91025"/>
    <n v="52.1"/>
  </r>
  <r>
    <n v="4.13"/>
    <n v="6.89"/>
    <n v="1745"/>
    <s v="Herbert Holden"/>
    <s v="Regular Air"/>
    <s v="Home Office"/>
    <x v="0"/>
    <x v="9"/>
    <s v="Small Box"/>
    <s v="Avery 05222 Permanent Self-Adhesive File Folder Labels for Typewriters, on Rolls, White, 250/Roll"/>
    <n v="0.39"/>
    <s v="United States"/>
    <s v="South"/>
    <s v="Georgia"/>
    <s v="Atlanta"/>
    <n v="30305"/>
    <d v="2015-01-09T00:00:00"/>
    <d v="2015-01-10T00:00:00"/>
    <n v="-51.737000000000002"/>
    <n v="9"/>
    <x v="969"/>
    <n v="18561"/>
    <n v="412.83"/>
  </r>
  <r>
    <n v="60.65"/>
    <n v="12.23"/>
    <n v="1745"/>
    <s v="Herbert Holden"/>
    <s v="Regular Air"/>
    <s v="Home Office"/>
    <x v="1"/>
    <x v="2"/>
    <s v="Medium Box"/>
    <s v="Tenex Traditional Chairmats for Medium Pile Carpet, Standard Lip, 36&quot; x 48&quot;"/>
    <n v="0.64"/>
    <s v="United States"/>
    <s v="South"/>
    <s v="Georgia"/>
    <s v="Atlanta"/>
    <n v="30305"/>
    <d v="2015-02-14T00:00:00"/>
    <d v="2015-02-16T00:00:00"/>
    <n v="116.5063"/>
    <n v="4"/>
    <x v="970"/>
    <n v="13408"/>
    <n v="1027.08"/>
  </r>
  <r>
    <n v="124.49"/>
    <n v="51.94"/>
    <n v="1745"/>
    <s v="Herbert Holden"/>
    <s v="Delivery Truck"/>
    <s v="Consumer"/>
    <x v="1"/>
    <x v="11"/>
    <s v="Jumbo Box"/>
    <s v="Bevis 36 x 72 Conference Tables"/>
    <n v="0.63"/>
    <s v="United States"/>
    <s v="South"/>
    <s v="Georgia"/>
    <s v="Atlanta"/>
    <n v="30305"/>
    <d v="2015-06-12T00:00:00"/>
    <d v="2015-06-14T00:00:00"/>
    <n v="-247.55157"/>
    <n v="4"/>
    <x v="971"/>
    <n v="12224"/>
    <n v="2423.2800000000002"/>
  </r>
  <r>
    <n v="35.99"/>
    <n v="5"/>
    <n v="1745"/>
    <s v="Herbert Holden"/>
    <s v="Regular Air"/>
    <s v="Consumer"/>
    <x v="2"/>
    <x v="5"/>
    <s v="Wrap Bag"/>
    <s v="Accessory17"/>
    <n v="0.82"/>
    <s v="United States"/>
    <s v="South"/>
    <s v="Georgia"/>
    <s v="Atlanta"/>
    <n v="30305"/>
    <d v="2015-06-12T00:00:00"/>
    <d v="2015-06-12T00:00:00"/>
    <n v="-277.20924000000002"/>
    <n v="54"/>
    <x v="972"/>
    <n v="12224"/>
    <n v="84726"/>
  </r>
  <r>
    <n v="124.49"/>
    <n v="51.94"/>
    <n v="1748"/>
    <s v="Helen Simpson"/>
    <s v="Delivery Truck"/>
    <s v="Consumer"/>
    <x v="1"/>
    <x v="11"/>
    <s v="Jumbo Box"/>
    <s v="Bevis 36 x 72 Conference Tables"/>
    <n v="0.63"/>
    <s v="United States"/>
    <s v="Central"/>
    <s v="Oklahoma"/>
    <s v="Enid"/>
    <n v="73703"/>
    <d v="2015-06-12T00:00:00"/>
    <d v="2015-06-14T00:00:00"/>
    <n v="-93.064499999999995"/>
    <n v="1"/>
    <x v="973"/>
    <n v="87245"/>
    <n v="151.46"/>
  </r>
  <r>
    <n v="4.13"/>
    <n v="6.89"/>
    <n v="1749"/>
    <s v="Sherri P Stephens"/>
    <s v="Regular Air"/>
    <s v="Home Office"/>
    <x v="0"/>
    <x v="9"/>
    <s v="Small Box"/>
    <s v="Avery 05222 Permanent Self-Adhesive File Folder Labels for Typewriters, on Rolls, White, 250/Roll"/>
    <n v="0.39"/>
    <s v="United States"/>
    <s v="Central"/>
    <s v="Oklahoma"/>
    <s v="Lawton"/>
    <n v="73505"/>
    <d v="2015-01-09T00:00:00"/>
    <d v="2015-01-10T00:00:00"/>
    <n v="-48.235999999999997"/>
    <n v="2"/>
    <x v="974"/>
    <n v="87243"/>
    <n v="20.38"/>
  </r>
  <r>
    <n v="60.65"/>
    <n v="12.23"/>
    <n v="1749"/>
    <s v="Sherri P Stephens"/>
    <s v="Regular Air"/>
    <s v="Home Office"/>
    <x v="1"/>
    <x v="2"/>
    <s v="Medium Box"/>
    <s v="Tenex Traditional Chairmats for Medium Pile Carpet, Standard Lip, 36&quot; x 48&quot;"/>
    <n v="0.64"/>
    <s v="United States"/>
    <s v="Central"/>
    <s v="Oklahoma"/>
    <s v="Lawton"/>
    <n v="73505"/>
    <d v="2015-02-14T00:00:00"/>
    <d v="2015-02-16T00:00:00"/>
    <n v="44.2911"/>
    <n v="1"/>
    <x v="975"/>
    <n v="87244"/>
    <n v="64.19"/>
  </r>
  <r>
    <n v="8.5"/>
    <n v="1.99"/>
    <n v="1754"/>
    <s v="Nelson Hong"/>
    <s v="Regular Air"/>
    <s v="Consumer"/>
    <x v="2"/>
    <x v="13"/>
    <s v="Small Pack"/>
    <s v="Hewlett-Packard 4.7GB DVD+R Discs"/>
    <n v="0.49"/>
    <s v="United States"/>
    <s v="West"/>
    <s v="California"/>
    <s v="Torrance"/>
    <n v="90503"/>
    <d v="2015-02-27T00:00:00"/>
    <d v="2015-02-28T00:00:00"/>
    <n v="43.275199999999998"/>
    <n v="14"/>
    <x v="976"/>
    <n v="90178"/>
    <n v="1659.98"/>
  </r>
  <r>
    <n v="15.99"/>
    <n v="9.4"/>
    <n v="1754"/>
    <s v="Nelson Hong"/>
    <s v="Regular Air"/>
    <s v="Consumer"/>
    <x v="2"/>
    <x v="6"/>
    <s v="Small Box"/>
    <s v="AT&amp;T Black Trimline Phone, Model 210"/>
    <n v="0.49"/>
    <s v="United States"/>
    <s v="West"/>
    <s v="California"/>
    <s v="Torrance"/>
    <n v="90503"/>
    <d v="2015-02-27T00:00:00"/>
    <d v="2015-02-27T00:00:00"/>
    <n v="-36.214619999999996"/>
    <n v="5"/>
    <x v="977"/>
    <n v="90178"/>
    <n v="397.35"/>
  </r>
  <r>
    <n v="95.99"/>
    <n v="8.99"/>
    <n v="1754"/>
    <s v="Nelson Hong"/>
    <s v="Regular Air"/>
    <s v="Consumer"/>
    <x v="2"/>
    <x v="5"/>
    <s v="Small Box"/>
    <s v="600 Series Flip"/>
    <n v="0.56999999999999995"/>
    <s v="United States"/>
    <s v="West"/>
    <s v="California"/>
    <s v="Torrance"/>
    <n v="90503"/>
    <d v="2015-02-27T00:00:00"/>
    <d v="2015-03-03T00:00:00"/>
    <n v="7.0329600000000001"/>
    <n v="8"/>
    <x v="978"/>
    <n v="90178"/>
    <n v="5018.24"/>
  </r>
  <r>
    <n v="115.99"/>
    <n v="5.92"/>
    <n v="1764"/>
    <s v="Michele Bradshaw"/>
    <s v="Regular Air"/>
    <s v="Consumer"/>
    <x v="2"/>
    <x v="5"/>
    <s v="Small Box"/>
    <n v="8890"/>
    <n v="0.57999999999999996"/>
    <s v="United States"/>
    <s v="South"/>
    <s v="Florida"/>
    <s v="Dunedin"/>
    <n v="34698"/>
    <d v="2015-01-22T00:00:00"/>
    <d v="2015-01-22T00:00:00"/>
    <n v="-16.771999999999998"/>
    <n v="11"/>
    <x v="979"/>
    <n v="89775"/>
    <n v="12764.62"/>
  </r>
  <r>
    <n v="19.98"/>
    <n v="10.49"/>
    <n v="1764"/>
    <s v="Michele Bradshaw"/>
    <s v="Regular Air"/>
    <s v="Consumer"/>
    <x v="1"/>
    <x v="2"/>
    <s v="Small Box"/>
    <s v="12-1/2 Diameter Round Wall Clock"/>
    <n v="0.49"/>
    <s v="United States"/>
    <s v="South"/>
    <s v="Florida"/>
    <s v="Dunedin"/>
    <n v="34698"/>
    <d v="2015-03-01T00:00:00"/>
    <d v="2015-03-03T00:00:00"/>
    <n v="514.17719999999997"/>
    <n v="5"/>
    <x v="980"/>
    <n v="89776"/>
    <n v="516.85"/>
  </r>
  <r>
    <n v="1.76"/>
    <n v="4.8600000000000003"/>
    <n v="1764"/>
    <s v="Michele Bradshaw"/>
    <s v="Regular Air"/>
    <s v="Consumer"/>
    <x v="1"/>
    <x v="2"/>
    <s v="Small Box"/>
    <s v="Regeneration Desk Collection"/>
    <n v="0.41"/>
    <s v="United States"/>
    <s v="South"/>
    <s v="Florida"/>
    <s v="Dunedin"/>
    <n v="34698"/>
    <d v="2015-03-01T00:00:00"/>
    <d v="2015-03-02T00:00:00"/>
    <n v="235.65600000000001"/>
    <n v="23"/>
    <x v="981"/>
    <n v="89776"/>
    <n v="925.06"/>
  </r>
  <r>
    <n v="5.77"/>
    <n v="4.97"/>
    <n v="1765"/>
    <s v="Ralph Woods Scott"/>
    <s v="Regular Air"/>
    <s v="Consumer"/>
    <x v="0"/>
    <x v="8"/>
    <s v="Small Box"/>
    <s v="Avery Binding System Hidden Tab™ Executive Style Index Sets"/>
    <n v="0.35"/>
    <s v="United States"/>
    <s v="Central"/>
    <s v="Missouri"/>
    <s v="Creve Coeur"/>
    <n v="63141"/>
    <d v="2015-05-04T00:00:00"/>
    <d v="2015-05-05T00:00:00"/>
    <n v="3.5581"/>
    <n v="8"/>
    <x v="982"/>
    <n v="89777"/>
    <n v="419.44"/>
  </r>
  <r>
    <n v="50.98"/>
    <n v="6.5"/>
    <n v="1767"/>
    <s v="Robert Rollins"/>
    <s v="Regular Air"/>
    <s v="Home Office"/>
    <x v="2"/>
    <x v="13"/>
    <s v="Small Box"/>
    <s v="Microsoft Natural Multimedia Keyboard"/>
    <n v="0.73"/>
    <s v="United States"/>
    <s v="South"/>
    <s v="Georgia"/>
    <s v="Newnan"/>
    <n v="30265"/>
    <d v="2015-03-26T00:00:00"/>
    <d v="2015-03-27T00:00:00"/>
    <n v="5.3396999999999997"/>
    <n v="16"/>
    <x v="983"/>
    <n v="89211"/>
    <n v="13095.84"/>
  </r>
  <r>
    <n v="60.98"/>
    <n v="49"/>
    <n v="1771"/>
    <s v="Jeff Spivey"/>
    <s v="Regular Air"/>
    <s v="Home Office"/>
    <x v="0"/>
    <x v="15"/>
    <s v="Large Box"/>
    <s v="Euro Pro Shark Stick Mini Vacuum"/>
    <n v="0.59"/>
    <s v="United States"/>
    <s v="Central"/>
    <s v="Illinois"/>
    <s v="Freeport"/>
    <n v="61032"/>
    <d v="2015-03-06T00:00:00"/>
    <d v="2015-03-07T00:00:00"/>
    <n v="-807.89"/>
    <n v="7"/>
    <x v="984"/>
    <n v="89106"/>
    <n v="2871.19"/>
  </r>
  <r>
    <n v="12.95"/>
    <n v="4.9800000000000004"/>
    <n v="1775"/>
    <s v="Marlene Kirk"/>
    <s v="Regular Air"/>
    <s v="Consumer"/>
    <x v="0"/>
    <x v="8"/>
    <s v="Small Box"/>
    <s v="GBC Binding covers"/>
    <n v="0.4"/>
    <s v="United States"/>
    <s v="Central"/>
    <s v="Indiana"/>
    <s v="South Bend"/>
    <n v="46614"/>
    <d v="2015-06-14T00:00:00"/>
    <d v="2015-06-21T00:00:00"/>
    <n v="123.89175"/>
    <n v="21"/>
    <x v="985"/>
    <n v="89944"/>
    <n v="5660.34"/>
  </r>
  <r>
    <n v="5.78"/>
    <n v="5.67"/>
    <n v="1776"/>
    <s v="Charlotte Patterson"/>
    <s v="Regular Air"/>
    <s v="Consumer"/>
    <x v="0"/>
    <x v="7"/>
    <s v="Small Box"/>
    <s v="Xerox 1978"/>
    <n v="0.36"/>
    <s v="United States"/>
    <s v="Central"/>
    <s v="Indiana"/>
    <s v="Terre Haute"/>
    <n v="47802"/>
    <d v="2015-02-04T00:00:00"/>
    <d v="2015-02-05T00:00:00"/>
    <n v="-53.898000000000003"/>
    <n v="19"/>
    <x v="986"/>
    <n v="89941"/>
    <n v="2024.83"/>
  </r>
  <r>
    <n v="5.43"/>
    <n v="0.95"/>
    <n v="1777"/>
    <s v="Miriam Greenberg"/>
    <s v="Regular Air"/>
    <s v="Consumer"/>
    <x v="0"/>
    <x v="7"/>
    <s v="Wrap Bag"/>
    <s v="Wirebound Message Book, 4 per Page"/>
    <n v="0.36"/>
    <s v="United States"/>
    <s v="Central"/>
    <s v="Indiana"/>
    <s v="Valparaiso"/>
    <n v="46383"/>
    <d v="2015-04-22T00:00:00"/>
    <d v="2015-04-26T00:00:00"/>
    <n v="26.5029"/>
    <n v="7"/>
    <x v="987"/>
    <n v="89939"/>
    <n v="268.87"/>
  </r>
  <r>
    <n v="10.06"/>
    <n v="2.06"/>
    <n v="1777"/>
    <s v="Miriam Greenberg"/>
    <s v="Regular Air"/>
    <s v="Consumer"/>
    <x v="0"/>
    <x v="7"/>
    <s v="Wrap Bag"/>
    <s v="Riverleaf Stik-Withit® Designer Note Cubes®"/>
    <n v="0.39"/>
    <s v="United States"/>
    <s v="Central"/>
    <s v="Indiana"/>
    <s v="Valparaiso"/>
    <n v="46383"/>
    <d v="2015-01-03T00:00:00"/>
    <d v="2015-01-08T00:00:00"/>
    <n v="90.624600000000001"/>
    <n v="13"/>
    <x v="988"/>
    <n v="89940"/>
    <n v="1707.42"/>
  </r>
  <r>
    <n v="19.989999999999998"/>
    <n v="11.17"/>
    <n v="1777"/>
    <s v="Miriam Greenberg"/>
    <s v="Regular Air"/>
    <s v="Corporate"/>
    <x v="1"/>
    <x v="2"/>
    <s v="Large Box"/>
    <s v="Telescoping Adjustable Floor Lamp"/>
    <n v="0.6"/>
    <s v="United States"/>
    <s v="Central"/>
    <s v="Indiana"/>
    <s v="Valparaiso"/>
    <n v="46383"/>
    <d v="2015-04-02T00:00:00"/>
    <d v="2015-04-03T00:00:00"/>
    <n v="-20.8764"/>
    <n v="12"/>
    <x v="989"/>
    <n v="89942"/>
    <n v="3019.32"/>
  </r>
  <r>
    <n v="13.99"/>
    <n v="7.51"/>
    <n v="1778"/>
    <s v="Ray Oakley"/>
    <s v="Regular Air"/>
    <s v="Consumer"/>
    <x v="2"/>
    <x v="6"/>
    <s v="Medium Box"/>
    <s v="Sharp EL500L Fraction Calculator"/>
    <n v="0.39"/>
    <s v="United States"/>
    <s v="Central"/>
    <s v="Indiana"/>
    <s v="West Lafayette"/>
    <n v="47906"/>
    <d v="2015-05-10T00:00:00"/>
    <d v="2015-05-12T00:00:00"/>
    <n v="6.4832400000000003"/>
    <n v="21"/>
    <x v="990"/>
    <n v="89943"/>
    <n v="6047.79"/>
  </r>
  <r>
    <n v="15.04"/>
    <n v="1.97"/>
    <n v="1778"/>
    <s v="Ray Oakley"/>
    <s v="Regular Air"/>
    <s v="Consumer"/>
    <x v="0"/>
    <x v="7"/>
    <s v="Wrap Bag"/>
    <s v="White GlueTop Scratch Pads"/>
    <n v="0.39"/>
    <s v="United States"/>
    <s v="Central"/>
    <s v="Indiana"/>
    <s v="West Lafayette"/>
    <n v="47906"/>
    <d v="2015-05-10T00:00:00"/>
    <d v="2015-05-10T00:00:00"/>
    <n v="2.3319999999999999"/>
    <n v="3"/>
    <x v="991"/>
    <n v="89943"/>
    <n v="140.57999999999998"/>
  </r>
  <r>
    <n v="55.48"/>
    <n v="14.3"/>
    <n v="1781"/>
    <s v="Jackie Capps"/>
    <s v="Regular Air"/>
    <s v="Corporate"/>
    <x v="0"/>
    <x v="7"/>
    <s v="Small Box"/>
    <s v="Xerox 194"/>
    <n v="0.37"/>
    <s v="United States"/>
    <s v="West"/>
    <s v="California"/>
    <s v="San Carlos"/>
    <n v="94070"/>
    <d v="2015-06-12T00:00:00"/>
    <d v="2015-06-14T00:00:00"/>
    <n v="454.44779999999997"/>
    <n v="11"/>
    <x v="992"/>
    <n v="89857"/>
    <n v="7244.82"/>
  </r>
  <r>
    <n v="5.08"/>
    <n v="2.0299999999999998"/>
    <n v="1781"/>
    <s v="Jackie Capps"/>
    <s v="Regular Air"/>
    <s v="Home Office"/>
    <x v="1"/>
    <x v="2"/>
    <s v="Wrap Bag"/>
    <s v="Master Caster Door Stop, Brown"/>
    <n v="0.51"/>
    <s v="United States"/>
    <s v="West"/>
    <s v="California"/>
    <s v="San Carlos"/>
    <n v="94070"/>
    <d v="2015-01-07T00:00:00"/>
    <d v="2015-01-12T00:00:00"/>
    <n v="15.1524"/>
    <n v="4"/>
    <x v="993"/>
    <n v="89858"/>
    <n v="87.84"/>
  </r>
  <r>
    <n v="3.28"/>
    <n v="3.97"/>
    <n v="1782"/>
    <s v="Lawrence Dennis"/>
    <s v="Regular Air"/>
    <s v="Home Office"/>
    <x v="0"/>
    <x v="0"/>
    <s v="Wrap Bag"/>
    <s v="Newell 342"/>
    <n v="0.56000000000000005"/>
    <s v="United States"/>
    <s v="West"/>
    <s v="California"/>
    <s v="San Clemente"/>
    <n v="92672"/>
    <d v="2015-01-06T00:00:00"/>
    <d v="2015-01-08T00:00:00"/>
    <n v="-90.755600000000001"/>
    <n v="7"/>
    <x v="994"/>
    <n v="89856"/>
    <n v="171.99"/>
  </r>
  <r>
    <n v="205.99"/>
    <n v="8.99"/>
    <n v="1788"/>
    <s v="Valerie Siegel"/>
    <s v="Regular Air"/>
    <s v="Consumer"/>
    <x v="2"/>
    <x v="5"/>
    <s v="Small Box"/>
    <s v="TimeportP7382"/>
    <n v="0.56000000000000005"/>
    <s v="United States"/>
    <s v="South"/>
    <s v="Georgia"/>
    <s v="Woodstock"/>
    <n v="30188"/>
    <d v="2015-01-21T00:00:00"/>
    <d v="2015-01-22T00:00:00"/>
    <n v="960.98400000000004"/>
    <n v="6"/>
    <x v="995"/>
    <n v="88256"/>
    <n v="6051.18"/>
  </r>
  <r>
    <n v="880.98"/>
    <n v="44.55"/>
    <n v="1793"/>
    <s v="Derek Jernigan"/>
    <s v="Delivery Truck"/>
    <s v="Home Office"/>
    <x v="1"/>
    <x v="14"/>
    <s v="Jumbo Box"/>
    <s v="Riverside Palais Royal Lawyers Bookcase, Royale Cherry Finish"/>
    <n v="0.62"/>
    <s v="United States"/>
    <s v="Central"/>
    <s v="Illinois"/>
    <s v="Galesburg"/>
    <n v="61401"/>
    <d v="2015-01-06T00:00:00"/>
    <d v="2015-01-07T00:00:00"/>
    <n v="-13706.464"/>
    <n v="8"/>
    <x v="996"/>
    <n v="87853"/>
    <n v="55751.199999999997"/>
  </r>
  <r>
    <n v="3.68"/>
    <n v="1.32"/>
    <n v="1802"/>
    <s v="Jack Morse"/>
    <s v="Regular Air"/>
    <s v="Corporate"/>
    <x v="0"/>
    <x v="12"/>
    <s v="Wrap Bag"/>
    <s v="*Staples* vLetter Openers, 2/Pack"/>
    <n v="0.83"/>
    <s v="United States"/>
    <s v="South"/>
    <s v="Florida"/>
    <s v="Dunedin"/>
    <n v="34698"/>
    <d v="2015-06-01T00:00:00"/>
    <d v="2015-06-02T00:00:00"/>
    <n v="300.92579999999998"/>
    <n v="11"/>
    <x v="997"/>
    <n v="91543"/>
    <n v="454.19"/>
  </r>
  <r>
    <n v="8.1199999999999992"/>
    <n v="2.83"/>
    <n v="1808"/>
    <s v="Joyce Knox"/>
    <s v="Express Air"/>
    <s v="Home Office"/>
    <x v="2"/>
    <x v="13"/>
    <s v="Small Pack"/>
    <s v="Imation Neon Mac Format Diskettes, 10/Pack"/>
    <n v="0.77"/>
    <s v="United States"/>
    <s v="East"/>
    <s v="West Virginia"/>
    <s v="Parkersburg"/>
    <n v="26101"/>
    <d v="2015-03-17T00:00:00"/>
    <d v="2015-03-18T00:00:00"/>
    <n v="-40.76"/>
    <n v="10"/>
    <x v="998"/>
    <n v="89251"/>
    <n v="886.4"/>
  </r>
  <r>
    <n v="77.510000000000005"/>
    <n v="4"/>
    <n v="1814"/>
    <s v="Albert Tyson"/>
    <s v="Express Air"/>
    <s v="Home Office"/>
    <x v="2"/>
    <x v="13"/>
    <s v="Small Box"/>
    <s v="Micro Innovations Media Access Pro Keyboard"/>
    <n v="0.76"/>
    <s v="United States"/>
    <s v="South"/>
    <s v="Mississippi"/>
    <s v="Olive Branch"/>
    <n v="38654"/>
    <d v="2015-05-23T00:00:00"/>
    <d v="2015-05-25T00:00:00"/>
    <n v="-986.524"/>
    <n v="17"/>
    <x v="999"/>
    <n v="90524"/>
    <n v="22109.18"/>
  </r>
  <r>
    <n v="2.88"/>
    <n v="0.7"/>
    <n v="1814"/>
    <s v="Albert Tyson"/>
    <s v="Regular Air"/>
    <s v="Home Office"/>
    <x v="0"/>
    <x v="0"/>
    <s v="Wrap Bag"/>
    <s v="Newell 340"/>
    <n v="0.56000000000000005"/>
    <s v="United States"/>
    <s v="South"/>
    <s v="Mississippi"/>
    <s v="Olive Branch"/>
    <n v="38654"/>
    <d v="2015-05-23T00:00:00"/>
    <d v="2015-05-25T00:00:00"/>
    <n v="-141.666"/>
    <n v="13"/>
    <x v="1000"/>
    <n v="90524"/>
    <n v="494.78000000000003"/>
  </r>
  <r>
    <n v="90.97"/>
    <n v="14"/>
    <n v="1815"/>
    <s v="Marvin Yang"/>
    <s v="Delivery Truck"/>
    <s v="Home Office"/>
    <x v="2"/>
    <x v="6"/>
    <s v="Jumbo Drum"/>
    <s v="Lexmark Z54se Color Inkjet Printer"/>
    <n v="0.36"/>
    <s v="United States"/>
    <s v="South"/>
    <s v="Mississippi"/>
    <s v="Pearl"/>
    <n v="39208"/>
    <d v="2015-02-11T00:00:00"/>
    <d v="2015-02-12T00:00:00"/>
    <n v="47.334000000000003"/>
    <n v="14"/>
    <x v="1001"/>
    <n v="90525"/>
    <n v="17686.899999999998"/>
  </r>
  <r>
    <n v="10.48"/>
    <n v="2.89"/>
    <n v="1816"/>
    <s v="Danielle Schneider"/>
    <s v="Regular Air"/>
    <s v="Consumer"/>
    <x v="0"/>
    <x v="0"/>
    <s v="Small Pack"/>
    <s v="Staples Battery-Operated Desktop Pencil Sharpener"/>
    <n v="0.6"/>
    <s v="United States"/>
    <s v="Central"/>
    <s v="Michigan"/>
    <s v="Canton"/>
    <n v="48187"/>
    <d v="2015-02-05T00:00:00"/>
    <d v="2015-02-07T00:00:00"/>
    <n v="60.561599999999999"/>
    <n v="19"/>
    <x v="1002"/>
    <n v="85990"/>
    <n v="3845.22"/>
  </r>
  <r>
    <n v="17.98"/>
    <n v="8.51"/>
    <n v="1818"/>
    <s v="Ian Hall"/>
    <s v="Regular Air"/>
    <s v="Consumer"/>
    <x v="2"/>
    <x v="6"/>
    <s v="Medium Box"/>
    <s v="Canon P1-DHIII Palm Printing Calculator"/>
    <n v="0.4"/>
    <s v="United States"/>
    <s v="Central"/>
    <s v="Michigan"/>
    <s v="Dearborn"/>
    <n v="48126"/>
    <d v="2015-04-15T00:00:00"/>
    <d v="2015-04-17T00:00:00"/>
    <n v="-47.243088"/>
    <n v="3"/>
    <x v="1003"/>
    <n v="85991"/>
    <n v="169.14000000000001"/>
  </r>
  <r>
    <n v="9.99"/>
    <n v="4.78"/>
    <n v="1818"/>
    <s v="Ian Hall"/>
    <s v="Express Air"/>
    <s v="Consumer"/>
    <x v="0"/>
    <x v="7"/>
    <s v="Small Box"/>
    <s v="Xerox 1896"/>
    <n v="0.4"/>
    <s v="United States"/>
    <s v="Central"/>
    <s v="Michigan"/>
    <s v="Dearborn"/>
    <n v="48126"/>
    <d v="2015-04-15T00:00:00"/>
    <d v="2015-04-18T00:00:00"/>
    <n v="9.1539999999999999"/>
    <n v="12"/>
    <x v="1004"/>
    <n v="85991"/>
    <n v="1429.56"/>
  </r>
  <r>
    <n v="10.48"/>
    <n v="2.89"/>
    <n v="1821"/>
    <s v="Vanessa Boyer"/>
    <s v="Regular Air"/>
    <s v="Consumer"/>
    <x v="0"/>
    <x v="0"/>
    <s v="Small Pack"/>
    <s v="Staples Battery-Operated Desktop Pencil Sharpener"/>
    <n v="0.6"/>
    <s v="United States"/>
    <s v="East"/>
    <s v="New York"/>
    <s v="New York City"/>
    <n v="10177"/>
    <d v="2015-02-05T00:00:00"/>
    <d v="2015-02-07T00:00:00"/>
    <n v="40.92"/>
    <n v="76"/>
    <x v="1005"/>
    <n v="34435"/>
    <n v="61522.76"/>
  </r>
  <r>
    <n v="18.649999999999999"/>
    <n v="3.77"/>
    <n v="1821"/>
    <s v="Vanessa Boyer"/>
    <s v="Regular Air"/>
    <s v="Consumer"/>
    <x v="1"/>
    <x v="2"/>
    <s v="Small Pack"/>
    <s v="3M Polarizing Light Filter Sleeves"/>
    <n v="0.39"/>
    <s v="United States"/>
    <s v="East"/>
    <s v="New York"/>
    <s v="New York City"/>
    <n v="10177"/>
    <d v="2015-04-15T00:00:00"/>
    <d v="2015-04-16T00:00:00"/>
    <n v="149.72"/>
    <n v="34"/>
    <x v="1006"/>
    <n v="47108"/>
    <n v="21883.759999999998"/>
  </r>
  <r>
    <n v="17.98"/>
    <n v="8.51"/>
    <n v="1821"/>
    <s v="Vanessa Boyer"/>
    <s v="Regular Air"/>
    <s v="Consumer"/>
    <x v="2"/>
    <x v="6"/>
    <s v="Medium Box"/>
    <s v="Canon P1-DHIII Palm Printing Calculator"/>
    <n v="0.4"/>
    <s v="United States"/>
    <s v="East"/>
    <s v="New York"/>
    <s v="New York City"/>
    <n v="10177"/>
    <d v="2015-04-15T00:00:00"/>
    <d v="2015-04-17T00:00:00"/>
    <n v="-52.492319999999999"/>
    <n v="13"/>
    <x v="1007"/>
    <n v="47108"/>
    <n v="3176.03"/>
  </r>
  <r>
    <n v="9.99"/>
    <n v="4.78"/>
    <n v="1821"/>
    <s v="Vanessa Boyer"/>
    <s v="Express Air"/>
    <s v="Consumer"/>
    <x v="0"/>
    <x v="7"/>
    <s v="Small Box"/>
    <s v="Xerox 1896"/>
    <n v="0.4"/>
    <s v="United States"/>
    <s v="East"/>
    <s v="New York"/>
    <s v="New York City"/>
    <n v="10177"/>
    <d v="2015-04-15T00:00:00"/>
    <d v="2015-04-18T00:00:00"/>
    <n v="7.96"/>
    <n v="47"/>
    <x v="1008"/>
    <n v="47108"/>
    <n v="21929.26"/>
  </r>
  <r>
    <n v="175.99"/>
    <n v="8.99"/>
    <n v="1821"/>
    <s v="Vanessa Boyer"/>
    <s v="Express Air"/>
    <s v="Consumer"/>
    <x v="2"/>
    <x v="5"/>
    <s v="Small Box"/>
    <n v="2180"/>
    <n v="0.56999999999999995"/>
    <s v="United States"/>
    <s v="East"/>
    <s v="New York"/>
    <s v="New York City"/>
    <n v="10177"/>
    <d v="2015-04-15T00:00:00"/>
    <d v="2015-04-16T00:00:00"/>
    <n v="-459.08280000000002"/>
    <n v="16"/>
    <x v="1009"/>
    <n v="47108"/>
    <n v="36651.040000000001"/>
  </r>
  <r>
    <n v="52.99"/>
    <n v="19.989999999999998"/>
    <n v="1826"/>
    <s v="Kate Peck"/>
    <s v="Express Air"/>
    <s v="Corporate"/>
    <x v="0"/>
    <x v="10"/>
    <s v="Small Box"/>
    <s v="Gould Plastics 9-Pocket Panel Bin, 18-3/8w x 5-1/4d x 20-1/2h, Black"/>
    <n v="0.81"/>
    <s v="United States"/>
    <s v="Central"/>
    <s v="Iowa"/>
    <s v="Bettendorf"/>
    <n v="52722"/>
    <d v="2015-04-18T00:00:00"/>
    <d v="2015-04-19T00:00:00"/>
    <n v="-517.16999999999996"/>
    <n v="7"/>
    <x v="1010"/>
    <n v="86958"/>
    <n v="2363.1299999999997"/>
  </r>
  <r>
    <n v="9.27"/>
    <n v="4.3899999999999997"/>
    <n v="1826"/>
    <s v="Kate Peck"/>
    <s v="Regular Air"/>
    <s v="Corporate"/>
    <x v="0"/>
    <x v="7"/>
    <s v="Wrap Bag"/>
    <s v="Wirebound Message Books, Four 2 3/4&quot; x 5&quot; Forms per Page, 600 Sets per Book"/>
    <n v="0.38"/>
    <s v="United States"/>
    <s v="Central"/>
    <s v="Iowa"/>
    <s v="Bettendorf"/>
    <n v="52722"/>
    <d v="2015-05-12T00:00:00"/>
    <d v="2015-05-14T00:00:00"/>
    <n v="-7.61"/>
    <n v="1"/>
    <x v="1011"/>
    <n v="86959"/>
    <n v="10.65"/>
  </r>
  <r>
    <n v="5.98"/>
    <n v="0.96"/>
    <n v="1827"/>
    <s v="Vincent Hale"/>
    <s v="Regular Air"/>
    <s v="Corporate"/>
    <x v="0"/>
    <x v="0"/>
    <s v="Wrap Bag"/>
    <s v="Newell 315"/>
    <n v="0.6"/>
    <s v="United States"/>
    <s v="Central"/>
    <s v="Iowa"/>
    <s v="Burlington"/>
    <n v="52601"/>
    <d v="2015-02-19T00:00:00"/>
    <d v="2015-02-20T00:00:00"/>
    <n v="38.039700000000003"/>
    <n v="9"/>
    <x v="1012"/>
    <n v="86956"/>
    <n v="496.17"/>
  </r>
  <r>
    <n v="100.98"/>
    <n v="57.38"/>
    <n v="1827"/>
    <s v="Vincent Hale"/>
    <s v="Delivery Truck"/>
    <s v="Corporate"/>
    <x v="1"/>
    <x v="14"/>
    <s v="Jumbo Box"/>
    <s v="Bush Westfield Collection Bookcases, Dark Cherry Finish, Fully Assembled"/>
    <n v="0.78"/>
    <s v="United States"/>
    <s v="Central"/>
    <s v="Iowa"/>
    <s v="Burlington"/>
    <n v="52601"/>
    <d v="2015-04-18T00:00:00"/>
    <d v="2015-04-21T00:00:00"/>
    <n v="-429.86"/>
    <n v="2"/>
    <x v="1013"/>
    <n v="86958"/>
    <n v="430.64"/>
  </r>
  <r>
    <n v="85.99"/>
    <n v="0.99"/>
    <n v="1827"/>
    <s v="Vincent Hale"/>
    <s v="Regular Air"/>
    <s v="Corporate"/>
    <x v="2"/>
    <x v="5"/>
    <s v="Wrap Bag"/>
    <s v="Accessory34"/>
    <n v="0.55000000000000004"/>
    <s v="United States"/>
    <s v="Central"/>
    <s v="Iowa"/>
    <s v="Burlington"/>
    <n v="52601"/>
    <d v="2015-04-18T00:00:00"/>
    <d v="2015-04-20T00:00:00"/>
    <n v="264.16649999999998"/>
    <n v="5"/>
    <x v="1014"/>
    <n v="86958"/>
    <n v="1914.25"/>
  </r>
  <r>
    <n v="5.98"/>
    <n v="5.46"/>
    <n v="1828"/>
    <s v="Stacey Lucas"/>
    <s v="Regular Air"/>
    <s v="Corporate"/>
    <x v="0"/>
    <x v="7"/>
    <s v="Small Box"/>
    <s v="Xerox 1983"/>
    <n v="0.36"/>
    <s v="United States"/>
    <s v="Central"/>
    <s v="Iowa"/>
    <s v="Cedar Falls"/>
    <n v="50613"/>
    <d v="2015-02-19T00:00:00"/>
    <d v="2015-02-20T00:00:00"/>
    <n v="-47.12"/>
    <n v="7"/>
    <x v="1015"/>
    <n v="86956"/>
    <n v="313.59999999999997"/>
  </r>
  <r>
    <n v="7.1"/>
    <n v="6.05"/>
    <n v="1828"/>
    <s v="Stacey Lucas"/>
    <s v="Regular Air"/>
    <s v="Corporate"/>
    <x v="0"/>
    <x v="8"/>
    <s v="Small Box"/>
    <s v="Wilson Jones Hanging View Binder, White, 1&quot;"/>
    <n v="0.39"/>
    <s v="United States"/>
    <s v="Central"/>
    <s v="Iowa"/>
    <s v="Cedar Falls"/>
    <n v="50613"/>
    <d v="2015-01-06T00:00:00"/>
    <d v="2015-01-06T00:00:00"/>
    <n v="-101.246"/>
    <n v="14"/>
    <x v="1016"/>
    <n v="86960"/>
    <n v="1413.86"/>
  </r>
  <r>
    <n v="20.95"/>
    <n v="4"/>
    <n v="1828"/>
    <s v="Stacey Lucas"/>
    <s v="Regular Air"/>
    <s v="Corporate"/>
    <x v="2"/>
    <x v="13"/>
    <s v="Small Box"/>
    <s v="Fellowes Basic 104-Key Keyboard, Platinum"/>
    <n v="0.6"/>
    <s v="United States"/>
    <s v="Central"/>
    <s v="Iowa"/>
    <s v="Cedar Falls"/>
    <n v="50613"/>
    <d v="2015-01-06T00:00:00"/>
    <d v="2015-01-11T00:00:00"/>
    <n v="-1.88"/>
    <n v="7"/>
    <x v="1017"/>
    <n v="86960"/>
    <n v="994.42000000000007"/>
  </r>
  <r>
    <n v="10.64"/>
    <n v="5.16"/>
    <n v="1829"/>
    <s v="Suzanne Cochran"/>
    <s v="Express Air"/>
    <s v="Corporate"/>
    <x v="1"/>
    <x v="2"/>
    <s v="Small Box"/>
    <s v="Eldon Expressions Punched Metal &amp; Wood Desk Accessories, Pewter &amp; Cherry"/>
    <n v="0.56999999999999995"/>
    <s v="United States"/>
    <s v="Central"/>
    <s v="Iowa"/>
    <s v="Cedar Rapids"/>
    <n v="52402"/>
    <d v="2015-03-25T00:00:00"/>
    <d v="2015-03-27T00:00:00"/>
    <n v="-11.69"/>
    <n v="5"/>
    <x v="1018"/>
    <n v="86957"/>
    <n v="292.60000000000002"/>
  </r>
  <r>
    <n v="39.06"/>
    <n v="10.55"/>
    <n v="1829"/>
    <s v="Suzanne Cochran"/>
    <s v="Regular Air"/>
    <s v="Corporate"/>
    <x v="0"/>
    <x v="8"/>
    <s v="Small Box"/>
    <s v="Ibico Recycled Linen-Style Covers"/>
    <n v="0.37"/>
    <s v="United States"/>
    <s v="Central"/>
    <s v="Iowa"/>
    <s v="Cedar Rapids"/>
    <n v="52402"/>
    <d v="2015-01-06T00:00:00"/>
    <d v="2015-01-13T00:00:00"/>
    <n v="250.98060000000001"/>
    <n v="9"/>
    <x v="1019"/>
    <n v="86960"/>
    <n v="3273.66"/>
  </r>
  <r>
    <n v="3.52"/>
    <n v="6.83"/>
    <n v="1829"/>
    <s v="Suzanne Cochran"/>
    <s v="Regular Air"/>
    <s v="Corporate"/>
    <x v="0"/>
    <x v="8"/>
    <s v="Small Box"/>
    <s v="Self-Adhesive Ring Binder Labels"/>
    <n v="0.38"/>
    <s v="United States"/>
    <s v="Central"/>
    <s v="Iowa"/>
    <s v="Cedar Rapids"/>
    <n v="52402"/>
    <d v="2015-01-06T00:00:00"/>
    <d v="2015-01-15T00:00:00"/>
    <n v="-57.753"/>
    <n v="4"/>
    <x v="1020"/>
    <n v="86960"/>
    <n v="63.72"/>
  </r>
  <r>
    <n v="15.51"/>
    <n v="17.78"/>
    <n v="1829"/>
    <s v="Suzanne Cochran"/>
    <s v="Regular Air"/>
    <s v="Corporate"/>
    <x v="0"/>
    <x v="10"/>
    <s v="Small Box"/>
    <s v="Tenex File Box, Personal Filing Tote with Lid, Black"/>
    <n v="0.59"/>
    <s v="United States"/>
    <s v="Central"/>
    <s v="Iowa"/>
    <s v="Cedar Rapids"/>
    <n v="52402"/>
    <d v="2015-01-06T00:00:00"/>
    <d v="2015-01-13T00:00:00"/>
    <n v="-47.97"/>
    <n v="1"/>
    <x v="1021"/>
    <n v="86960"/>
    <n v="21.28"/>
  </r>
  <r>
    <n v="155.99"/>
    <n v="8.99"/>
    <n v="1836"/>
    <s v="Dwight Albright Huffman"/>
    <s v="Express Air"/>
    <s v="Corporate"/>
    <x v="2"/>
    <x v="5"/>
    <s v="Small Box"/>
    <s v="CF 688"/>
    <n v="0.57999999999999996"/>
    <s v="United States"/>
    <s v="West"/>
    <s v="California"/>
    <s v="San Francisco"/>
    <n v="94110"/>
    <d v="2015-04-19T00:00:00"/>
    <d v="2015-04-20T00:00:00"/>
    <n v="-219.07908"/>
    <n v="5"/>
    <x v="1022"/>
    <n v="86600"/>
    <n v="3379.15"/>
  </r>
  <r>
    <n v="5.98"/>
    <n v="5.46"/>
    <n v="1837"/>
    <s v="Herbert Williamson"/>
    <s v="Regular Air"/>
    <s v="Corporate"/>
    <x v="0"/>
    <x v="7"/>
    <s v="Small Box"/>
    <s v="Xerox 1983"/>
    <n v="0.36"/>
    <s v="United States"/>
    <s v="West"/>
    <s v="California"/>
    <s v="San Gabriel"/>
    <n v="91776"/>
    <d v="2015-04-19T00:00:00"/>
    <d v="2015-04-21T00:00:00"/>
    <n v="-18.878399999999999"/>
    <n v="4"/>
    <x v="1023"/>
    <n v="86600"/>
    <n v="112"/>
  </r>
  <r>
    <n v="40.98"/>
    <n v="2.99"/>
    <n v="1840"/>
    <s v="Clifford Webb"/>
    <s v="Regular Air"/>
    <s v="Home Office"/>
    <x v="0"/>
    <x v="8"/>
    <s v="Small Box"/>
    <s v="Avery Trapezoid Ring Binder, 3&quot; Capacity, Black, 1040 sheets"/>
    <n v="0.36"/>
    <s v="United States"/>
    <s v="East"/>
    <s v="Massachusetts"/>
    <s v="Townsend"/>
    <n v="1469"/>
    <d v="2015-03-30T00:00:00"/>
    <d v="2015-04-01T00:00:00"/>
    <n v="369.20519999999999"/>
    <n v="13"/>
    <x v="1024"/>
    <n v="86599"/>
    <n v="6956.0400000000009"/>
  </r>
  <r>
    <n v="35.99"/>
    <n v="1.1000000000000001"/>
    <n v="1849"/>
    <s v="Michelle Steele"/>
    <s v="Regular Air"/>
    <s v="Consumer"/>
    <x v="2"/>
    <x v="5"/>
    <s v="Small Box"/>
    <s v="Accessory35"/>
    <n v="0.55000000000000004"/>
    <s v="United States"/>
    <s v="South"/>
    <s v="Alabama"/>
    <s v="Enterprise"/>
    <n v="36330"/>
    <d v="2015-04-01T00:00:00"/>
    <d v="2015-04-03T00:00:00"/>
    <n v="19.350000000000001"/>
    <n v="8"/>
    <x v="1025"/>
    <n v="89697"/>
    <n v="1781.68"/>
  </r>
  <r>
    <n v="125.99"/>
    <n v="2.5"/>
    <n v="1849"/>
    <s v="Michelle Steele"/>
    <s v="Regular Air"/>
    <s v="Consumer"/>
    <x v="2"/>
    <x v="5"/>
    <s v="Small Box"/>
    <s v="i2000"/>
    <n v="0.6"/>
    <s v="United States"/>
    <s v="South"/>
    <s v="Alabama"/>
    <s v="Enterprise"/>
    <n v="36330"/>
    <d v="2015-04-01T00:00:00"/>
    <d v="2015-04-02T00:00:00"/>
    <n v="-967.83399999999995"/>
    <n v="2"/>
    <x v="1026"/>
    <n v="89697"/>
    <n v="441.04"/>
  </r>
  <r>
    <n v="6.48"/>
    <n v="5.14"/>
    <n v="1852"/>
    <s v="Joy Kaplan McNeill"/>
    <s v="Express Air"/>
    <s v="Home Office"/>
    <x v="0"/>
    <x v="7"/>
    <s v="Small Box"/>
    <s v="Xerox 23"/>
    <n v="0.37"/>
    <s v="United States"/>
    <s v="West"/>
    <s v="California"/>
    <s v="Carlsbad"/>
    <n v="92008"/>
    <d v="2015-03-19T00:00:00"/>
    <d v="2015-03-21T00:00:00"/>
    <n v="-28.45"/>
    <n v="10"/>
    <x v="1027"/>
    <n v="86847"/>
    <n v="683.40000000000009"/>
  </r>
  <r>
    <n v="30.73"/>
    <n v="4"/>
    <n v="1854"/>
    <s v="Erika Morgan"/>
    <s v="Regular Air"/>
    <s v="Home Office"/>
    <x v="2"/>
    <x v="13"/>
    <s v="Small Box"/>
    <s v="Fellowes 17-key keypad for PS/2 interface"/>
    <n v="0.75"/>
    <s v="United States"/>
    <s v="East"/>
    <s v="Connecticut"/>
    <s v="Seymour"/>
    <n v="6478"/>
    <d v="2015-03-19T00:00:00"/>
    <d v="2015-03-22T00:00:00"/>
    <n v="72.78"/>
    <n v="16"/>
    <x v="1028"/>
    <n v="86847"/>
    <n v="8355.52"/>
  </r>
  <r>
    <n v="5.98"/>
    <n v="1.49"/>
    <n v="1860"/>
    <s v="Gina B Hess"/>
    <s v="Regular Air"/>
    <s v="Home Office"/>
    <x v="0"/>
    <x v="8"/>
    <s v="Small Box"/>
    <s v="Avery Hanging File Binders"/>
    <n v="0.39"/>
    <s v="United States"/>
    <s v="East"/>
    <s v="Massachusetts"/>
    <s v="Webster"/>
    <n v="1570"/>
    <d v="2015-06-15T00:00:00"/>
    <d v="2015-06-17T00:00:00"/>
    <n v="13.2294"/>
    <n v="5"/>
    <x v="1029"/>
    <n v="86846"/>
    <n v="140.05000000000001"/>
  </r>
  <r>
    <n v="8.09"/>
    <n v="7.96"/>
    <n v="1869"/>
    <s v="Roberta Daniel"/>
    <s v="Regular Air"/>
    <s v="Consumer"/>
    <x v="1"/>
    <x v="2"/>
    <s v="Small Box"/>
    <s v="6&quot; Cubicle Wall Clock, Black"/>
    <n v="0.49"/>
    <s v="United States"/>
    <s v="West"/>
    <s v="New Mexico"/>
    <s v="Alamogordo"/>
    <n v="88310"/>
    <d v="2015-05-03T00:00:00"/>
    <d v="2015-05-04T00:00:00"/>
    <n v="-88.82"/>
    <n v="10"/>
    <x v="1030"/>
    <n v="89209"/>
    <n v="803.5"/>
  </r>
  <r>
    <n v="90.48"/>
    <n v="19.989999999999998"/>
    <n v="1873"/>
    <s v="Lisa Kim"/>
    <s v="Regular Air"/>
    <s v="Corporate"/>
    <x v="0"/>
    <x v="4"/>
    <s v="Small Box"/>
    <s v="Tyvek® Side-Opening Peel &amp; Seel® Expanding Envelopes"/>
    <n v="0.4"/>
    <s v="United States"/>
    <s v="South"/>
    <s v="Florida"/>
    <s v="Palm Beach Gardens"/>
    <n v="33403"/>
    <d v="2015-01-17T00:00:00"/>
    <d v="2015-01-19T00:00:00"/>
    <n v="15.353999999999999"/>
    <n v="1"/>
    <x v="1031"/>
    <n v="90099"/>
    <n v="99.69"/>
  </r>
  <r>
    <n v="22.84"/>
    <n v="8.18"/>
    <n v="1873"/>
    <s v="Lisa Kim"/>
    <s v="Regular Air"/>
    <s v="Corporate"/>
    <x v="0"/>
    <x v="7"/>
    <s v="Small Box"/>
    <s v="Xerox 1991"/>
    <n v="0.39"/>
    <s v="United States"/>
    <s v="South"/>
    <s v="Florida"/>
    <s v="Palm Beach Gardens"/>
    <n v="33403"/>
    <d v="2015-01-17T00:00:00"/>
    <d v="2015-01-17T00:00:00"/>
    <n v="-357.92399999999998"/>
    <n v="7"/>
    <x v="1032"/>
    <n v="90099"/>
    <n v="1067.43"/>
  </r>
  <r>
    <n v="95.99"/>
    <n v="4.9000000000000004"/>
    <n v="1875"/>
    <s v="Martin Kirk"/>
    <s v="Regular Air"/>
    <s v="Consumer"/>
    <x v="2"/>
    <x v="5"/>
    <s v="Small Box"/>
    <s v="T60"/>
    <n v="0.56000000000000005"/>
    <s v="United States"/>
    <s v="South"/>
    <s v="Virginia"/>
    <s v="Chesapeake"/>
    <n v="23320"/>
    <d v="2015-01-29T00:00:00"/>
    <d v="2015-01-31T00:00:00"/>
    <n v="34.302"/>
    <n v="4"/>
    <x v="1033"/>
    <n v="90899"/>
    <n v="1283"/>
  </r>
  <r>
    <n v="5.78"/>
    <n v="5.67"/>
    <n v="1882"/>
    <s v="Anita Kent"/>
    <s v="Regular Air"/>
    <s v="Home Office"/>
    <x v="0"/>
    <x v="7"/>
    <s v="Small Box"/>
    <s v="Xerox 1978"/>
    <n v="0.36"/>
    <s v="United States"/>
    <s v="East"/>
    <s v="New Jersey"/>
    <s v="Linden"/>
    <n v="7036"/>
    <d v="2015-03-01T00:00:00"/>
    <d v="2015-03-03T00:00:00"/>
    <n v="-7.96"/>
    <n v="1"/>
    <x v="1034"/>
    <n v="87378"/>
    <n v="11.35"/>
  </r>
  <r>
    <n v="535.64"/>
    <n v="14.7"/>
    <n v="1885"/>
    <s v="Jacob Hirsch"/>
    <s v="Delivery Truck"/>
    <s v="Home Office"/>
    <x v="2"/>
    <x v="6"/>
    <s v="Jumbo Drum"/>
    <s v="Epson LQ-870 Dot Matrix Printer"/>
    <n v="0.59"/>
    <s v="United States"/>
    <s v="East"/>
    <s v="Rhode Island"/>
    <s v="Barrington"/>
    <n v="2806"/>
    <d v="2015-03-01T00:00:00"/>
    <d v="2015-03-03T00:00:00"/>
    <n v="4407.4399999999996"/>
    <n v="15"/>
    <x v="1035"/>
    <n v="87378"/>
    <n v="105436.5"/>
  </r>
  <r>
    <n v="78.8"/>
    <n v="35"/>
    <n v="1889"/>
    <s v="Oscar Bowers"/>
    <s v="Regular Air"/>
    <s v="Home Office"/>
    <x v="0"/>
    <x v="10"/>
    <s v="Large Box"/>
    <s v="Space Solutions™ Industrial Galvanized Steel Shelving."/>
    <n v="0.83"/>
    <s v="United States"/>
    <s v="East"/>
    <s v="Ohio"/>
    <s v="Kettering"/>
    <n v="45429"/>
    <d v="2015-04-17T00:00:00"/>
    <d v="2015-04-21T00:00:00"/>
    <n v="-1025.0172"/>
    <n v="14"/>
    <x v="1036"/>
    <n v="90631"/>
    <n v="14831.320000000002"/>
  </r>
  <r>
    <n v="320.64"/>
    <n v="29.2"/>
    <n v="1891"/>
    <s v="Gretchen Levine"/>
    <s v="Delivery Truck"/>
    <s v="Home Office"/>
    <x v="1"/>
    <x v="11"/>
    <s v="Jumbo Box"/>
    <s v="Chromcraft 48&quot; x 96&quot; Racetrack Double Pedestal Table"/>
    <n v="0.66"/>
    <s v="United States"/>
    <s v="East"/>
    <s v="Ohio"/>
    <s v="Lima"/>
    <n v="45801"/>
    <d v="2015-04-05T00:00:00"/>
    <d v="2015-04-07T00:00:00"/>
    <n v="429.75435599999997"/>
    <n v="7"/>
    <x v="1037"/>
    <n v="90630"/>
    <n v="15634.220000000001"/>
  </r>
  <r>
    <n v="180.98"/>
    <n v="26.2"/>
    <n v="1893"/>
    <s v="Melanie Burgess"/>
    <s v="Delivery Truck"/>
    <s v="Consumer"/>
    <x v="1"/>
    <x v="1"/>
    <s v="Jumbo Drum"/>
    <s v="Global Ergonomic Managers Chair"/>
    <n v="0.59"/>
    <s v="United States"/>
    <s v="Central"/>
    <s v="Missouri"/>
    <s v="Webster Groves"/>
    <n v="63119"/>
    <d v="2015-04-26T00:00:00"/>
    <d v="2015-04-30T00:00:00"/>
    <n v="588.54"/>
    <n v="5"/>
    <x v="1038"/>
    <n v="91262"/>
    <n v="4644.5999999999995"/>
  </r>
  <r>
    <n v="300.98"/>
    <n v="164.73"/>
    <n v="1894"/>
    <s v="Maureen Herbert Hood"/>
    <s v="Delivery Truck"/>
    <s v="Home Office"/>
    <x v="1"/>
    <x v="1"/>
    <s v="Jumbo Drum"/>
    <s v="Global Leather and Oak Executive Chair, Black"/>
    <n v="0.56000000000000005"/>
    <s v="United States"/>
    <s v="Central"/>
    <s v="Wisconsin"/>
    <s v="Appleton"/>
    <n v="54915"/>
    <d v="2015-02-24T00:00:00"/>
    <d v="2015-02-25T00:00:00"/>
    <n v="2653.2914999999998"/>
    <n v="12"/>
    <x v="1039"/>
    <n v="91261"/>
    <n v="46144.2"/>
  </r>
  <r>
    <n v="2.94"/>
    <n v="0.96"/>
    <n v="1894"/>
    <s v="Maureen Herbert Hood"/>
    <s v="Regular Air"/>
    <s v="Home Office"/>
    <x v="0"/>
    <x v="0"/>
    <s v="Wrap Bag"/>
    <s v="Newell 343"/>
    <n v="0.57999999999999996"/>
    <s v="United States"/>
    <s v="Central"/>
    <s v="Wisconsin"/>
    <s v="Appleton"/>
    <n v="54915"/>
    <d v="2015-02-24T00:00:00"/>
    <d v="2015-02-26T00:00:00"/>
    <n v="-1.84"/>
    <n v="1"/>
    <x v="1040"/>
    <n v="91261"/>
    <n v="3.77"/>
  </r>
  <r>
    <n v="26.17"/>
    <n v="1.39"/>
    <n v="1894"/>
    <s v="Maureen Herbert Hood"/>
    <s v="Regular Air"/>
    <s v="Consumer"/>
    <x v="0"/>
    <x v="4"/>
    <s v="Small Box"/>
    <s v="Quality Park Security Envelopes"/>
    <n v="0.38"/>
    <s v="United States"/>
    <s v="Central"/>
    <s v="Wisconsin"/>
    <s v="Appleton"/>
    <n v="54915"/>
    <d v="2015-03-18T00:00:00"/>
    <d v="2015-03-19T00:00:00"/>
    <n v="237.04259999999999"/>
    <n v="13"/>
    <x v="1041"/>
    <n v="91263"/>
    <n v="4466.0200000000004"/>
  </r>
  <r>
    <n v="172.99"/>
    <n v="19.989999999999998"/>
    <n v="1906"/>
    <s v="Penny Tuttle"/>
    <s v="Regular Air"/>
    <s v="Corporate"/>
    <x v="0"/>
    <x v="8"/>
    <s v="Small Box"/>
    <s v="Ibico EB-19 Dual Function Manual Binding System"/>
    <n v="0.39"/>
    <s v="United States"/>
    <s v="East"/>
    <s v="Ohio"/>
    <s v="Lima"/>
    <n v="45801"/>
    <d v="2015-05-17T00:00:00"/>
    <d v="2015-05-17T00:00:00"/>
    <n v="2502.6851999999999"/>
    <n v="22"/>
    <x v="1042"/>
    <n v="86500"/>
    <n v="79795.759999999995"/>
  </r>
  <r>
    <n v="7.64"/>
    <n v="1.39"/>
    <n v="1907"/>
    <s v="Amy Hall"/>
    <s v="Regular Air"/>
    <s v="Corporate"/>
    <x v="0"/>
    <x v="4"/>
    <s v="Small Box"/>
    <s v="#10- 4 1/8&quot; x 9 1/2&quot; Security-Tint Envelopes"/>
    <n v="0.36"/>
    <s v="United States"/>
    <s v="East"/>
    <s v="Ohio"/>
    <s v="Lorain"/>
    <n v="44052"/>
    <d v="2015-05-17T00:00:00"/>
    <d v="2015-05-26T00:00:00"/>
    <n v="0.68799999999999994"/>
    <n v="1"/>
    <x v="1043"/>
    <n v="86500"/>
    <n v="8.34"/>
  </r>
  <r>
    <n v="29.17"/>
    <n v="6.27"/>
    <n v="1910"/>
    <s v="Sean Stephenson"/>
    <s v="Regular Air"/>
    <s v="Home Office"/>
    <x v="0"/>
    <x v="8"/>
    <s v="Small Box"/>
    <s v="Binding Machine Supplies"/>
    <n v="0.37"/>
    <s v="United States"/>
    <s v="South"/>
    <s v="Georgia"/>
    <s v="Peachtree City"/>
    <n v="30269"/>
    <d v="2015-01-01T00:00:00"/>
    <d v="2015-01-02T00:00:00"/>
    <n v="36.905999999999999"/>
    <n v="2"/>
    <x v="1044"/>
    <n v="91371"/>
    <n v="126.64"/>
  </r>
  <r>
    <n v="11.99"/>
    <n v="5.99"/>
    <n v="1916"/>
    <s v="Marcia Feldman"/>
    <s v="Regular Air"/>
    <s v="Home Office"/>
    <x v="2"/>
    <x v="6"/>
    <s v="Medium Box"/>
    <s v="TI 30X Scientific Calculator"/>
    <n v="0.36"/>
    <s v="United States"/>
    <s v="South"/>
    <s v="Arkansas"/>
    <s v="Little Rock"/>
    <n v="72209"/>
    <d v="2015-02-27T00:00:00"/>
    <d v="2015-02-28T00:00:00"/>
    <n v="-216.02979999999999"/>
    <n v="7"/>
    <x v="1045"/>
    <n v="85893"/>
    <n v="586.04"/>
  </r>
  <r>
    <n v="125.99"/>
    <n v="8.99"/>
    <n v="1916"/>
    <s v="Marcia Feldman"/>
    <s v="Regular Air"/>
    <s v="Home Office"/>
    <x v="2"/>
    <x v="5"/>
    <s v="Small Box"/>
    <s v="SC7868i"/>
    <n v="0.55000000000000004"/>
    <s v="United States"/>
    <s v="South"/>
    <s v="Arkansas"/>
    <s v="Little Rock"/>
    <n v="72209"/>
    <d v="2015-04-16T00:00:00"/>
    <d v="2015-04-18T00:00:00"/>
    <n v="-45.472000000000001"/>
    <n v="9"/>
    <x v="1046"/>
    <n v="85895"/>
    <n v="9102.9600000000009"/>
  </r>
  <r>
    <n v="18.7"/>
    <n v="8.99"/>
    <n v="1917"/>
    <s v="Tracy Buckley"/>
    <s v="Regular Air"/>
    <s v="Home Office"/>
    <x v="1"/>
    <x v="2"/>
    <s v="Small Pack"/>
    <s v="Executive Impressions 13-1/2&quot; Indoor/Outdoor Wall Clock"/>
    <n v="0.47"/>
    <s v="United States"/>
    <s v="South"/>
    <s v="Arkansas"/>
    <s v="North Little Rock"/>
    <n v="72113"/>
    <d v="2015-03-27T00:00:00"/>
    <d v="2015-03-28T00:00:00"/>
    <n v="16.136399999999998"/>
    <n v="7"/>
    <x v="1047"/>
    <n v="85894"/>
    <n v="925.6099999999999"/>
  </r>
  <r>
    <n v="22.23"/>
    <n v="3.63"/>
    <n v="1917"/>
    <s v="Tracy Buckley"/>
    <s v="Regular Air"/>
    <s v="Home Office"/>
    <x v="1"/>
    <x v="2"/>
    <s v="Small Pack"/>
    <s v="Executive Impressions 14&quot; Contract Wall Clock"/>
    <n v="0.52"/>
    <s v="United States"/>
    <s v="South"/>
    <s v="Arkansas"/>
    <s v="North Little Rock"/>
    <n v="72113"/>
    <d v="2015-03-01T00:00:00"/>
    <d v="2015-03-03T00:00:00"/>
    <n v="-29.61"/>
    <n v="10"/>
    <x v="1048"/>
    <n v="85897"/>
    <n v="2103.3000000000002"/>
  </r>
  <r>
    <n v="10.44"/>
    <n v="5.75"/>
    <n v="1918"/>
    <s v="Hannah Tyson"/>
    <s v="Express Air"/>
    <s v="Home Office"/>
    <x v="0"/>
    <x v="8"/>
    <s v="Small Box"/>
    <s v="Avery® 3 1/2&quot; Diskette Storage Pages, 10/Pack"/>
    <n v="0.39"/>
    <s v="United States"/>
    <s v="South"/>
    <s v="Arkansas"/>
    <s v="Paragould"/>
    <n v="72450"/>
    <d v="2015-04-04T00:00:00"/>
    <d v="2015-04-11T00:00:00"/>
    <n v="125.724"/>
    <n v="17"/>
    <x v="622"/>
    <n v="85898"/>
    <n v="2856.68"/>
  </r>
  <r>
    <n v="195.99"/>
    <n v="8.99"/>
    <n v="1919"/>
    <s v="Nathan Jenkins"/>
    <s v="Regular Air"/>
    <s v="Home Office"/>
    <x v="2"/>
    <x v="5"/>
    <s v="Small Box"/>
    <s v="T28 WORLD"/>
    <n v="0.6"/>
    <s v="United States"/>
    <s v="South"/>
    <s v="Arkansas"/>
    <s v="Pine Bluff"/>
    <n v="71603"/>
    <d v="2015-02-24T00:00:00"/>
    <d v="2015-02-25T00:00:00"/>
    <n v="114.88200000000001"/>
    <n v="5"/>
    <x v="1049"/>
    <n v="85896"/>
    <n v="4414.6499999999996"/>
  </r>
  <r>
    <n v="259.70999999999998"/>
    <n v="66.67"/>
    <n v="1927"/>
    <s v="Earl Alston"/>
    <s v="Delivery Truck"/>
    <s v="Home Office"/>
    <x v="1"/>
    <x v="11"/>
    <s v="Jumbo Box"/>
    <s v="Bevis Round Bullnose 29&quot; High Table Top"/>
    <n v="0.65"/>
    <s v="United States"/>
    <s v="South"/>
    <s v="South Carolina"/>
    <s v="Greenville"/>
    <n v="29611"/>
    <d v="2015-02-06T00:00:00"/>
    <d v="2015-02-06T00:00:00"/>
    <n v="-14.448"/>
    <n v="8"/>
    <x v="1050"/>
    <n v="88579"/>
    <n v="14057.2"/>
  </r>
  <r>
    <n v="1889.99"/>
    <n v="19.989999999999998"/>
    <n v="1928"/>
    <s v="Gregory R Snow"/>
    <s v="Regular Air"/>
    <s v="Home Office"/>
    <x v="0"/>
    <x v="8"/>
    <s v="Small Box"/>
    <s v="Ibico EPK-21 Electric Binding System"/>
    <n v="0.36"/>
    <s v="United States"/>
    <s v="South"/>
    <s v="South Carolina"/>
    <s v="Greer"/>
    <n v="29651"/>
    <d v="2015-01-21T00:00:00"/>
    <d v="2015-01-21T00:00:00"/>
    <n v="-42.545999999999999"/>
    <n v="1"/>
    <x v="1051"/>
    <n v="88580"/>
    <n v="1786.04"/>
  </r>
  <r>
    <n v="3.58"/>
    <n v="1.63"/>
    <n v="1933"/>
    <s v="William Crawford"/>
    <s v="Regular Air"/>
    <s v="Corporate"/>
    <x v="0"/>
    <x v="3"/>
    <s v="Wrap Bag"/>
    <s v="OIC Colored Binder Clips, Assorted Sizes"/>
    <n v="0.36"/>
    <s v="United States"/>
    <s v="Central"/>
    <s v="Texas"/>
    <s v="Garland"/>
    <n v="75043"/>
    <d v="2015-04-19T00:00:00"/>
    <d v="2015-04-23T00:00:00"/>
    <n v="14"/>
    <n v="10"/>
    <x v="1052"/>
    <n v="86687"/>
    <n v="347.59999999999997"/>
  </r>
  <r>
    <n v="180.98"/>
    <n v="30"/>
    <n v="1934"/>
    <s v="Scott Moore"/>
    <s v="Delivery Truck"/>
    <s v="Home Office"/>
    <x v="1"/>
    <x v="1"/>
    <s v="Jumbo Drum"/>
    <s v="Office Star - Ergonomic Mid Back Chair with 2-Way Adjustable Arms"/>
    <n v="0.69"/>
    <s v="United States"/>
    <s v="Central"/>
    <s v="Texas"/>
    <s v="Georgetown"/>
    <n v="78626"/>
    <d v="2015-05-30T00:00:00"/>
    <d v="2015-05-30T00:00:00"/>
    <n v="52.988"/>
    <n v="3"/>
    <x v="1053"/>
    <n v="86688"/>
    <n v="1684.9499999999998"/>
  </r>
  <r>
    <n v="42.98"/>
    <n v="4.62"/>
    <n v="1935"/>
    <s v="Diana Coble Hubbard"/>
    <s v="Express Air"/>
    <s v="Corporate"/>
    <x v="0"/>
    <x v="15"/>
    <s v="Small Box"/>
    <s v="Belkin F9M820V08 8 Outlet Surge"/>
    <n v="0.56000000000000005"/>
    <s v="United States"/>
    <s v="Central"/>
    <s v="Texas"/>
    <s v="Grand Prairie"/>
    <n v="75051"/>
    <d v="2015-04-08T00:00:00"/>
    <d v="2015-04-10T00:00:00"/>
    <n v="285.47370000000001"/>
    <n v="9"/>
    <x v="1054"/>
    <n v="86686"/>
    <n v="3723.57"/>
  </r>
  <r>
    <n v="3.25"/>
    <n v="49"/>
    <n v="1935"/>
    <s v="Diana Coble Hubbard"/>
    <s v="Regular Air"/>
    <s v="Home Office"/>
    <x v="0"/>
    <x v="15"/>
    <s v="Large Box"/>
    <s v="Bravo II™ Megaboss® 12-Amp Hard Body Upright, Replacement Belts, 2 Belts per Pack"/>
    <n v="0.56000000000000005"/>
    <s v="United States"/>
    <s v="Central"/>
    <s v="Texas"/>
    <s v="Grand Prairie"/>
    <n v="75051"/>
    <d v="2015-05-30T00:00:00"/>
    <d v="2015-06-05T00:00:00"/>
    <n v="10.507999999999999"/>
    <n v="2"/>
    <x v="1055"/>
    <n v="86688"/>
    <n v="111.2"/>
  </r>
  <r>
    <n v="110.98"/>
    <n v="13.99"/>
    <n v="1935"/>
    <s v="Diana Coble Hubbard"/>
    <s v="Regular Air"/>
    <s v="Home Office"/>
    <x v="1"/>
    <x v="2"/>
    <s v="Medium Box"/>
    <s v="Rubbermaid ClusterMat Chairmats, Mat Size- 66&quot; x 60&quot;, Lip 20&quot; x 11&quot; -90 Degree Angle"/>
    <n v="0.69"/>
    <s v="United States"/>
    <s v="Central"/>
    <s v="Texas"/>
    <s v="Grand Prairie"/>
    <n v="75051"/>
    <d v="2015-05-30T00:00:00"/>
    <d v="2015-06-04T00:00:00"/>
    <n v="1448.7309"/>
    <n v="19"/>
    <x v="1056"/>
    <n v="86688"/>
    <n v="39892.590000000004"/>
  </r>
  <r>
    <n v="3.95"/>
    <n v="2"/>
    <n v="1935"/>
    <s v="Diana Coble Hubbard"/>
    <s v="Express Air"/>
    <s v="Home Office"/>
    <x v="0"/>
    <x v="3"/>
    <s v="Wrap Bag"/>
    <s v="Advantus Map Pennant Flags and Round Head Tacks"/>
    <n v="0.53"/>
    <s v="United States"/>
    <s v="Central"/>
    <s v="Texas"/>
    <s v="Grand Prairie"/>
    <n v="75051"/>
    <d v="2015-05-30T00:00:00"/>
    <d v="2015-06-07T00:00:00"/>
    <n v="1.004"/>
    <n v="23"/>
    <x v="1057"/>
    <n v="86688"/>
    <n v="2221.7999999999997"/>
  </r>
  <r>
    <n v="152.47999999999999"/>
    <n v="4"/>
    <n v="1938"/>
    <s v="Franklin Spencer"/>
    <s v="Express Air"/>
    <s v="Corporate"/>
    <x v="2"/>
    <x v="13"/>
    <s v="Small Box"/>
    <s v="Adesso Programmable 142-Key Keyboard"/>
    <n v="0.79"/>
    <s v="United States"/>
    <s v="Central"/>
    <s v="Kansas"/>
    <s v="Emporia"/>
    <n v="66801"/>
    <d v="2015-03-22T00:00:00"/>
    <d v="2015-03-23T00:00:00"/>
    <n v="-521.09"/>
    <n v="4"/>
    <x v="1058"/>
    <n v="88870"/>
    <n v="2232.6799999999998"/>
  </r>
  <r>
    <n v="6.84"/>
    <n v="8.3699999999999992"/>
    <n v="1940"/>
    <s v="Eileen McDonald"/>
    <s v="Regular Air"/>
    <s v="Corporate"/>
    <x v="0"/>
    <x v="12"/>
    <s v="Small Pack"/>
    <s v="Acme Design Line 8&quot; Stainless Steel Bent Scissors w/Champagne Handles, 3-1/8&quot; Cut"/>
    <n v="0.57999999999999996"/>
    <s v="United States"/>
    <s v="West"/>
    <s v="Utah"/>
    <s v="Draper"/>
    <n v="84020"/>
    <d v="2015-03-22T00:00:00"/>
    <d v="2015-03-24T00:00:00"/>
    <n v="-29.49"/>
    <n v="1"/>
    <x v="1059"/>
    <n v="88870"/>
    <n v="8.39"/>
  </r>
  <r>
    <n v="78.650000000000006"/>
    <n v="13.99"/>
    <n v="1940"/>
    <s v="Eileen McDonald"/>
    <s v="Regular Air"/>
    <s v="Corporate"/>
    <x v="0"/>
    <x v="15"/>
    <s v="Medium Box"/>
    <s v="Honeywell Quietcare HEPA Air Cleaner"/>
    <n v="0.52"/>
    <s v="United States"/>
    <s v="West"/>
    <s v="Utah"/>
    <s v="Draper"/>
    <n v="84020"/>
    <d v="2015-04-19T00:00:00"/>
    <d v="2015-04-26T00:00:00"/>
    <n v="386.00670000000002"/>
    <n v="7"/>
    <x v="1060"/>
    <n v="88871"/>
    <n v="3916.0099999999998"/>
  </r>
  <r>
    <n v="122.99"/>
    <n v="70.2"/>
    <n v="1940"/>
    <s v="Eileen McDonald"/>
    <s v="Delivery Truck"/>
    <s v="Corporate"/>
    <x v="1"/>
    <x v="1"/>
    <s v="Jumbo Drum"/>
    <s v="Global High-Back Leather Tilter, Burgundy"/>
    <n v="0.74"/>
    <s v="United States"/>
    <s v="West"/>
    <s v="Utah"/>
    <s v="Draper"/>
    <n v="84020"/>
    <d v="2015-04-19T00:00:00"/>
    <d v="2015-04-24T00:00:00"/>
    <n v="-1867.97"/>
    <n v="10"/>
    <x v="1061"/>
    <n v="88871"/>
    <n v="12165.2"/>
  </r>
  <r>
    <n v="90.98"/>
    <n v="56.2"/>
    <n v="1946"/>
    <s v="Teresa Wallace"/>
    <s v="Regular Air"/>
    <s v="Consumer"/>
    <x v="1"/>
    <x v="2"/>
    <s v="Medium Box"/>
    <s v="Eldon ClusterMat Chair Mat with Cordless Antistatic Protection"/>
    <n v="0.74"/>
    <s v="United States"/>
    <s v="East"/>
    <s v="Pennsylvania"/>
    <s v="Mount Lebanon"/>
    <n v="15228"/>
    <d v="2015-01-26T00:00:00"/>
    <d v="2015-01-28T00:00:00"/>
    <n v="-1920.9336000000001"/>
    <n v="12"/>
    <x v="1062"/>
    <n v="86331"/>
    <n v="12700.32"/>
  </r>
  <r>
    <n v="5.98"/>
    <n v="5.35"/>
    <n v="1946"/>
    <s v="Teresa Wallace"/>
    <s v="Regular Air"/>
    <s v="Consumer"/>
    <x v="0"/>
    <x v="7"/>
    <s v="Small Box"/>
    <s v="Xerox 1947"/>
    <n v="0.4"/>
    <s v="United States"/>
    <s v="East"/>
    <s v="Pennsylvania"/>
    <s v="Mount Lebanon"/>
    <n v="15228"/>
    <d v="2015-01-26T00:00:00"/>
    <d v="2015-01-28T00:00:00"/>
    <n v="-37.175199999999997"/>
    <n v="3"/>
    <x v="1063"/>
    <n v="86331"/>
    <n v="54.929999999999993"/>
  </r>
  <r>
    <n v="424.21"/>
    <n v="110.2"/>
    <n v="1949"/>
    <s v="Dana Waller"/>
    <s v="Delivery Truck"/>
    <s v="Small Business"/>
    <x v="1"/>
    <x v="11"/>
    <s v="Jumbo Box"/>
    <s v="Bush Advantage Collection® Racetrack Conference Table"/>
    <n v="0.67"/>
    <s v="United States"/>
    <s v="West"/>
    <s v="Montana"/>
    <s v="Bozeman"/>
    <n v="59715"/>
    <d v="2015-02-01T00:00:00"/>
    <d v="2015-02-05T00:00:00"/>
    <n v="-213.40280000000001"/>
    <n v="12"/>
    <x v="1064"/>
    <n v="90415"/>
    <n v="59222.64"/>
  </r>
  <r>
    <n v="6.68"/>
    <n v="4.91"/>
    <n v="1950"/>
    <s v="Leslie Shannon"/>
    <s v="Regular Air"/>
    <s v="Small Business"/>
    <x v="0"/>
    <x v="7"/>
    <s v="Small Box"/>
    <s v="Xerox 1986"/>
    <n v="0.37"/>
    <s v="United States"/>
    <s v="West"/>
    <s v="Montana"/>
    <s v="Butte"/>
    <n v="59750"/>
    <d v="2015-01-06T00:00:00"/>
    <d v="2015-01-08T00:00:00"/>
    <n v="-15.48"/>
    <n v="7"/>
    <x v="1065"/>
    <n v="90414"/>
    <n v="357.21000000000004"/>
  </r>
  <r>
    <n v="40.98"/>
    <n v="6.5"/>
    <n v="1956"/>
    <s v="Justin Frank"/>
    <s v="Regular Air"/>
    <s v="Consumer"/>
    <x v="2"/>
    <x v="13"/>
    <s v="Small Box"/>
    <s v="Targus USB Numeric Keypad"/>
    <n v="0.74"/>
    <s v="United States"/>
    <s v="West"/>
    <s v="Colorado"/>
    <s v="Louisville"/>
    <n v="80027"/>
    <d v="2015-06-19T00:00:00"/>
    <d v="2015-06-21T00:00:00"/>
    <n v="-50.244999999999997"/>
    <n v="19"/>
    <x v="1066"/>
    <n v="89820"/>
    <n v="14191.289999999999"/>
  </r>
  <r>
    <n v="77.510000000000005"/>
    <n v="4"/>
    <n v="1957"/>
    <s v="Ted Crowder"/>
    <s v="Regular Air"/>
    <s v="Consumer"/>
    <x v="2"/>
    <x v="13"/>
    <s v="Small Box"/>
    <s v="Micro Innovations Media Access Pro Keyboard"/>
    <n v="0.76"/>
    <s v="United States"/>
    <s v="Central"/>
    <s v="Missouri"/>
    <s v="University City"/>
    <n v="63130"/>
    <d v="2015-04-07T00:00:00"/>
    <d v="2015-04-09T00:00:00"/>
    <n v="-387.1044"/>
    <n v="1"/>
    <x v="1067"/>
    <n v="89818"/>
    <n v="77.47"/>
  </r>
  <r>
    <n v="30.98"/>
    <n v="6.5"/>
    <n v="1958"/>
    <s v="Vickie Martinez"/>
    <s v="Express Air"/>
    <s v="Consumer"/>
    <x v="2"/>
    <x v="13"/>
    <s v="Small Box"/>
    <s v="Belkin ErgoBoard™ Keyboard"/>
    <n v="0.64"/>
    <s v="United States"/>
    <s v="West"/>
    <s v="Oregon"/>
    <s v="West Linn"/>
    <n v="97068"/>
    <d v="2015-06-18T00:00:00"/>
    <d v="2015-06-22T00:00:00"/>
    <n v="-55.97"/>
    <n v="7"/>
    <x v="1068"/>
    <n v="89819"/>
    <n v="1430.38"/>
  </r>
  <r>
    <n v="20.28"/>
    <n v="14.39"/>
    <n v="1959"/>
    <s v="Bonnie Matthews Rowland"/>
    <s v="Regular Air"/>
    <s v="Corporate"/>
    <x v="1"/>
    <x v="2"/>
    <s v="Small Box"/>
    <s v="Career Cubicle Clock, 8 1/4&quot;, Black"/>
    <n v="0.47"/>
    <s v="United States"/>
    <s v="South"/>
    <s v="Florida"/>
    <s v="Miami"/>
    <n v="33916"/>
    <d v="2015-01-22T00:00:00"/>
    <d v="2015-01-22T00:00:00"/>
    <n v="-66.247299999999996"/>
    <n v="9"/>
    <x v="1069"/>
    <n v="28225"/>
    <n v="1854.36"/>
  </r>
  <r>
    <n v="9.99"/>
    <n v="11.59"/>
    <n v="1959"/>
    <s v="Bonnie Matthews Rowland"/>
    <s v="Regular Air"/>
    <s v="Home Office"/>
    <x v="0"/>
    <x v="7"/>
    <s v="Small Box"/>
    <s v="Hammermill Color Copier Paper (28Lb. and 96 Bright)"/>
    <n v="0.4"/>
    <s v="United States"/>
    <s v="South"/>
    <s v="Florida"/>
    <s v="Miami"/>
    <n v="33916"/>
    <d v="2015-04-18T00:00:00"/>
    <d v="2015-04-27T00:00:00"/>
    <n v="-171.15770000000001"/>
    <n v="43"/>
    <x v="1070"/>
    <n v="26342"/>
    <n v="20443.060000000001"/>
  </r>
  <r>
    <n v="48.04"/>
    <n v="5.79"/>
    <n v="1959"/>
    <s v="Bonnie Matthews Rowland"/>
    <s v="Regular Air"/>
    <s v="Home Office"/>
    <x v="0"/>
    <x v="7"/>
    <s v="Small Box"/>
    <s v="Xerox 1937"/>
    <n v="0.37"/>
    <s v="United States"/>
    <s v="South"/>
    <s v="Florida"/>
    <s v="Miami"/>
    <n v="33916"/>
    <d v="2015-04-18T00:00:00"/>
    <d v="2015-04-23T00:00:00"/>
    <n v="624.23900000000003"/>
    <n v="74"/>
    <x v="1071"/>
    <n v="26342"/>
    <n v="266312.68"/>
  </r>
  <r>
    <n v="6.68"/>
    <n v="4.91"/>
    <n v="1959"/>
    <s v="Bonnie Matthews Rowland"/>
    <s v="Regular Air"/>
    <s v="Home Office"/>
    <x v="0"/>
    <x v="7"/>
    <s v="Small Box"/>
    <s v="Xerox 1986"/>
    <n v="0.37"/>
    <s v="United States"/>
    <s v="South"/>
    <s v="Florida"/>
    <s v="Miami"/>
    <n v="33916"/>
    <d v="2015-04-18T00:00:00"/>
    <d v="2015-04-25T00:00:00"/>
    <n v="-14.3241"/>
    <n v="5"/>
    <x v="1072"/>
    <n v="26342"/>
    <n v="206.1"/>
  </r>
  <r>
    <n v="48.04"/>
    <n v="5.79"/>
    <n v="1962"/>
    <s v="Sean Burton"/>
    <s v="Regular Air"/>
    <s v="Home Office"/>
    <x v="0"/>
    <x v="7"/>
    <s v="Small Box"/>
    <s v="Xerox 1937"/>
    <n v="0.37"/>
    <s v="United States"/>
    <s v="Central"/>
    <s v="Michigan"/>
    <s v="Saginaw"/>
    <n v="48601"/>
    <d v="2015-04-18T00:00:00"/>
    <d v="2015-04-23T00:00:00"/>
    <n v="604.01909999999998"/>
    <n v="18"/>
    <x v="1073"/>
    <n v="88857"/>
    <n v="15757.02"/>
  </r>
  <r>
    <n v="6.68"/>
    <n v="4.91"/>
    <n v="1962"/>
    <s v="Sean Burton"/>
    <s v="Regular Air"/>
    <s v="Home Office"/>
    <x v="0"/>
    <x v="7"/>
    <s v="Small Box"/>
    <s v="Xerox 1986"/>
    <n v="0.37"/>
    <s v="United States"/>
    <s v="Central"/>
    <s v="Michigan"/>
    <s v="Saginaw"/>
    <n v="48601"/>
    <d v="2015-04-18T00:00:00"/>
    <d v="2015-04-25T00:00:00"/>
    <n v="-11.631600000000001"/>
    <n v="1"/>
    <x v="1074"/>
    <n v="88857"/>
    <n v="8.24"/>
  </r>
  <r>
    <n v="78.650000000000006"/>
    <n v="13.99"/>
    <n v="1967"/>
    <s v="Carolyn Hoffman"/>
    <s v="Express Air"/>
    <s v="Small Business"/>
    <x v="0"/>
    <x v="15"/>
    <s v="Medium Box"/>
    <s v="Honeywell Quietcare HEPA Air Cleaner"/>
    <n v="0.52"/>
    <s v="United States"/>
    <s v="Central"/>
    <s v="Iowa"/>
    <s v="Clinton"/>
    <n v="52732"/>
    <d v="2015-03-18T00:00:00"/>
    <d v="2015-03-19T00:00:00"/>
    <n v="442.36590000000001"/>
    <n v="8"/>
    <x v="1075"/>
    <n v="89456"/>
    <n v="5128.88"/>
  </r>
  <r>
    <n v="11.58"/>
    <n v="5.72"/>
    <n v="1971"/>
    <s v="Marsha Roy"/>
    <s v="Regular Air"/>
    <s v="Corporate"/>
    <x v="0"/>
    <x v="4"/>
    <s v="Small Box"/>
    <s v="Peel &amp; Seel® Recycled Catalog Envelopes, Brown"/>
    <n v="0.35"/>
    <s v="United States"/>
    <s v="South"/>
    <s v="Mississippi"/>
    <s v="Tupelo"/>
    <n v="38801"/>
    <d v="2015-01-18T00:00:00"/>
    <d v="2015-01-19T00:00:00"/>
    <n v="-259.75599999999997"/>
    <n v="3"/>
    <x v="234"/>
    <n v="91550"/>
    <n v="106.44"/>
  </r>
  <r>
    <n v="350.99"/>
    <n v="39"/>
    <n v="1972"/>
    <s v="Priscilla Brandon"/>
    <s v="Delivery Truck"/>
    <s v="Corporate"/>
    <x v="1"/>
    <x v="1"/>
    <s v="Jumbo Drum"/>
    <s v="Global Leather Executive Chair"/>
    <n v="0.55000000000000004"/>
    <s v="United States"/>
    <s v="East"/>
    <s v="Pennsylvania"/>
    <s v="Willow Grove"/>
    <n v="19090"/>
    <d v="2015-01-18T00:00:00"/>
    <d v="2015-01-20T00:00:00"/>
    <n v="1469.7275999999999"/>
    <n v="6"/>
    <x v="1076"/>
    <n v="91550"/>
    <n v="12780.24"/>
  </r>
  <r>
    <n v="15.99"/>
    <n v="9.4"/>
    <n v="1972"/>
    <s v="Priscilla Brandon"/>
    <s v="Express Air"/>
    <s v="Corporate"/>
    <x v="2"/>
    <x v="6"/>
    <s v="Small Box"/>
    <s v="AT&amp;T Black Trimline Phone, Model 210"/>
    <n v="0.49"/>
    <s v="United States"/>
    <s v="East"/>
    <s v="Pennsylvania"/>
    <s v="Willow Grove"/>
    <n v="19090"/>
    <d v="2015-01-18T00:00:00"/>
    <d v="2015-01-20T00:00:00"/>
    <n v="-83.553060000000002"/>
    <n v="5"/>
    <x v="1077"/>
    <n v="91550"/>
    <n v="414"/>
  </r>
  <r>
    <n v="20.48"/>
    <n v="6.32"/>
    <n v="1974"/>
    <s v="Robert Brantley"/>
    <s v="Regular Air"/>
    <s v="Consumer"/>
    <x v="0"/>
    <x v="15"/>
    <s v="Small Box"/>
    <s v="Kensington 6 Outlet Guardian Standard Surge Protector"/>
    <n v="0.57999999999999996"/>
    <s v="United States"/>
    <s v="Central"/>
    <s v="Michigan"/>
    <s v="Dearborn Heights"/>
    <n v="48127"/>
    <d v="2015-05-20T00:00:00"/>
    <d v="2015-05-21T00:00:00"/>
    <n v="-16.89"/>
    <n v="5"/>
    <x v="1078"/>
    <n v="89040"/>
    <n v="495.09999999999997"/>
  </r>
  <r>
    <n v="15.67"/>
    <n v="1.39"/>
    <n v="1974"/>
    <s v="Robert Brantley"/>
    <s v="Regular Air"/>
    <s v="Consumer"/>
    <x v="0"/>
    <x v="4"/>
    <s v="Small Box"/>
    <s v="#10 White Business Envelopes,4 1/8 x 9 1/2"/>
    <n v="0.38"/>
    <s v="United States"/>
    <s v="Central"/>
    <s v="Michigan"/>
    <s v="Dearborn Heights"/>
    <n v="48127"/>
    <d v="2015-05-20T00:00:00"/>
    <d v="2015-05-21T00:00:00"/>
    <n v="25.51"/>
    <n v="3"/>
    <x v="1079"/>
    <n v="89040"/>
    <n v="139.19999999999999"/>
  </r>
  <r>
    <n v="70.98"/>
    <n v="46.74"/>
    <n v="1976"/>
    <s v="Sherri F Vogel"/>
    <s v="Delivery Truck"/>
    <s v="Consumer"/>
    <x v="1"/>
    <x v="14"/>
    <s v="Jumbo Box"/>
    <s v="Hon Metal Bookcases, Putty"/>
    <n v="0.56000000000000005"/>
    <s v="United States"/>
    <s v="Central"/>
    <s v="Michigan"/>
    <s v="East Lansing"/>
    <n v="48823"/>
    <d v="2015-01-10T00:00:00"/>
    <d v="2015-01-11T00:00:00"/>
    <n v="-850.65239999999994"/>
    <n v="8"/>
    <x v="1080"/>
    <n v="89039"/>
    <n v="4412.08"/>
  </r>
  <r>
    <n v="11.55"/>
    <n v="2.36"/>
    <n v="1976"/>
    <s v="Sherri F Vogel"/>
    <s v="Regular Air"/>
    <s v="Consumer"/>
    <x v="0"/>
    <x v="0"/>
    <s v="Wrap Bag"/>
    <s v="Newell 309"/>
    <n v="0.55000000000000004"/>
    <s v="United States"/>
    <s v="Central"/>
    <s v="Michigan"/>
    <s v="East Lansing"/>
    <n v="48823"/>
    <d v="2015-01-10T00:00:00"/>
    <d v="2015-01-12T00:00:00"/>
    <n v="98.525099999999995"/>
    <n v="12"/>
    <x v="1081"/>
    <n v="89039"/>
    <n v="1713.48"/>
  </r>
  <r>
    <n v="40.99"/>
    <n v="17.48"/>
    <n v="1976"/>
    <s v="Sherri F Vogel"/>
    <s v="Regular Air"/>
    <s v="Consumer"/>
    <x v="0"/>
    <x v="7"/>
    <s v="Small Box"/>
    <s v="Xerox 1893"/>
    <n v="0.36"/>
    <s v="United States"/>
    <s v="Central"/>
    <s v="Michigan"/>
    <s v="East Lansing"/>
    <n v="48823"/>
    <d v="2015-03-23T00:00:00"/>
    <d v="2015-03-25T00:00:00"/>
    <n v="214.23"/>
    <n v="14"/>
    <x v="1082"/>
    <n v="89041"/>
    <n v="8191.1200000000008"/>
  </r>
  <r>
    <n v="20.99"/>
    <n v="3.3"/>
    <n v="1979"/>
    <s v="Marianne Weiner Ennis"/>
    <s v="Regular Air"/>
    <s v="Corporate"/>
    <x v="2"/>
    <x v="5"/>
    <s v="Small Pack"/>
    <s v="Accessory39"/>
    <n v="0.81"/>
    <s v="United States"/>
    <s v="West"/>
    <s v="Colorado"/>
    <s v="Littleton"/>
    <n v="80122"/>
    <d v="2015-05-05T00:00:00"/>
    <d v="2015-05-06T00:00:00"/>
    <n v="21.883400000000002"/>
    <n v="4"/>
    <x v="1083"/>
    <n v="87757"/>
    <n v="291"/>
  </r>
  <r>
    <n v="7.37"/>
    <n v="5.53"/>
    <n v="1984"/>
    <s v="Lynne Wilcox"/>
    <s v="Regular Air"/>
    <s v="Consumer"/>
    <x v="2"/>
    <x v="13"/>
    <s v="Small Pack"/>
    <s v="Imation 3.5&quot; Unformatted DS/HD Diskettes, 10/Box"/>
    <n v="0.69"/>
    <s v="United States"/>
    <s v="South"/>
    <s v="South Carolina"/>
    <s v="Hilton Head Island"/>
    <n v="29915"/>
    <d v="2015-05-16T00:00:00"/>
    <d v="2015-05-16T00:00:00"/>
    <n v="290.202"/>
    <n v="38"/>
    <x v="1084"/>
    <n v="91258"/>
    <n v="10234.539999999999"/>
  </r>
  <r>
    <n v="15.31"/>
    <n v="8.7799999999999994"/>
    <n v="1986"/>
    <s v="Lynda Rosenthal"/>
    <s v="Regular Air"/>
    <s v="Home Office"/>
    <x v="0"/>
    <x v="10"/>
    <s v="Small Box"/>
    <s v="Eldon Jumbo ProFile™ Portable File Boxes Graphite/Black"/>
    <n v="0.56999999999999995"/>
    <s v="United States"/>
    <s v="Central"/>
    <s v="Texas"/>
    <s v="Midland"/>
    <n v="79701"/>
    <d v="2015-05-06T00:00:00"/>
    <d v="2015-05-07T00:00:00"/>
    <n v="12.146000000000001"/>
    <n v="23"/>
    <x v="1085"/>
    <n v="90888"/>
    <n v="8671"/>
  </r>
  <r>
    <n v="7.99"/>
    <n v="5.03"/>
    <n v="1986"/>
    <s v="Lynda Rosenthal"/>
    <s v="Express Air"/>
    <s v="Home Office"/>
    <x v="2"/>
    <x v="5"/>
    <s v="Medium Box"/>
    <s v="Bell Sonecor JB700 Caller ID"/>
    <n v="0.6"/>
    <s v="United States"/>
    <s v="Central"/>
    <s v="Texas"/>
    <s v="Midland"/>
    <n v="79701"/>
    <d v="2015-05-06T00:00:00"/>
    <d v="2015-05-08T00:00:00"/>
    <n v="5.6870000000000003"/>
    <n v="4"/>
    <x v="1086"/>
    <n v="90888"/>
    <n v="171.96"/>
  </r>
  <r>
    <n v="20.98"/>
    <n v="21.2"/>
    <n v="1988"/>
    <s v="Anna Burgess"/>
    <s v="Regular Air"/>
    <s v="Home Office"/>
    <x v="1"/>
    <x v="2"/>
    <s v="Medium Box"/>
    <s v="36X48 HARDFLOOR CHAIRMAT"/>
    <n v="0.78"/>
    <s v="United States"/>
    <s v="West"/>
    <s v="Utah"/>
    <s v="Draper"/>
    <n v="84020"/>
    <d v="2015-01-03T00:00:00"/>
    <d v="2015-01-04T00:00:00"/>
    <n v="-181.102"/>
    <n v="3"/>
    <x v="1087"/>
    <n v="89999"/>
    <n v="197.07"/>
  </r>
  <r>
    <n v="355.98"/>
    <n v="58.92"/>
    <n v="1989"/>
    <s v="David Weaver"/>
    <s v="Delivery Truck"/>
    <s v="Home Office"/>
    <x v="1"/>
    <x v="1"/>
    <s v="Jumbo Drum"/>
    <s v="Hon 4700 Series Mobuis™ Mid-Back Task Chairs with Adjustable Arms"/>
    <n v="0.64"/>
    <s v="United States"/>
    <s v="West"/>
    <s v="Utah"/>
    <s v="Holladay"/>
    <n v="84117"/>
    <d v="2015-01-21T00:00:00"/>
    <d v="2015-01-22T00:00:00"/>
    <n v="882.93"/>
    <n v="8"/>
    <x v="1088"/>
    <n v="90000"/>
    <n v="21985.68"/>
  </r>
  <r>
    <n v="19.98"/>
    <n v="8.68"/>
    <n v="1989"/>
    <s v="David Weaver"/>
    <s v="Regular Air"/>
    <s v="Home Office"/>
    <x v="0"/>
    <x v="7"/>
    <s v="Small Box"/>
    <s v="Southworth 25% Cotton Premium Laser Paper and Envelopes"/>
    <n v="0.37"/>
    <s v="United States"/>
    <s v="West"/>
    <s v="Utah"/>
    <s v="Holladay"/>
    <n v="84117"/>
    <d v="2015-01-21T00:00:00"/>
    <d v="2015-01-22T00:00:00"/>
    <n v="6.6803999999999997"/>
    <n v="5"/>
    <x v="1089"/>
    <n v="90000"/>
    <n v="465.95"/>
  </r>
  <r>
    <n v="30.98"/>
    <n v="6.5"/>
    <n v="1989"/>
    <s v="David Weaver"/>
    <s v="Regular Air"/>
    <s v="Corporate"/>
    <x v="2"/>
    <x v="13"/>
    <s v="Small Box"/>
    <s v="Belkin ErgoBoard™ Keyboard"/>
    <n v="0.64"/>
    <s v="United States"/>
    <s v="West"/>
    <s v="Utah"/>
    <s v="Holladay"/>
    <n v="84117"/>
    <d v="2015-05-15T00:00:00"/>
    <d v="2015-05-16T00:00:00"/>
    <n v="46.29"/>
    <n v="11"/>
    <x v="1090"/>
    <n v="90001"/>
    <n v="3997.07"/>
  </r>
  <r>
    <n v="40.99"/>
    <n v="19.989999999999998"/>
    <n v="1989"/>
    <s v="David Weaver"/>
    <s v="Regular Air"/>
    <s v="Corporate"/>
    <x v="0"/>
    <x v="7"/>
    <s v="Small Box"/>
    <s v="White Dual Perf Computer Printout Paper, 2700 Sheets, 1 Part, Heavyweight, 20 lbs., 14 7/8 x 11"/>
    <n v="0.36"/>
    <s v="United States"/>
    <s v="West"/>
    <s v="Utah"/>
    <s v="Holladay"/>
    <n v="84117"/>
    <d v="2015-05-15T00:00:00"/>
    <d v="2015-05-18T00:00:00"/>
    <n v="177.79"/>
    <n v="11"/>
    <x v="1091"/>
    <n v="90001"/>
    <n v="5288.25"/>
  </r>
  <r>
    <n v="1.6"/>
    <n v="1.29"/>
    <n v="1989"/>
    <s v="David Weaver"/>
    <s v="Regular Air"/>
    <s v="Home Office"/>
    <x v="0"/>
    <x v="0"/>
    <s v="Wrap Bag"/>
    <s v="Sanford Pocket Accent® Highlighters"/>
    <n v="0.42"/>
    <s v="United States"/>
    <s v="West"/>
    <s v="Utah"/>
    <s v="Holladay"/>
    <n v="84117"/>
    <d v="2015-04-30T00:00:00"/>
    <d v="2015-04-30T00:00:00"/>
    <n v="-14.990399999999999"/>
    <n v="11"/>
    <x v="1092"/>
    <n v="90003"/>
    <n v="185.67999999999998"/>
  </r>
  <r>
    <n v="47.9"/>
    <n v="5.86"/>
    <n v="1991"/>
    <s v="Paula Hubbard"/>
    <s v="Regular Air"/>
    <s v="Home Office"/>
    <x v="0"/>
    <x v="7"/>
    <s v="Small Box"/>
    <s v="Xerox 1938"/>
    <n v="0.37"/>
    <s v="United States"/>
    <s v="West"/>
    <s v="Utah"/>
    <s v="Kearns"/>
    <n v="84118"/>
    <d v="2015-02-22T00:00:00"/>
    <d v="2015-02-24T00:00:00"/>
    <n v="638.38109999999995"/>
    <n v="18"/>
    <x v="1093"/>
    <n v="90002"/>
    <n v="16653.420000000002"/>
  </r>
  <r>
    <n v="125.99"/>
    <n v="8.99"/>
    <n v="1997"/>
    <s v="Harriet Bowman"/>
    <s v="Regular Air"/>
    <s v="Consumer"/>
    <x v="2"/>
    <x v="5"/>
    <s v="Small Box"/>
    <s v="5170i"/>
    <n v="0.56999999999999995"/>
    <s v="United States"/>
    <s v="South"/>
    <s v="South Carolina"/>
    <s v="Hilton Head Island"/>
    <n v="29915"/>
    <d v="2015-01-25T00:00:00"/>
    <d v="2015-01-28T00:00:00"/>
    <n v="17.652000000000001"/>
    <n v="4"/>
    <x v="1094"/>
    <n v="90333"/>
    <n v="1634.64"/>
  </r>
  <r>
    <n v="16.48"/>
    <n v="1.99"/>
    <n v="1997"/>
    <s v="Harriet Bowman"/>
    <s v="Regular Air"/>
    <s v="Consumer"/>
    <x v="2"/>
    <x v="13"/>
    <s v="Small Pack"/>
    <s v="Maxell DVD-RAM Discs"/>
    <n v="0.42"/>
    <s v="United States"/>
    <s v="South"/>
    <s v="South Carolina"/>
    <s v="Hilton Head Island"/>
    <n v="29915"/>
    <d v="2015-05-07T00:00:00"/>
    <d v="2015-05-08T00:00:00"/>
    <n v="739.67399999999998"/>
    <n v="7"/>
    <x v="1095"/>
    <n v="90334"/>
    <n v="860.51"/>
  </r>
  <r>
    <n v="24.92"/>
    <n v="12.98"/>
    <n v="1997"/>
    <s v="Harriet Bowman"/>
    <s v="Regular Air"/>
    <s v="Consumer"/>
    <x v="0"/>
    <x v="8"/>
    <s v="Small Box"/>
    <s v="GBC Standard Therm-A-Bind Covers"/>
    <n v="0.39"/>
    <s v="United States"/>
    <s v="South"/>
    <s v="South Carolina"/>
    <s v="Hilton Head Island"/>
    <n v="29915"/>
    <d v="2015-06-02T00:00:00"/>
    <d v="2015-06-02T00:00:00"/>
    <n v="-23.155999999999999"/>
    <n v="1"/>
    <x v="1096"/>
    <n v="90335"/>
    <n v="32.659999999999997"/>
  </r>
  <r>
    <n v="4.42"/>
    <n v="4.99"/>
    <n v="1998"/>
    <s v="Judy Frazier"/>
    <s v="Regular Air"/>
    <s v="Corporate"/>
    <x v="0"/>
    <x v="4"/>
    <s v="Small Box"/>
    <s v="Grip Seal Envelopes"/>
    <n v="0.38"/>
    <s v="United States"/>
    <s v="East"/>
    <s v="New York"/>
    <s v="East Massapequa"/>
    <n v="11758"/>
    <d v="2015-06-03T00:00:00"/>
    <d v="2015-06-05T00:00:00"/>
    <n v="-10.435"/>
    <n v="3"/>
    <x v="1097"/>
    <n v="90568"/>
    <n v="44.55"/>
  </r>
  <r>
    <n v="4.24"/>
    <n v="5.41"/>
    <n v="2004"/>
    <s v="James Dickinson Ball"/>
    <s v="Regular Air"/>
    <s v="Home Office"/>
    <x v="0"/>
    <x v="8"/>
    <s v="Small Box"/>
    <s v="Storex DuraTech Recycled Plastic Frosted Binders"/>
    <n v="0.35"/>
    <s v="United States"/>
    <s v="West"/>
    <s v="Montana"/>
    <s v="Bozeman"/>
    <n v="59715"/>
    <d v="2015-04-17T00:00:00"/>
    <d v="2015-04-19T00:00:00"/>
    <n v="-78.916679999999999"/>
    <n v="10"/>
    <x v="1098"/>
    <n v="91277"/>
    <n v="450"/>
  </r>
  <r>
    <n v="6783.02"/>
    <n v="24.49"/>
    <n v="2004"/>
    <s v="James Dickinson Ball"/>
    <s v="Regular Air"/>
    <s v="Home Office"/>
    <x v="2"/>
    <x v="6"/>
    <s v="Large Box"/>
    <s v="Polycom ViewStation™ ISDN Videoconferencing Unit"/>
    <n v="0.39"/>
    <s v="United States"/>
    <s v="West"/>
    <s v="Montana"/>
    <s v="Bozeman"/>
    <n v="59715"/>
    <d v="2015-04-17T00:00:00"/>
    <d v="2015-04-19T00:00:00"/>
    <n v="-13562.637409999999"/>
    <n v="1"/>
    <x v="1099"/>
    <n v="91277"/>
    <n v="6569.07"/>
  </r>
  <r>
    <n v="5.78"/>
    <n v="5.37"/>
    <n v="2006"/>
    <s v="Cynthia Khan"/>
    <s v="Regular Air"/>
    <s v="Home Office"/>
    <x v="0"/>
    <x v="7"/>
    <s v="Small Box"/>
    <s v="Xerox 1950"/>
    <n v="0.36"/>
    <s v="United States"/>
    <s v="West"/>
    <s v="Colorado"/>
    <s v="Durango"/>
    <n v="81301"/>
    <d v="2015-03-05T00:00:00"/>
    <d v="2015-03-06T00:00:00"/>
    <n v="-63.35"/>
    <n v="15"/>
    <x v="1100"/>
    <n v="88798"/>
    <n v="1323.3"/>
  </r>
  <r>
    <n v="10.48"/>
    <n v="2.89"/>
    <n v="2016"/>
    <s v="Wayne Bean"/>
    <s v="Regular Air"/>
    <s v="Corporate"/>
    <x v="0"/>
    <x v="0"/>
    <s v="Small Pack"/>
    <s v="Staples Battery-Operated Desktop Pencil Sharpener"/>
    <n v="0.6"/>
    <s v="United States"/>
    <s v="Central"/>
    <s v="Michigan"/>
    <s v="Southgate"/>
    <n v="48195"/>
    <d v="2015-06-18T00:00:00"/>
    <d v="2015-06-19T00:00:00"/>
    <n v="-8.9039999999999999"/>
    <n v="4"/>
    <x v="1101"/>
    <n v="86874"/>
    <n v="161.16"/>
  </r>
  <r>
    <n v="39.479999999999997"/>
    <n v="1.99"/>
    <n v="2014"/>
    <s v="Cathy Simon"/>
    <s v="Regular Air"/>
    <s v="Home Office"/>
    <x v="2"/>
    <x v="13"/>
    <s v="Small Pack"/>
    <s v="80 Minute CD-R Spindle, 100/Pack - Staples"/>
    <n v="0.54"/>
    <s v="United States"/>
    <s v="Central"/>
    <s v="Iowa"/>
    <s v="Council Bluffs"/>
    <n v="51503"/>
    <d v="2015-03-22T00:00:00"/>
    <d v="2015-03-24T00:00:00"/>
    <n v="88.72"/>
    <n v="4"/>
    <x v="1102"/>
    <n v="88367"/>
    <n v="605.08000000000004"/>
  </r>
  <r>
    <n v="4.91"/>
    <n v="0.5"/>
    <n v="2014"/>
    <s v="Cathy Simon"/>
    <s v="Regular Air"/>
    <s v="Home Office"/>
    <x v="0"/>
    <x v="9"/>
    <s v="Small Box"/>
    <s v="Avery 493"/>
    <n v="0.36"/>
    <s v="United States"/>
    <s v="Central"/>
    <s v="Iowa"/>
    <s v="Council Bluffs"/>
    <n v="51503"/>
    <d v="2015-03-22T00:00:00"/>
    <d v="2015-03-24T00:00:00"/>
    <n v="7.2519"/>
    <n v="2"/>
    <x v="1103"/>
    <n v="88367"/>
    <n v="21.02"/>
  </r>
  <r>
    <n v="6.48"/>
    <n v="7.49"/>
    <n v="2014"/>
    <s v="Cathy Simon"/>
    <s v="Regular Air"/>
    <s v="Home Office"/>
    <x v="0"/>
    <x v="7"/>
    <s v="Small Box"/>
    <s v="Xerox 220"/>
    <n v="0.37"/>
    <s v="United States"/>
    <s v="Central"/>
    <s v="Iowa"/>
    <s v="Council Bluffs"/>
    <n v="51503"/>
    <d v="2015-04-04T00:00:00"/>
    <d v="2015-04-04T00:00:00"/>
    <n v="-191.49"/>
    <n v="12"/>
    <x v="1104"/>
    <n v="88368"/>
    <n v="899.16000000000008"/>
  </r>
  <r>
    <n v="120.98"/>
    <n v="58.64"/>
    <n v="2020"/>
    <s v="Erika Jordan"/>
    <s v="Delivery Truck"/>
    <s v="Home Office"/>
    <x v="1"/>
    <x v="14"/>
    <s v="Jumbo Box"/>
    <s v="O'Sullivan Living Dimensions 2-Shelf Bookcases"/>
    <n v="0.75"/>
    <s v="United States"/>
    <s v="East"/>
    <s v="Pennsylvania"/>
    <s v="Plum"/>
    <n v="15239"/>
    <d v="2015-02-13T00:00:00"/>
    <d v="2015-02-15T00:00:00"/>
    <n v="-1330.5"/>
    <n v="11"/>
    <x v="1105"/>
    <n v="86933"/>
    <n v="15080.89"/>
  </r>
  <r>
    <n v="120.97"/>
    <n v="7.11"/>
    <n v="2030"/>
    <s v="Lindsay O'Connell"/>
    <s v="Regular Air"/>
    <s v="Corporate"/>
    <x v="2"/>
    <x v="6"/>
    <s v="Medium Box"/>
    <s v="Canon BP1200DH 12-Digit Bubble Jet Printing Calculator"/>
    <n v="0.36"/>
    <s v="United States"/>
    <s v="Central"/>
    <s v="Texas"/>
    <s v="Greenville"/>
    <n v="75401"/>
    <d v="2015-03-17T00:00:00"/>
    <d v="2015-03-17T00:00:00"/>
    <n v="1320.5496000000001"/>
    <n v="16"/>
    <x v="1106"/>
    <n v="91059"/>
    <n v="30621.439999999999"/>
  </r>
  <r>
    <n v="195.99"/>
    <n v="4.2"/>
    <n v="2030"/>
    <s v="Lindsay O'Connell"/>
    <s v="Regular Air"/>
    <s v="Corporate"/>
    <x v="2"/>
    <x v="5"/>
    <s v="Small Box"/>
    <n v="688"/>
    <n v="0.6"/>
    <s v="United States"/>
    <s v="Central"/>
    <s v="Texas"/>
    <s v="Greenville"/>
    <n v="75401"/>
    <d v="2015-03-17T00:00:00"/>
    <d v="2015-03-19T00:00:00"/>
    <n v="1585.5029999999999"/>
    <n v="16"/>
    <x v="1107"/>
    <n v="91059"/>
    <n v="43073.919999999998"/>
  </r>
  <r>
    <n v="55.98"/>
    <n v="4.8600000000000003"/>
    <n v="2030"/>
    <s v="Lindsay O'Connell"/>
    <s v="Regular Air"/>
    <s v="Corporate"/>
    <x v="0"/>
    <x v="7"/>
    <s v="Small Box"/>
    <s v="Xerox 1908"/>
    <n v="0.36"/>
    <s v="United States"/>
    <s v="Central"/>
    <s v="Texas"/>
    <s v="Greenville"/>
    <n v="75401"/>
    <d v="2015-03-18T00:00:00"/>
    <d v="2015-03-20T00:00:00"/>
    <n v="526.04219999999998"/>
    <n v="13"/>
    <x v="1108"/>
    <n v="91060"/>
    <n v="9910.94"/>
  </r>
  <r>
    <n v="1.89"/>
    <n v="0.76"/>
    <n v="2035"/>
    <s v="Jon Ward"/>
    <s v="Regular Air"/>
    <s v="Consumer"/>
    <x v="0"/>
    <x v="3"/>
    <s v="Wrap Bag"/>
    <s v="Revere Boxed Rubber Bands by Revere"/>
    <n v="0.83"/>
    <s v="United States"/>
    <s v="South"/>
    <s v="Florida"/>
    <s v="Palm Beach Gardens"/>
    <n v="33403"/>
    <d v="2015-05-18T00:00:00"/>
    <d v="2015-05-20T00:00:00"/>
    <n v="-40.432000000000002"/>
    <n v="20"/>
    <x v="1109"/>
    <n v="87117"/>
    <n v="734.4"/>
  </r>
  <r>
    <n v="73.98"/>
    <n v="14.52"/>
    <n v="2037"/>
    <s v="Lynda Herman"/>
    <s v="Regular Air"/>
    <s v="Small Business"/>
    <x v="2"/>
    <x v="13"/>
    <s v="Small Box"/>
    <s v="Keytronic French Keyboard"/>
    <n v="0.65"/>
    <s v="United States"/>
    <s v="West"/>
    <s v="Montana"/>
    <s v="Bozeman"/>
    <n v="59715"/>
    <d v="2015-03-12T00:00:00"/>
    <d v="2015-03-14T00:00:00"/>
    <n v="-88.61"/>
    <n v="4"/>
    <x v="1110"/>
    <n v="89333"/>
    <n v="1222.8399999999999"/>
  </r>
  <r>
    <n v="40.99"/>
    <n v="17.48"/>
    <n v="2038"/>
    <s v="Peter Adams"/>
    <s v="Regular Air"/>
    <s v="Small Business"/>
    <x v="0"/>
    <x v="7"/>
    <s v="Small Box"/>
    <s v="Xerox 1893"/>
    <n v="0.36"/>
    <s v="United States"/>
    <s v="East"/>
    <s v="New York"/>
    <s v="Mount Vernon"/>
    <n v="10550"/>
    <d v="2015-04-21T00:00:00"/>
    <d v="2015-04-21T00:00:00"/>
    <n v="109.16"/>
    <n v="7"/>
    <x v="1111"/>
    <n v="89334"/>
    <n v="1939.8400000000001"/>
  </r>
  <r>
    <n v="20.99"/>
    <n v="2.5"/>
    <n v="2044"/>
    <s v="Jay Simon"/>
    <s v="Regular Air"/>
    <s v="Corporate"/>
    <x v="2"/>
    <x v="5"/>
    <s v="Wrap Bag"/>
    <s v="Accessory37"/>
    <n v="0.81"/>
    <s v="United States"/>
    <s v="South"/>
    <s v="Arkansas"/>
    <s v="Rogers"/>
    <n v="72756"/>
    <d v="2015-06-24T00:00:00"/>
    <d v="2015-07-01T00:00:00"/>
    <n v="-136.12200000000001"/>
    <n v="6"/>
    <x v="1112"/>
    <n v="88692"/>
    <n v="600.66"/>
  </r>
  <r>
    <n v="4.28"/>
    <n v="5.68"/>
    <n v="2046"/>
    <s v="Eileen Schwartz"/>
    <s v="Regular Air"/>
    <s v="Corporate"/>
    <x v="0"/>
    <x v="7"/>
    <s v="Small Box"/>
    <s v="Xerox 199"/>
    <n v="0.4"/>
    <s v="United States"/>
    <s v="Central"/>
    <s v="Kansas"/>
    <s v="Liberal"/>
    <n v="67901"/>
    <d v="2015-06-12T00:00:00"/>
    <d v="2015-06-14T00:00:00"/>
    <n v="-27.375"/>
    <n v="7"/>
    <x v="1113"/>
    <n v="88219"/>
    <n v="220.78"/>
  </r>
  <r>
    <n v="376.13"/>
    <n v="85.63"/>
    <n v="2046"/>
    <s v="Eileen Schwartz"/>
    <s v="Delivery Truck"/>
    <s v="Corporate"/>
    <x v="1"/>
    <x v="11"/>
    <s v="Jumbo Box"/>
    <s v="Bretford Rectangular Conference Table Tops"/>
    <n v="0.74"/>
    <s v="United States"/>
    <s v="Central"/>
    <s v="Kansas"/>
    <s v="Liberal"/>
    <n v="67901"/>
    <d v="2015-06-12T00:00:00"/>
    <d v="2015-06-14T00:00:00"/>
    <n v="-435.75749999999999"/>
    <n v="13"/>
    <x v="1114"/>
    <n v="88219"/>
    <n v="60250.969999999994"/>
  </r>
  <r>
    <n v="424.21"/>
    <n v="110.2"/>
    <n v="2046"/>
    <s v="Eileen Schwartz"/>
    <s v="Delivery Truck"/>
    <s v="Corporate"/>
    <x v="1"/>
    <x v="11"/>
    <s v="Jumbo Box"/>
    <s v="Bush Advantage Collection® Racetrack Conference Table"/>
    <n v="0.67"/>
    <s v="United States"/>
    <s v="Central"/>
    <s v="Kansas"/>
    <s v="Liberal"/>
    <n v="67901"/>
    <d v="2015-06-12T00:00:00"/>
    <d v="2015-06-13T00:00:00"/>
    <n v="682.53"/>
    <n v="17"/>
    <x v="1115"/>
    <n v="88219"/>
    <n v="124168.51"/>
  </r>
  <r>
    <n v="195.99"/>
    <n v="8.99"/>
    <n v="2046"/>
    <s v="Eileen Schwartz"/>
    <s v="Regular Air"/>
    <s v="Corporate"/>
    <x v="2"/>
    <x v="5"/>
    <s v="Small Box"/>
    <s v="T28 WORLD"/>
    <n v="0.6"/>
    <s v="United States"/>
    <s v="Central"/>
    <s v="Kansas"/>
    <s v="Liberal"/>
    <n v="67901"/>
    <d v="2015-06-12T00:00:00"/>
    <d v="2015-06-14T00:00:00"/>
    <n v="-277.22199999999998"/>
    <n v="4"/>
    <x v="1116"/>
    <n v="88219"/>
    <n v="2530.6"/>
  </r>
  <r>
    <n v="15.28"/>
    <n v="1.99"/>
    <n v="2049"/>
    <s v="Kenneth Pollock"/>
    <s v="Regular Air"/>
    <s v="Corporate"/>
    <x v="2"/>
    <x v="13"/>
    <s v="Small Pack"/>
    <s v="Memorex 4.7GB DVD+R, 3/Pack"/>
    <n v="0.42"/>
    <s v="United States"/>
    <s v="South"/>
    <s v="Virginia"/>
    <s v="Harrisonburg"/>
    <n v="22801"/>
    <d v="2015-06-21T00:00:00"/>
    <d v="2015-06-23T00:00:00"/>
    <n v="-266.68599999999998"/>
    <n v="19"/>
    <x v="1117"/>
    <n v="88220"/>
    <n v="5528.6200000000008"/>
  </r>
  <r>
    <n v="1.76"/>
    <n v="0.7"/>
    <n v="2049"/>
    <s v="Kenneth Pollock"/>
    <s v="Regular Air"/>
    <s v="Corporate"/>
    <x v="0"/>
    <x v="0"/>
    <s v="Wrap Bag"/>
    <s v="Newell 326"/>
    <n v="0.56000000000000005"/>
    <s v="United States"/>
    <s v="South"/>
    <s v="Virginia"/>
    <s v="Harrisonburg"/>
    <n v="22801"/>
    <d v="2015-06-21T00:00:00"/>
    <d v="2015-06-24T00:00:00"/>
    <n v="-12.278"/>
    <n v="13"/>
    <x v="1118"/>
    <n v="88220"/>
    <n v="283.01"/>
  </r>
  <r>
    <n v="31.78"/>
    <n v="1.99"/>
    <n v="2052"/>
    <s v="Francis Kendall"/>
    <s v="Regular Air"/>
    <s v="Home Office"/>
    <x v="2"/>
    <x v="13"/>
    <s v="Small Pack"/>
    <s v="Memorex 4.7GB DVD-RAM, 3/Pack"/>
    <n v="0.42"/>
    <s v="United States"/>
    <s v="West"/>
    <s v="New Mexico"/>
    <s v="Albuquerque"/>
    <n v="87105"/>
    <d v="2015-02-19T00:00:00"/>
    <d v="2015-02-21T00:00:00"/>
    <n v="265.11180000000002"/>
    <n v="13"/>
    <x v="1119"/>
    <n v="87234"/>
    <n v="4994.8600000000006"/>
  </r>
  <r>
    <n v="5.98"/>
    <n v="2.5"/>
    <n v="2052"/>
    <s v="Francis Kendall"/>
    <s v="Regular Air"/>
    <s v="Home Office"/>
    <x v="0"/>
    <x v="4"/>
    <s v="Small Box"/>
    <s v="Wausau Papers Astrobrights® Colored Envelopes"/>
    <n v="0.36"/>
    <s v="United States"/>
    <s v="West"/>
    <s v="New Mexico"/>
    <s v="Albuquerque"/>
    <n v="87105"/>
    <d v="2015-02-19T00:00:00"/>
    <d v="2015-02-20T00:00:00"/>
    <n v="9.5608000000000004"/>
    <n v="5"/>
    <x v="1120"/>
    <n v="87234"/>
    <n v="158.19999999999999"/>
  </r>
  <r>
    <n v="35.99"/>
    <n v="1.1000000000000001"/>
    <n v="2052"/>
    <s v="Francis Kendall"/>
    <s v="Express Air"/>
    <s v="Home Office"/>
    <x v="2"/>
    <x v="5"/>
    <s v="Small Box"/>
    <s v="Accessory35"/>
    <n v="0.55000000000000004"/>
    <s v="United States"/>
    <s v="West"/>
    <s v="New Mexico"/>
    <s v="Albuquerque"/>
    <n v="87105"/>
    <d v="2015-02-19T00:00:00"/>
    <d v="2015-02-20T00:00:00"/>
    <n v="390.09840000000003"/>
    <n v="19"/>
    <x v="1121"/>
    <n v="87234"/>
    <n v="10741.84"/>
  </r>
  <r>
    <n v="5.98"/>
    <n v="5.46"/>
    <n v="2058"/>
    <s v="Louise Webster Sharma"/>
    <s v="Regular Air"/>
    <s v="Corporate"/>
    <x v="0"/>
    <x v="7"/>
    <s v="Small Box"/>
    <s v="Xerox 1983"/>
    <n v="0.36"/>
    <s v="United States"/>
    <s v="South"/>
    <s v="North Carolina"/>
    <s v="Hickory"/>
    <n v="28601"/>
    <d v="2015-02-13T00:00:00"/>
    <d v="2015-02-15T00:00:00"/>
    <n v="46.65"/>
    <n v="5"/>
    <x v="1122"/>
    <n v="88040"/>
    <n v="163.79999999999998"/>
  </r>
  <r>
    <n v="28.48"/>
    <n v="1.99"/>
    <n v="2059"/>
    <s v="Nathan Newton"/>
    <s v="Regular Air"/>
    <s v="Corporate"/>
    <x v="2"/>
    <x v="13"/>
    <s v="Small Pack"/>
    <s v="Memorex 4.7GB DVD+RW, 3/Pack"/>
    <n v="0.4"/>
    <s v="United States"/>
    <s v="South"/>
    <s v="North Carolina"/>
    <s v="High Point"/>
    <n v="27260"/>
    <d v="2015-01-17T00:00:00"/>
    <d v="2015-01-18T00:00:00"/>
    <n v="-1250.7460000000001"/>
    <n v="13"/>
    <x v="1123"/>
    <n v="88039"/>
    <n v="4379.96"/>
  </r>
  <r>
    <n v="9.85"/>
    <n v="4.82"/>
    <n v="2059"/>
    <s v="Nathan Newton"/>
    <s v="Regular Air"/>
    <s v="Corporate"/>
    <x v="0"/>
    <x v="0"/>
    <s v="Wrap Bag"/>
    <s v="Lumber Crayons"/>
    <n v="0.47"/>
    <s v="United States"/>
    <s v="South"/>
    <s v="North Carolina"/>
    <s v="High Point"/>
    <n v="27260"/>
    <d v="2015-03-27T00:00:00"/>
    <d v="2015-03-28T00:00:00"/>
    <n v="374.904"/>
    <n v="12"/>
    <x v="1124"/>
    <n v="88041"/>
    <n v="1378.92"/>
  </r>
  <r>
    <n v="125.99"/>
    <n v="7.69"/>
    <n v="2059"/>
    <s v="Nathan Newton"/>
    <s v="Regular Air"/>
    <s v="Corporate"/>
    <x v="2"/>
    <x v="5"/>
    <s v="Small Box"/>
    <s v="Timeport L7089"/>
    <n v="0.57999999999999996"/>
    <s v="United States"/>
    <s v="South"/>
    <s v="North Carolina"/>
    <s v="High Point"/>
    <n v="27260"/>
    <d v="2015-03-27T00:00:00"/>
    <d v="2015-03-28T00:00:00"/>
    <n v="-528.83600000000001"/>
    <n v="9"/>
    <x v="1125"/>
    <n v="88041"/>
    <n v="8410.68"/>
  </r>
  <r>
    <n v="240.98"/>
    <n v="60.2"/>
    <n v="2061"/>
    <s v="Marianne Carey"/>
    <s v="Delivery Truck"/>
    <s v="Corporate"/>
    <x v="1"/>
    <x v="14"/>
    <s v="Jumbo Box"/>
    <s v="Atlantic Metals Mobile 2-Shelf Bookcases, Custom Colors"/>
    <n v="0.56000000000000005"/>
    <s v="United States"/>
    <s v="Central"/>
    <s v="Nebraska"/>
    <s v="North Platte"/>
    <n v="69101"/>
    <d v="2015-01-29T00:00:00"/>
    <d v="2015-01-31T00:00:00"/>
    <n v="-272.71319999999997"/>
    <n v="1"/>
    <x v="1126"/>
    <n v="87146"/>
    <n v="260.66000000000003"/>
  </r>
  <r>
    <n v="420.98"/>
    <n v="19.989999999999998"/>
    <n v="2062"/>
    <s v="Alfred Singh"/>
    <s v="Regular Air"/>
    <s v="Corporate"/>
    <x v="0"/>
    <x v="8"/>
    <s v="Small Box"/>
    <s v="GBC DocuBind 200 Manual Binding Machine"/>
    <n v="0.35"/>
    <s v="United States"/>
    <s v="South"/>
    <s v="Virginia"/>
    <s v="Mechanicsville"/>
    <n v="23111"/>
    <d v="2015-01-29T00:00:00"/>
    <d v="2015-02-01T00:00:00"/>
    <n v="-162.69399999999999"/>
    <n v="10"/>
    <x v="1127"/>
    <n v="87146"/>
    <n v="42493.7"/>
  </r>
  <r>
    <n v="291.73"/>
    <n v="48.8"/>
    <n v="2062"/>
    <s v="Alfred Singh"/>
    <s v="Delivery Truck"/>
    <s v="Corporate"/>
    <x v="1"/>
    <x v="1"/>
    <s v="Jumbo Drum"/>
    <s v="Hon 4070 Series Pagoda™ Armless Upholstered Stacking Chairs"/>
    <n v="0.56000000000000005"/>
    <s v="United States"/>
    <s v="South"/>
    <s v="Virginia"/>
    <s v="Mechanicsville"/>
    <n v="23111"/>
    <d v="2015-06-26T00:00:00"/>
    <d v="2015-06-30T00:00:00"/>
    <n v="-115.90389999999999"/>
    <n v="22"/>
    <x v="1128"/>
    <n v="87148"/>
    <n v="146885.41999999998"/>
  </r>
  <r>
    <n v="300.97000000000003"/>
    <n v="7.18"/>
    <n v="2063"/>
    <s v="Todd D Norris"/>
    <s v="Regular Air"/>
    <s v="Corporate"/>
    <x v="2"/>
    <x v="13"/>
    <s v="Small Box"/>
    <s v="Gyration Ultra Professional Cordless Optical Suite"/>
    <n v="0.48"/>
    <s v="United States"/>
    <s v="South"/>
    <s v="Virginia"/>
    <s v="Newport News"/>
    <n v="23602"/>
    <d v="2015-05-08T00:00:00"/>
    <d v="2015-05-08T00:00:00"/>
    <n v="-729.98800000000006"/>
    <n v="1"/>
    <x v="1129"/>
    <n v="87147"/>
    <n v="291.39999999999998"/>
  </r>
  <r>
    <n v="20.89"/>
    <n v="11.52"/>
    <n v="2066"/>
    <s v="Claudia Webb"/>
    <s v="Regular Air"/>
    <s v="Home Office"/>
    <x v="0"/>
    <x v="10"/>
    <s v="Small Box"/>
    <s v="Iris® 3-Drawer Stacking Bin, Black"/>
    <n v="0.83"/>
    <s v="United States"/>
    <s v="South"/>
    <s v="North Carolina"/>
    <s v="Indian Trail"/>
    <n v="28079"/>
    <d v="2015-03-26T00:00:00"/>
    <d v="2015-03-27T00:00:00"/>
    <n v="-133.54599999999999"/>
    <n v="7"/>
    <x v="1130"/>
    <n v="85833"/>
    <n v="1025.5"/>
  </r>
  <r>
    <n v="20.99"/>
    <n v="4.8099999999999996"/>
    <n v="2066"/>
    <s v="Claudia Webb"/>
    <s v="Express Air"/>
    <s v="Home Office"/>
    <x v="2"/>
    <x v="5"/>
    <s v="Medium Box"/>
    <s v="1726 Digital Answering Machine"/>
    <n v="0.57999999999999996"/>
    <s v="United States"/>
    <s v="South"/>
    <s v="North Carolina"/>
    <s v="Indian Trail"/>
    <n v="28079"/>
    <d v="2015-03-31T00:00:00"/>
    <d v="2015-04-01T00:00:00"/>
    <n v="272.69400000000002"/>
    <n v="2"/>
    <x v="1131"/>
    <n v="85834"/>
    <n v="77.959999999999994"/>
  </r>
  <r>
    <n v="4.24"/>
    <n v="5.41"/>
    <n v="2066"/>
    <s v="Claudia Webb"/>
    <s v="Regular Air"/>
    <s v="Corporate"/>
    <x v="0"/>
    <x v="8"/>
    <s v="Small Box"/>
    <s v="Storex DuraTech Recycled Plastic Frosted Binders"/>
    <n v="0.35"/>
    <s v="United States"/>
    <s v="South"/>
    <s v="North Carolina"/>
    <s v="Indian Trail"/>
    <n v="28079"/>
    <d v="2015-04-19T00:00:00"/>
    <d v="2015-04-23T00:00:00"/>
    <n v="-61.6"/>
    <n v="8"/>
    <x v="1132"/>
    <n v="85835"/>
    <n v="273.27999999999997"/>
  </r>
  <r>
    <n v="40.98"/>
    <n v="6.5"/>
    <n v="2069"/>
    <s v="Elsie Boykin"/>
    <s v="Regular Air"/>
    <s v="Consumer"/>
    <x v="2"/>
    <x v="13"/>
    <s v="Small Box"/>
    <s v="Targus USB Numeric Keypad"/>
    <n v="0.74"/>
    <s v="United States"/>
    <s v="South"/>
    <s v="Kentucky"/>
    <s v="Fort Thomas"/>
    <n v="41075"/>
    <d v="2015-01-12T00:00:00"/>
    <d v="2015-01-14T00:00:00"/>
    <n v="66.852000000000004"/>
    <n v="3"/>
    <x v="1133"/>
    <n v="88554"/>
    <n v="361.02"/>
  </r>
  <r>
    <n v="35.99"/>
    <n v="5.99"/>
    <n v="2070"/>
    <s v="Kelly Collins"/>
    <s v="Regular Air"/>
    <s v="Corporate"/>
    <x v="2"/>
    <x v="5"/>
    <s v="Wrap Bag"/>
    <s v="Accessory41"/>
    <n v="0.38"/>
    <s v="United States"/>
    <s v="Central"/>
    <s v="Michigan"/>
    <s v="Eastpointe"/>
    <n v="48021"/>
    <d v="2015-05-16T00:00:00"/>
    <d v="2015-05-20T00:00:00"/>
    <n v="17.8398"/>
    <n v="5"/>
    <x v="1134"/>
    <n v="88558"/>
    <n v="768.05000000000007"/>
  </r>
  <r>
    <n v="60.98"/>
    <n v="1.99"/>
    <n v="2071"/>
    <s v="Victor Cherry"/>
    <s v="Regular Air"/>
    <s v="Corporate"/>
    <x v="2"/>
    <x v="13"/>
    <s v="Small Pack"/>
    <s v="Imation 5.2GB DVD-RAM"/>
    <n v="0.5"/>
    <s v="United States"/>
    <s v="Central"/>
    <s v="Michigan"/>
    <s v="Farmington Hills"/>
    <n v="48336"/>
    <d v="2015-02-01T00:00:00"/>
    <d v="2015-02-01T00:00:00"/>
    <n v="976.2672"/>
    <n v="23"/>
    <x v="1135"/>
    <n v="88555"/>
    <n v="32542.240000000002"/>
  </r>
  <r>
    <n v="3.08"/>
    <n v="0.99"/>
    <n v="2071"/>
    <s v="Victor Cherry"/>
    <s v="Regular Air"/>
    <s v="Corporate"/>
    <x v="0"/>
    <x v="9"/>
    <s v="Small Box"/>
    <s v="Avery 481"/>
    <n v="0.37"/>
    <s v="United States"/>
    <s v="Central"/>
    <s v="Michigan"/>
    <s v="Farmington Hills"/>
    <n v="48336"/>
    <d v="2015-02-01T00:00:00"/>
    <d v="2015-02-02T00:00:00"/>
    <n v="23.204699999999999"/>
    <n v="11"/>
    <x v="1136"/>
    <n v="88555"/>
    <n v="369.93"/>
  </r>
  <r>
    <n v="65.989999999999995"/>
    <n v="5.92"/>
    <n v="2071"/>
    <s v="Victor Cherry"/>
    <s v="Express Air"/>
    <s v="Corporate"/>
    <x v="2"/>
    <x v="5"/>
    <s v="Small Box"/>
    <s v="i500plus"/>
    <n v="0.57999999999999996"/>
    <s v="United States"/>
    <s v="Central"/>
    <s v="Michigan"/>
    <s v="Farmington Hills"/>
    <n v="48336"/>
    <d v="2015-05-16T00:00:00"/>
    <d v="2015-05-23T00:00:00"/>
    <n v="183.84299999999999"/>
    <n v="20"/>
    <x v="1137"/>
    <n v="88558"/>
    <n v="21276.199999999997"/>
  </r>
  <r>
    <n v="10.31"/>
    <n v="1.79"/>
    <n v="2072"/>
    <s v="Malcolm S Lanier"/>
    <s v="Regular Air"/>
    <s v="Corporate"/>
    <x v="0"/>
    <x v="7"/>
    <s v="Wrap Bag"/>
    <s v="Speediset Carbonless Redi-Letter® 7&quot; x 8 1/2&quot;"/>
    <n v="0.38"/>
    <s v="United States"/>
    <s v="Central"/>
    <s v="Michigan"/>
    <s v="Flint"/>
    <n v="48505"/>
    <d v="2015-02-01T00:00:00"/>
    <d v="2015-02-03T00:00:00"/>
    <n v="167.46299999999999"/>
    <n v="23"/>
    <x v="1138"/>
    <n v="88555"/>
    <n v="5582.0999999999995"/>
  </r>
  <r>
    <n v="260.98"/>
    <n v="41.91"/>
    <n v="2072"/>
    <s v="Malcolm S Lanier"/>
    <s v="Delivery Truck"/>
    <s v="Corporate"/>
    <x v="1"/>
    <x v="14"/>
    <s v="Jumbo Box"/>
    <s v="Atlantic Metals Mobile 3-Shelf Bookcases, Custom Colors"/>
    <n v="0.59"/>
    <s v="United States"/>
    <s v="Central"/>
    <s v="Michigan"/>
    <s v="Flint"/>
    <n v="48505"/>
    <d v="2015-02-11T00:00:00"/>
    <d v="2015-02-13T00:00:00"/>
    <n v="1307.2692"/>
    <n v="14"/>
    <x v="1139"/>
    <n v="88556"/>
    <n v="47278.84"/>
  </r>
  <r>
    <n v="10.52"/>
    <n v="7.94"/>
    <n v="2072"/>
    <s v="Malcolm S Lanier"/>
    <s v="Regular Air"/>
    <s v="Corporate"/>
    <x v="1"/>
    <x v="2"/>
    <s v="Small Pack"/>
    <s v="Ultra Door Pull Handle"/>
    <n v="0.52"/>
    <s v="United States"/>
    <s v="Central"/>
    <s v="Michigan"/>
    <s v="Flint"/>
    <n v="48505"/>
    <d v="2015-02-11T00:00:00"/>
    <d v="2015-02-13T00:00:00"/>
    <n v="-15.8184"/>
    <n v="11"/>
    <x v="1140"/>
    <n v="88556"/>
    <n v="1363.23"/>
  </r>
  <r>
    <n v="5.98"/>
    <n v="7.5"/>
    <n v="2072"/>
    <s v="Malcolm S Lanier"/>
    <s v="Express Air"/>
    <s v="Corporate"/>
    <x v="0"/>
    <x v="7"/>
    <s v="Small Box"/>
    <s v="Xerox 1920"/>
    <n v="0.4"/>
    <s v="United States"/>
    <s v="Central"/>
    <s v="Michigan"/>
    <s v="Flint"/>
    <n v="48505"/>
    <d v="2015-02-11T00:00:00"/>
    <d v="2015-02-13T00:00:00"/>
    <n v="-55.8324"/>
    <n v="14"/>
    <x v="1141"/>
    <n v="88556"/>
    <n v="1315.4399999999998"/>
  </r>
  <r>
    <n v="291.73"/>
    <n v="48.8"/>
    <n v="2073"/>
    <s v="Evan Kelley"/>
    <s v="Delivery Truck"/>
    <s v="Consumer"/>
    <x v="1"/>
    <x v="1"/>
    <s v="Jumbo Drum"/>
    <s v="Hon 4070 Series Pagoda™ Armless Upholstered Stacking Chairs"/>
    <n v="0.56000000000000005"/>
    <s v="United States"/>
    <s v="Central"/>
    <s v="Michigan"/>
    <s v="Garden City"/>
    <n v="48135"/>
    <d v="2015-04-07T00:00:00"/>
    <d v="2015-04-09T00:00:00"/>
    <n v="550.38080000000002"/>
    <n v="6"/>
    <x v="1142"/>
    <n v="88557"/>
    <n v="10910.460000000001"/>
  </r>
  <r>
    <n v="1.48"/>
    <n v="0.7"/>
    <n v="2081"/>
    <s v="Matthew Conway"/>
    <s v="Regular Air"/>
    <s v="Corporate"/>
    <x v="0"/>
    <x v="3"/>
    <s v="Wrap Bag"/>
    <s v="Binder Clips by OIC"/>
    <n v="0.37"/>
    <s v="United States"/>
    <s v="East"/>
    <s v="New York"/>
    <s v="Ithaca"/>
    <n v="14853"/>
    <d v="2015-01-03T00:00:00"/>
    <d v="2015-01-05T00:00:00"/>
    <n v="1.68"/>
    <n v="6"/>
    <x v="1143"/>
    <n v="86092"/>
    <n v="53.699999999999996"/>
  </r>
  <r>
    <n v="38.06"/>
    <n v="4.5"/>
    <n v="2089"/>
    <s v="Annie Odom"/>
    <s v="Regular Air"/>
    <s v="Corporate"/>
    <x v="0"/>
    <x v="15"/>
    <s v="Small Box"/>
    <s v="Fellowes Superior 10 Outlet Split Surge Protector"/>
    <n v="0.56000000000000005"/>
    <s v="United States"/>
    <s v="East"/>
    <s v="New York"/>
    <s v="New City"/>
    <n v="10956"/>
    <d v="2015-06-30T00:00:00"/>
    <d v="2015-07-06T00:00:00"/>
    <n v="450.45960000000002"/>
    <n v="17"/>
    <x v="1144"/>
    <n v="88348"/>
    <n v="11098.28"/>
  </r>
  <r>
    <n v="599.99"/>
    <n v="24.49"/>
    <n v="2089"/>
    <s v="Annie Odom"/>
    <s v="Regular Air"/>
    <s v="Corporate"/>
    <x v="2"/>
    <x v="16"/>
    <s v="Large Box"/>
    <s v="Hewlett Packard LaserJet 3310 Copier"/>
    <n v="0.37"/>
    <s v="United States"/>
    <s v="East"/>
    <s v="New York"/>
    <s v="New City"/>
    <n v="10956"/>
    <d v="2015-06-30T00:00:00"/>
    <d v="2015-07-08T00:00:00"/>
    <n v="8798.1831000000002"/>
    <n v="22"/>
    <x v="1145"/>
    <n v="88348"/>
    <n v="280521.77999999997"/>
  </r>
  <r>
    <n v="3.98"/>
    <n v="2.97"/>
    <n v="2089"/>
    <s v="Annie Odom"/>
    <s v="Express Air"/>
    <s v="Corporate"/>
    <x v="0"/>
    <x v="7"/>
    <s v="Wrap Bag"/>
    <s v="Unpadded Memo Slips"/>
    <n v="0.35"/>
    <s v="United States"/>
    <s v="East"/>
    <s v="New York"/>
    <s v="New City"/>
    <n v="10956"/>
    <d v="2015-06-30T00:00:00"/>
    <d v="2015-07-04T00:00:00"/>
    <n v="-5.3849999999999998"/>
    <n v="5"/>
    <x v="1146"/>
    <n v="88348"/>
    <n v="102.69999999999999"/>
  </r>
  <r>
    <n v="400.98"/>
    <n v="42.52"/>
    <n v="2094"/>
    <s v="Vernon Hirsch Singleton"/>
    <s v="Delivery Truck"/>
    <s v="Corporate"/>
    <x v="1"/>
    <x v="11"/>
    <s v="Jumbo Box"/>
    <s v="Bretford CR8500 Series Meeting Room Furniture"/>
    <n v="0.71"/>
    <s v="United States"/>
    <s v="West"/>
    <s v="California"/>
    <s v="Chico"/>
    <n v="95928"/>
    <d v="2015-02-05T00:00:00"/>
    <d v="2015-02-06T00:00:00"/>
    <n v="3031.9724000000001"/>
    <n v="20"/>
    <x v="1147"/>
    <n v="86629"/>
    <n v="156800.79999999999"/>
  </r>
  <r>
    <n v="300.97000000000003"/>
    <n v="7.18"/>
    <n v="2097"/>
    <s v="Patsy Shea"/>
    <s v="Regular Air"/>
    <s v="Home Office"/>
    <x v="2"/>
    <x v="13"/>
    <s v="Small Box"/>
    <s v="Gyration Ultra Professional Cordless Optical Suite"/>
    <n v="0.48"/>
    <s v="United States"/>
    <s v="South"/>
    <s v="South Carolina"/>
    <s v="Hilton Head Island"/>
    <n v="29915"/>
    <d v="2015-04-18T00:00:00"/>
    <d v="2015-04-19T00:00:00"/>
    <n v="138.018"/>
    <n v="4"/>
    <x v="1148"/>
    <n v="87889"/>
    <n v="4377.32"/>
  </r>
  <r>
    <n v="39.89"/>
    <n v="3.04"/>
    <n v="2098"/>
    <s v="Tracy Dyer"/>
    <s v="Regular Air"/>
    <s v="Home Office"/>
    <x v="1"/>
    <x v="2"/>
    <s v="Wrap Bag"/>
    <s v="Ultra Commercial Grade Dual Valve Door Closer"/>
    <n v="0.53"/>
    <s v="United States"/>
    <s v="South"/>
    <s v="South Carolina"/>
    <s v="Mount Pleasant"/>
    <n v="29464"/>
    <d v="2015-04-18T00:00:00"/>
    <d v="2015-04-20T00:00:00"/>
    <n v="38.874000000000002"/>
    <n v="10"/>
    <x v="1149"/>
    <n v="87889"/>
    <n v="3899.7000000000003"/>
  </r>
  <r>
    <n v="14.56"/>
    <n v="3.5"/>
    <n v="2099"/>
    <s v="Nathan Fox"/>
    <s v="Regular Air"/>
    <s v="Home Office"/>
    <x v="0"/>
    <x v="15"/>
    <s v="Small Box"/>
    <s v="Acco 6 Outlet Guardian Premium Surge Suppressor"/>
    <n v="0.57999999999999996"/>
    <s v="United States"/>
    <s v="South"/>
    <s v="South Carolina"/>
    <s v="Myrtle Beach"/>
    <n v="29577"/>
    <d v="2015-01-08T00:00:00"/>
    <d v="2015-01-09T00:00:00"/>
    <n v="-45.527999999999999"/>
    <n v="6"/>
    <x v="1150"/>
    <n v="87888"/>
    <n v="507.54"/>
  </r>
  <r>
    <n v="399.98"/>
    <n v="12.06"/>
    <n v="2107"/>
    <s v="Leigh Burnette Hurley"/>
    <s v="Delivery Truck"/>
    <s v="Corporate"/>
    <x v="2"/>
    <x v="6"/>
    <s v="Jumbo Box"/>
    <s v="Okidata ML320 Series Turbo Dot Matrix Printers"/>
    <n v="0.56000000000000005"/>
    <s v="United States"/>
    <s v="Central"/>
    <s v="Illinois"/>
    <s v="Chicago"/>
    <n v="60601"/>
    <d v="2015-06-06T00:00:00"/>
    <d v="2015-06-06T00:00:00"/>
    <n v="567.59"/>
    <n v="24"/>
    <x v="1151"/>
    <n v="39015"/>
    <n v="232001.27999999997"/>
  </r>
  <r>
    <n v="6.48"/>
    <n v="5.74"/>
    <n v="2107"/>
    <s v="Leigh Burnette Hurley"/>
    <s v="Regular Air"/>
    <s v="Corporate"/>
    <x v="0"/>
    <x v="7"/>
    <s v="Small Box"/>
    <s v="Xerox 1994"/>
    <n v="0.37"/>
    <s v="United States"/>
    <s v="Central"/>
    <s v="Illinois"/>
    <s v="Chicago"/>
    <n v="60601"/>
    <d v="2015-06-06T00:00:00"/>
    <d v="2015-06-06T00:00:00"/>
    <n v="-28.45"/>
    <n v="20"/>
    <x v="1152"/>
    <n v="39015"/>
    <n v="2691.6000000000004"/>
  </r>
  <r>
    <n v="6.48"/>
    <n v="5.74"/>
    <n v="2108"/>
    <s v="Alfred Barber"/>
    <s v="Regular Air"/>
    <s v="Corporate"/>
    <x v="0"/>
    <x v="7"/>
    <s v="Small Box"/>
    <s v="Xerox 1994"/>
    <n v="0.37"/>
    <s v="United States"/>
    <s v="Central"/>
    <s v="Missouri"/>
    <s v="Mehlville"/>
    <n v="63129"/>
    <d v="2015-06-06T00:00:00"/>
    <d v="2015-06-06T00:00:00"/>
    <n v="-14.225"/>
    <n v="5"/>
    <x v="1153"/>
    <n v="87862"/>
    <n v="168.25"/>
  </r>
  <r>
    <n v="6.68"/>
    <n v="1.5"/>
    <n v="2114"/>
    <s v="Paige Mason"/>
    <s v="Regular Air"/>
    <s v="Corporate"/>
    <x v="0"/>
    <x v="0"/>
    <s v="Wrap Bag"/>
    <s v="Sanford Liquid Accent Highlighters"/>
    <n v="0.48"/>
    <s v="United States"/>
    <s v="South"/>
    <s v="Virginia"/>
    <s v="Norfolk"/>
    <n v="23518"/>
    <d v="2015-03-26T00:00:00"/>
    <d v="2015-03-28T00:00:00"/>
    <n v="-601.80399999999997"/>
    <n v="10"/>
    <x v="1154"/>
    <n v="88403"/>
    <n v="661.2"/>
  </r>
  <r>
    <n v="2.89"/>
    <n v="0.49"/>
    <n v="2114"/>
    <s v="Paige Mason"/>
    <s v="Regular Air"/>
    <s v="Corporate"/>
    <x v="0"/>
    <x v="9"/>
    <s v="Small Box"/>
    <s v="*Staples* Packaging Labels"/>
    <n v="0.38"/>
    <s v="United States"/>
    <s v="South"/>
    <s v="Virginia"/>
    <s v="Norfolk"/>
    <n v="23518"/>
    <d v="2015-04-23T00:00:00"/>
    <d v="2015-04-23T00:00:00"/>
    <n v="38.405999999999999"/>
    <n v="1"/>
    <x v="1155"/>
    <n v="88404"/>
    <n v="3.07"/>
  </r>
  <r>
    <n v="226.67"/>
    <n v="28.16"/>
    <n v="2114"/>
    <s v="Paige Mason"/>
    <s v="Delivery Truck"/>
    <s v="Corporate"/>
    <x v="1"/>
    <x v="1"/>
    <s v="Jumbo Drum"/>
    <s v="Hon GuestStacker Chair"/>
    <n v="0.59"/>
    <s v="United States"/>
    <s v="South"/>
    <s v="Virginia"/>
    <s v="Norfolk"/>
    <n v="23518"/>
    <d v="2015-02-26T00:00:00"/>
    <d v="2015-02-27T00:00:00"/>
    <n v="53.114400000000003"/>
    <n v="1"/>
    <x v="1156"/>
    <n v="88405"/>
    <n v="255.83"/>
  </r>
  <r>
    <n v="20.98"/>
    <n v="53.03"/>
    <n v="2114"/>
    <s v="Paige Mason"/>
    <s v="Delivery Truck"/>
    <s v="Corporate"/>
    <x v="0"/>
    <x v="10"/>
    <s v="Jumbo Drum"/>
    <s v="Tennsco Lockers, Gray"/>
    <n v="0.78"/>
    <s v="United States"/>
    <s v="South"/>
    <s v="Virginia"/>
    <s v="Norfolk"/>
    <n v="23518"/>
    <d v="2015-02-26T00:00:00"/>
    <d v="2015-02-28T00:00:00"/>
    <n v="8.7420000000000009"/>
    <n v="20"/>
    <x v="1157"/>
    <n v="88405"/>
    <n v="8423.6"/>
  </r>
  <r>
    <n v="95.95"/>
    <n v="74.349999999999994"/>
    <n v="2115"/>
    <s v="Jeffrey Lloyd"/>
    <s v="Delivery Truck"/>
    <s v="Corporate"/>
    <x v="1"/>
    <x v="1"/>
    <s v="Jumbo Drum"/>
    <s v="Bevis Steel Folding Chairs"/>
    <n v="0.56999999999999995"/>
    <s v="United States"/>
    <s v="South"/>
    <s v="Virginia"/>
    <s v="Oakton"/>
    <n v="22124"/>
    <d v="2015-04-29T00:00:00"/>
    <d v="2015-05-01T00:00:00"/>
    <n v="636.52200000000005"/>
    <n v="14"/>
    <x v="1158"/>
    <n v="88406"/>
    <n v="19284.440000000002"/>
  </r>
  <r>
    <n v="320.98"/>
    <n v="24.49"/>
    <n v="2117"/>
    <s v="Jack Hatcher"/>
    <s v="Regular Air"/>
    <s v="Home Office"/>
    <x v="1"/>
    <x v="1"/>
    <s v="Large Box"/>
    <s v="Hon Pagoda™ Stacking Chairs"/>
    <n v="0.55000000000000004"/>
    <s v="United States"/>
    <s v="Central"/>
    <s v="Texas"/>
    <s v="Greenville"/>
    <n v="75401"/>
    <d v="2015-04-20T00:00:00"/>
    <d v="2015-04-22T00:00:00"/>
    <n v="4554.4346999999998"/>
    <n v="20"/>
    <x v="1159"/>
    <n v="90891"/>
    <n v="132012.6"/>
  </r>
  <r>
    <n v="125.99"/>
    <n v="8.8000000000000007"/>
    <n v="2117"/>
    <s v="Jack Hatcher"/>
    <s v="Regular Air"/>
    <s v="Home Office"/>
    <x v="2"/>
    <x v="5"/>
    <s v="Small Box"/>
    <s v="StarTAC 6500"/>
    <n v="0.59"/>
    <s v="United States"/>
    <s v="Central"/>
    <s v="Texas"/>
    <s v="Greenville"/>
    <n v="75401"/>
    <d v="2015-04-20T00:00:00"/>
    <d v="2015-04-21T00:00:00"/>
    <n v="618.19308000000001"/>
    <n v="18"/>
    <x v="1160"/>
    <n v="90891"/>
    <n v="32615.82"/>
  </r>
  <r>
    <n v="80.97"/>
    <n v="33.6"/>
    <n v="2122"/>
    <s v="Carolyn Fisher"/>
    <s v="Delivery Truck"/>
    <s v="Consumer"/>
    <x v="2"/>
    <x v="6"/>
    <s v="Jumbo Drum"/>
    <s v="Lexmark Z25 Color Inkjet Printer"/>
    <n v="0.37"/>
    <s v="United States"/>
    <s v="South"/>
    <s v="Arkansas"/>
    <s v="Sherwood"/>
    <n v="72116"/>
    <d v="2015-02-01T00:00:00"/>
    <d v="2015-02-03T00:00:00"/>
    <n v="-15.1844"/>
    <n v="10"/>
    <x v="1161"/>
    <n v="89664"/>
    <n v="7997.6"/>
  </r>
  <r>
    <n v="45.19"/>
    <n v="1.99"/>
    <n v="2124"/>
    <s v="Paige Powers"/>
    <s v="Regular Air"/>
    <s v="Consumer"/>
    <x v="2"/>
    <x v="13"/>
    <s v="Small Pack"/>
    <s v="Verbatim DVD-RAM, 9.4GB, Rewritable, Type 1, DS, DataLife Plus"/>
    <n v="0.55000000000000004"/>
    <s v="United States"/>
    <s v="South"/>
    <s v="Arkansas"/>
    <s v="West Memphis"/>
    <n v="72301"/>
    <d v="2015-01-01T00:00:00"/>
    <d v="2015-01-02T00:00:00"/>
    <n v="-61.194000000000003"/>
    <n v="13"/>
    <x v="1162"/>
    <n v="89665"/>
    <n v="7918.17"/>
  </r>
  <r>
    <n v="124.49"/>
    <n v="51.94"/>
    <n v="2124"/>
    <s v="Paige Powers"/>
    <s v="Delivery Truck"/>
    <s v="Corporate"/>
    <x v="1"/>
    <x v="11"/>
    <s v="Jumbo Box"/>
    <s v="Bevis 36 x 72 Conference Tables"/>
    <n v="0.63"/>
    <s v="United States"/>
    <s v="South"/>
    <s v="Arkansas"/>
    <s v="West Memphis"/>
    <n v="72301"/>
    <d v="2015-03-26T00:00:00"/>
    <d v="2015-03-27T00:00:00"/>
    <n v="18.173999999999999"/>
    <n v="21"/>
    <x v="1163"/>
    <n v="89666"/>
    <n v="58000.74"/>
  </r>
  <r>
    <n v="5.98"/>
    <n v="5.14"/>
    <n v="2127"/>
    <s v="Joyce Kern"/>
    <s v="Regular Air"/>
    <s v="Home Office"/>
    <x v="0"/>
    <x v="7"/>
    <s v="Small Box"/>
    <s v="Xerox 1974"/>
    <n v="0.36"/>
    <s v="United States"/>
    <s v="Central"/>
    <s v="Michigan"/>
    <s v="Sterling Heights"/>
    <n v="48310"/>
    <d v="2015-03-18T00:00:00"/>
    <d v="2015-03-20T00:00:00"/>
    <n v="-49.53"/>
    <n v="6"/>
    <x v="1164"/>
    <n v="88418"/>
    <n v="203.70000000000002"/>
  </r>
  <r>
    <n v="150.97999999999999"/>
    <n v="66.27"/>
    <n v="2131"/>
    <s v="Mary Hewitt"/>
    <s v="Delivery Truck"/>
    <s v="Home Office"/>
    <x v="1"/>
    <x v="14"/>
    <s v="Jumbo Box"/>
    <s v="Bush Mission Pointe Library"/>
    <n v="0.65"/>
    <s v="United States"/>
    <s v="Central"/>
    <s v="Missouri"/>
    <s v="Gladstone"/>
    <n v="64118"/>
    <d v="2015-01-03T00:00:00"/>
    <d v="2015-01-04T00:00:00"/>
    <n v="-407.85"/>
    <n v="2"/>
    <x v="1165"/>
    <n v="90079"/>
    <n v="604.67999999999995"/>
  </r>
  <r>
    <n v="30.42"/>
    <n v="8.65"/>
    <n v="2132"/>
    <s v="Philip Hawkins"/>
    <s v="Express Air"/>
    <s v="Home Office"/>
    <x v="2"/>
    <x v="13"/>
    <s v="Small Box"/>
    <s v="Fellowes Internet Keyboard, Platinum"/>
    <n v="0.74"/>
    <s v="United States"/>
    <s v="Central"/>
    <s v="Missouri"/>
    <s v="Hazelwood"/>
    <n v="63042"/>
    <d v="2015-01-10T00:00:00"/>
    <d v="2015-01-14T00:00:00"/>
    <n v="-191.2576"/>
    <n v="11"/>
    <x v="1166"/>
    <n v="90078"/>
    <n v="3678.84"/>
  </r>
  <r>
    <n v="28.99"/>
    <n v="8.59"/>
    <n v="2135"/>
    <s v="Melvin Kendall"/>
    <s v="Regular Air"/>
    <s v="Home Office"/>
    <x v="2"/>
    <x v="5"/>
    <s v="Medium Box"/>
    <s v="SouthWestern Bell FA970 Digital Answering Machine with Time/Day Stamp"/>
    <n v="0.56000000000000005"/>
    <s v="United States"/>
    <s v="West"/>
    <s v="New Mexico"/>
    <s v="Clovis"/>
    <n v="88101"/>
    <d v="2015-02-06T00:00:00"/>
    <d v="2015-02-07T00:00:00"/>
    <n v="196.52328"/>
    <n v="21"/>
    <x v="1167"/>
    <n v="91583"/>
    <n v="11688.81"/>
  </r>
  <r>
    <n v="6.98"/>
    <n v="1.6"/>
    <n v="2137"/>
    <s v="Crystal Crabtree"/>
    <s v="Regular Air"/>
    <s v="Corporate"/>
    <x v="0"/>
    <x v="7"/>
    <s v="Wrap Bag"/>
    <s v="Adams Phone Message Book, Professional, 400 Message Capacity, 5 3/6” x 11”"/>
    <n v="0.38"/>
    <s v="United States"/>
    <s v="South"/>
    <s v="Florida"/>
    <s v="West Palm Beach"/>
    <n v="33407"/>
    <d v="2015-01-31T00:00:00"/>
    <d v="2015-02-02T00:00:00"/>
    <n v="-343.86799999999999"/>
    <n v="9"/>
    <x v="1168"/>
    <n v="86002"/>
    <n v="580.32000000000005"/>
  </r>
  <r>
    <n v="2550.14"/>
    <n v="29.7"/>
    <n v="2139"/>
    <s v="Jon Kendall"/>
    <s v="Delivery Truck"/>
    <s v="Corporate"/>
    <x v="2"/>
    <x v="6"/>
    <s v="Jumbo Drum"/>
    <s v="Epson DFX-8500 Dot Matrix Printer"/>
    <n v="0.56999999999999995"/>
    <s v="United States"/>
    <s v="Central"/>
    <s v="Wisconsin"/>
    <s v="Watertown"/>
    <n v="53094"/>
    <d v="2015-04-16T00:00:00"/>
    <d v="2015-04-17T00:00:00"/>
    <n v="-3971.0628000000002"/>
    <n v="2"/>
    <x v="1169"/>
    <n v="86003"/>
    <n v="9690.5400000000009"/>
  </r>
  <r>
    <n v="5.44"/>
    <n v="7.46"/>
    <n v="2141"/>
    <s v="Molly Webster"/>
    <s v="Regular Air"/>
    <s v="Home Office"/>
    <x v="0"/>
    <x v="8"/>
    <s v="Small Box"/>
    <s v="Wilson Jones Custom Binder Spines &amp; Labels"/>
    <n v="0.36"/>
    <s v="United States"/>
    <s v="West"/>
    <s v="Colorado"/>
    <s v="Durango"/>
    <n v="81301"/>
    <d v="2015-02-18T00:00:00"/>
    <d v="2015-02-19T00:00:00"/>
    <n v="-18.478200000000001"/>
    <n v="3"/>
    <x v="1170"/>
    <n v="87570"/>
    <n v="59.04"/>
  </r>
  <r>
    <n v="549.99"/>
    <n v="49"/>
    <n v="2141"/>
    <s v="Molly Webster"/>
    <s v="Delivery Truck"/>
    <s v="Home Office"/>
    <x v="2"/>
    <x v="16"/>
    <s v="Jumbo Drum"/>
    <s v="Sharp 1540cs Digital Laser Copier"/>
    <n v="0.35"/>
    <s v="United States"/>
    <s v="West"/>
    <s v="Colorado"/>
    <s v="Durango"/>
    <n v="81301"/>
    <d v="2015-02-18T00:00:00"/>
    <d v="2015-02-20T00:00:00"/>
    <n v="-381.84120000000001"/>
    <n v="18"/>
    <x v="1171"/>
    <n v="87570"/>
    <n v="176379.12"/>
  </r>
  <r>
    <n v="22.01"/>
    <n v="5.53"/>
    <n v="2141"/>
    <s v="Molly Webster"/>
    <s v="Express Air"/>
    <s v="Home Office"/>
    <x v="0"/>
    <x v="0"/>
    <s v="Small Pack"/>
    <s v="Boston 16801 Nautilus™ Battery Pencil Sharpener"/>
    <n v="0.59"/>
    <s v="United States"/>
    <s v="West"/>
    <s v="Colorado"/>
    <s v="Durango"/>
    <n v="81301"/>
    <d v="2015-02-18T00:00:00"/>
    <d v="2015-02-19T00:00:00"/>
    <n v="12.5504"/>
    <n v="7"/>
    <x v="1172"/>
    <n v="87570"/>
    <n v="1078.77"/>
  </r>
  <r>
    <n v="34.76"/>
    <n v="8.2200000000000006"/>
    <n v="2141"/>
    <s v="Molly Webster"/>
    <s v="Regular Air"/>
    <s v="Home Office"/>
    <x v="0"/>
    <x v="10"/>
    <s v="Small Box"/>
    <s v="Multi-Use Personal File Cart and Caster Set, Three Stacking Bins"/>
    <n v="0.56999999999999995"/>
    <s v="United States"/>
    <s v="West"/>
    <s v="Colorado"/>
    <s v="Durango"/>
    <n v="81301"/>
    <d v="2015-02-18T00:00:00"/>
    <d v="2015-02-20T00:00:00"/>
    <n v="45.3324"/>
    <n v="7"/>
    <x v="1173"/>
    <n v="87570"/>
    <n v="1700.79"/>
  </r>
  <r>
    <n v="17.149999999999999"/>
    <n v="4.96"/>
    <n v="2143"/>
    <s v="Lester Sawyer"/>
    <s v="Regular Air"/>
    <s v="Home Office"/>
    <x v="0"/>
    <x v="10"/>
    <s v="Small Box"/>
    <s v="Advantus Rolling Storage Box"/>
    <n v="0.57999999999999996"/>
    <s v="United States"/>
    <s v="South"/>
    <s v="Virginia"/>
    <s v="Fairfax"/>
    <n v="20151"/>
    <d v="2015-06-13T00:00:00"/>
    <d v="2015-06-16T00:00:00"/>
    <n v="33.659999999999997"/>
    <n v="12"/>
    <x v="1174"/>
    <n v="87569"/>
    <n v="2407.3200000000002"/>
  </r>
  <r>
    <n v="20.28"/>
    <n v="14.39"/>
    <n v="2145"/>
    <s v="Kerry Hardy"/>
    <s v="Regular Air"/>
    <s v="Corporate"/>
    <x v="1"/>
    <x v="2"/>
    <s v="Small Box"/>
    <s v="Career Cubicle Clock, 8 1/4&quot;, Black"/>
    <n v="0.47"/>
    <s v="United States"/>
    <s v="South"/>
    <s v="Florida"/>
    <s v="Fort Lauderdale"/>
    <n v="33311"/>
    <d v="2015-02-10T00:00:00"/>
    <d v="2015-02-12T00:00:00"/>
    <n v="15.678000000000001"/>
    <n v="11"/>
    <x v="1175"/>
    <n v="87072"/>
    <n v="2616.13"/>
  </r>
  <r>
    <n v="20.34"/>
    <n v="35"/>
    <n v="2146"/>
    <s v="Courtney Boyd"/>
    <s v="Regular Air"/>
    <s v="Corporate"/>
    <x v="0"/>
    <x v="10"/>
    <s v="Large Box"/>
    <s v="Tennsco Commercial Shelving"/>
    <n v="0.84"/>
    <s v="United States"/>
    <s v="South"/>
    <s v="Virginia"/>
    <s v="Fairfax"/>
    <n v="20151"/>
    <d v="2015-01-06T00:00:00"/>
    <d v="2015-01-10T00:00:00"/>
    <n v="52.776000000000003"/>
    <n v="2"/>
    <x v="1176"/>
    <n v="87071"/>
    <n v="106.04"/>
  </r>
  <r>
    <n v="243.98"/>
    <n v="43.32"/>
    <n v="2151"/>
    <s v="Melinda Rogers"/>
    <s v="Delivery Truck"/>
    <s v="Corporate"/>
    <x v="1"/>
    <x v="1"/>
    <s v="Jumbo Drum"/>
    <s v="Hon Deluxe Fabric Upholstered Stacking Chairs, Rounded Back"/>
    <n v="0.55000000000000004"/>
    <s v="United States"/>
    <s v="Central"/>
    <s v="Iowa"/>
    <s v="Dubuque"/>
    <n v="52001"/>
    <d v="2015-01-05T00:00:00"/>
    <d v="2015-01-06T00:00:00"/>
    <n v="-162.8244"/>
    <n v="1"/>
    <x v="1177"/>
    <n v="90404"/>
    <n v="248.84"/>
  </r>
  <r>
    <n v="5.74"/>
    <n v="5.01"/>
    <n v="2151"/>
    <s v="Melinda Rogers"/>
    <s v="Regular Air"/>
    <s v="Corporate"/>
    <x v="0"/>
    <x v="8"/>
    <s v="Small Box"/>
    <s v="Binder Posts"/>
    <n v="0.39"/>
    <s v="United States"/>
    <s v="Central"/>
    <s v="Iowa"/>
    <s v="Dubuque"/>
    <n v="52001"/>
    <d v="2015-02-09T00:00:00"/>
    <d v="2015-02-11T00:00:00"/>
    <n v="-6.9308199999999998"/>
    <n v="1"/>
    <x v="1178"/>
    <n v="90405"/>
    <n v="7.21"/>
  </r>
  <r>
    <n v="55.5"/>
    <n v="52.2"/>
    <n v="2157"/>
    <s v="Tom Hoyle Honeycutt"/>
    <s v="Regular Air"/>
    <s v="Home Office"/>
    <x v="1"/>
    <x v="2"/>
    <s v="Medium Box"/>
    <s v="Eldon Cleatmat® Chair Mats for Medium Pile Carpets"/>
    <n v="0.72"/>
    <s v="United States"/>
    <s v="Central"/>
    <s v="Michigan"/>
    <s v="Warren"/>
    <n v="48093"/>
    <d v="2015-03-16T00:00:00"/>
    <d v="2015-03-16T00:00:00"/>
    <n v="-118.54"/>
    <n v="4"/>
    <x v="1179"/>
    <n v="90385"/>
    <n v="1015.48"/>
  </r>
  <r>
    <n v="442.14"/>
    <n v="14.7"/>
    <n v="2157"/>
    <s v="Tom Hoyle Honeycutt"/>
    <s v="Delivery Truck"/>
    <s v="Home Office"/>
    <x v="2"/>
    <x v="6"/>
    <s v="Jumbo Drum"/>
    <s v="Okidata ML390 Turbo Dot Matrix Printers"/>
    <n v="0.56000000000000005"/>
    <s v="United States"/>
    <s v="Central"/>
    <s v="Michigan"/>
    <s v="Warren"/>
    <n v="48093"/>
    <d v="2015-03-16T00:00:00"/>
    <d v="2015-03-25T00:00:00"/>
    <n v="2963.48"/>
    <n v="14"/>
    <x v="1180"/>
    <n v="90385"/>
    <n v="82326.44"/>
  </r>
  <r>
    <n v="30.93"/>
    <n v="3.92"/>
    <n v="2157"/>
    <s v="Tom Hoyle Honeycutt"/>
    <s v="Regular Air"/>
    <s v="Home Office"/>
    <x v="1"/>
    <x v="2"/>
    <s v="Small Pack"/>
    <s v="Advantus Employee of the Month Certificate Frame, 11 x 13-1/2"/>
    <n v="0.44"/>
    <s v="United States"/>
    <s v="Central"/>
    <s v="Michigan"/>
    <s v="Warren"/>
    <n v="48093"/>
    <d v="2015-05-03T00:00:00"/>
    <d v="2015-05-04T00:00:00"/>
    <n v="398.30250000000001"/>
    <n v="19"/>
    <x v="1181"/>
    <n v="90386"/>
    <n v="10967.75"/>
  </r>
  <r>
    <n v="297.48"/>
    <n v="18.059999999999999"/>
    <n v="2157"/>
    <s v="Tom Hoyle Honeycutt"/>
    <s v="Delivery Truck"/>
    <s v="Home Office"/>
    <x v="2"/>
    <x v="6"/>
    <s v="Jumbo Drum"/>
    <s v="Panasonic KX-P3200 Dot Matrix Printer"/>
    <n v="0.6"/>
    <s v="United States"/>
    <s v="Central"/>
    <s v="Michigan"/>
    <s v="Warren"/>
    <n v="48093"/>
    <d v="2015-05-03T00:00:00"/>
    <d v="2015-05-04T00:00:00"/>
    <n v="709.85199999999998"/>
    <n v="14"/>
    <x v="1182"/>
    <n v="90386"/>
    <n v="57052.52"/>
  </r>
  <r>
    <n v="296.18"/>
    <n v="54.12"/>
    <n v="2157"/>
    <s v="Tom Hoyle Honeycutt"/>
    <s v="Delivery Truck"/>
    <s v="Home Office"/>
    <x v="1"/>
    <x v="11"/>
    <s v="Jumbo Box"/>
    <s v="Hon 94000 Series Round Tables"/>
    <n v="0.76"/>
    <s v="United States"/>
    <s v="Central"/>
    <s v="Michigan"/>
    <s v="Warren"/>
    <n v="48093"/>
    <d v="2015-05-03T00:00:00"/>
    <d v="2015-05-05T00:00:00"/>
    <n v="80.809200000000004"/>
    <n v="6"/>
    <x v="1183"/>
    <n v="90386"/>
    <n v="10789.380000000001"/>
  </r>
  <r>
    <n v="30.98"/>
    <n v="8.74"/>
    <n v="2159"/>
    <s v="Wesley Field"/>
    <s v="Regular Air"/>
    <s v="Corporate"/>
    <x v="0"/>
    <x v="7"/>
    <s v="Small Box"/>
    <s v="Xerox 1979"/>
    <n v="0.4"/>
    <s v="United States"/>
    <s v="Central"/>
    <s v="Michigan"/>
    <s v="Westland"/>
    <n v="48185"/>
    <d v="2015-05-20T00:00:00"/>
    <d v="2015-05-21T00:00:00"/>
    <n v="371.27199999999999"/>
    <n v="25"/>
    <x v="1184"/>
    <n v="90387"/>
    <n v="18180"/>
  </r>
  <r>
    <n v="159.31"/>
    <n v="60"/>
    <n v="2162"/>
    <s v="Brenda Jain"/>
    <s v="Delivery Truck"/>
    <s v="Corporate"/>
    <x v="1"/>
    <x v="11"/>
    <s v="Jumbo Drum"/>
    <s v="Hon Non-Folding Utility Tables"/>
    <n v="0.55000000000000004"/>
    <s v="United States"/>
    <s v="East"/>
    <s v="Pennsylvania"/>
    <s v="Sharon"/>
    <n v="16146"/>
    <d v="2015-05-20T00:00:00"/>
    <d v="2015-05-22T00:00:00"/>
    <n v="77.000895400000005"/>
    <n v="41"/>
    <x v="1185"/>
    <n v="90387"/>
    <n v="253110.22"/>
  </r>
  <r>
    <n v="55.99"/>
    <n v="5"/>
    <n v="2162"/>
    <s v="Brenda Jain"/>
    <s v="Regular Air"/>
    <s v="Corporate"/>
    <x v="2"/>
    <x v="5"/>
    <s v="Small Pack"/>
    <s v="Accessory36"/>
    <n v="0.83"/>
    <s v="United States"/>
    <s v="East"/>
    <s v="Pennsylvania"/>
    <s v="Sharon"/>
    <n v="16146"/>
    <d v="2015-05-20T00:00:00"/>
    <d v="2015-05-22T00:00:00"/>
    <n v="27.968599999999999"/>
    <n v="33"/>
    <x v="1186"/>
    <n v="90387"/>
    <n v="51272.1"/>
  </r>
  <r>
    <n v="5.38"/>
    <n v="7.57"/>
    <n v="2164"/>
    <s v="Harry Sellers"/>
    <s v="Regular Air"/>
    <s v="Small Business"/>
    <x v="0"/>
    <x v="8"/>
    <s v="Small Box"/>
    <s v="Acco PRESSTEX® Data Binder with Storage Hooks, Dark Blue, 9 1/2&quot; X 11&quot;"/>
    <n v="0.36"/>
    <s v="United States"/>
    <s v="West"/>
    <s v="California"/>
    <s v="Pasadena"/>
    <n v="91104"/>
    <d v="2015-01-09T00:00:00"/>
    <d v="2015-01-10T00:00:00"/>
    <n v="-66.779579999999996"/>
    <n v="3"/>
    <x v="1187"/>
    <n v="88794"/>
    <n v="56.04"/>
  </r>
  <r>
    <n v="3.28"/>
    <n v="3.97"/>
    <n v="2164"/>
    <s v="Harry Sellers"/>
    <s v="Regular Air"/>
    <s v="Small Business"/>
    <x v="0"/>
    <x v="0"/>
    <s v="Wrap Bag"/>
    <s v="Newell 337"/>
    <n v="0.56000000000000005"/>
    <s v="United States"/>
    <s v="West"/>
    <s v="California"/>
    <s v="Pasadena"/>
    <n v="91104"/>
    <d v="2015-01-09T00:00:00"/>
    <d v="2015-01-09T00:00:00"/>
    <n v="-144.9188"/>
    <n v="11"/>
    <x v="1188"/>
    <n v="88794"/>
    <n v="399.29999999999995"/>
  </r>
  <r>
    <n v="2.78"/>
    <n v="0.97"/>
    <n v="2165"/>
    <s v="Melanie Knight"/>
    <s v="Regular Air"/>
    <s v="Small Business"/>
    <x v="0"/>
    <x v="0"/>
    <s v="Wrap Bag"/>
    <s v="Newell 339"/>
    <n v="0.59"/>
    <s v="United States"/>
    <s v="East"/>
    <s v="Maine"/>
    <s v="Augusta"/>
    <n v="4330"/>
    <d v="2015-01-09T00:00:00"/>
    <d v="2015-01-11T00:00:00"/>
    <n v="-5.0716000000000001"/>
    <n v="6"/>
    <x v="1189"/>
    <n v="88794"/>
    <n v="96.18"/>
  </r>
  <r>
    <n v="2.94"/>
    <n v="0.96"/>
    <n v="2178"/>
    <s v="Judy Hall"/>
    <s v="Regular Air"/>
    <s v="Small Business"/>
    <x v="0"/>
    <x v="0"/>
    <s v="Wrap Bag"/>
    <s v="Newell 343"/>
    <n v="0.57999999999999996"/>
    <s v="United States"/>
    <s v="East"/>
    <s v="Massachusetts"/>
    <s v="Worcester"/>
    <n v="1610"/>
    <d v="2015-01-27T00:00:00"/>
    <d v="2015-01-29T00:00:00"/>
    <n v="-1.18"/>
    <n v="9"/>
    <x v="1190"/>
    <n v="89465"/>
    <n v="228.15"/>
  </r>
  <r>
    <n v="1.48"/>
    <n v="0.7"/>
    <n v="2183"/>
    <s v="Sheryl Reese"/>
    <s v="Regular Air"/>
    <s v="Home Office"/>
    <x v="0"/>
    <x v="3"/>
    <s v="Wrap Bag"/>
    <s v="Binder Clips by OIC"/>
    <n v="0.37"/>
    <s v="United States"/>
    <s v="South"/>
    <s v="Kentucky"/>
    <s v="Owensboro"/>
    <n v="42301"/>
    <d v="2015-06-15T00:00:00"/>
    <d v="2015-06-17T00:00:00"/>
    <n v="-203.09800000000001"/>
    <n v="12"/>
    <x v="1191"/>
    <n v="91571"/>
    <n v="231.84"/>
  </r>
  <r>
    <n v="16.98"/>
    <n v="12.39"/>
    <n v="2187"/>
    <s v="Joanne Spivey"/>
    <s v="Regular Air"/>
    <s v="Corporate"/>
    <x v="0"/>
    <x v="4"/>
    <s v="Small Box"/>
    <s v="Brown Kraft Recycled Envelopes"/>
    <n v="0.35"/>
    <s v="United States"/>
    <s v="Central"/>
    <s v="Missouri"/>
    <s v="Independence"/>
    <n v="64055"/>
    <d v="2015-05-08T00:00:00"/>
    <d v="2015-05-10T00:00:00"/>
    <n v="-48.57"/>
    <n v="5"/>
    <x v="1192"/>
    <n v="89440"/>
    <n v="434"/>
  </r>
  <r>
    <n v="16.98"/>
    <n v="12.39"/>
    <n v="2189"/>
    <s v="Frank Cross"/>
    <s v="Regular Air"/>
    <s v="Corporate"/>
    <x v="0"/>
    <x v="4"/>
    <s v="Small Box"/>
    <s v="Brown Kraft Recycled Envelopes"/>
    <n v="0.35"/>
    <s v="United States"/>
    <s v="East"/>
    <s v="New York"/>
    <s v="New York City"/>
    <n v="10177"/>
    <d v="2015-05-08T00:00:00"/>
    <d v="2015-05-10T00:00:00"/>
    <n v="-48.57"/>
    <n v="22"/>
    <x v="1193"/>
    <n v="7364"/>
    <n v="8402.02"/>
  </r>
  <r>
    <n v="16.98"/>
    <n v="7.78"/>
    <n v="2190"/>
    <s v="Marvin Patrick"/>
    <s v="Regular Air"/>
    <s v="Home Office"/>
    <x v="0"/>
    <x v="0"/>
    <s v="Small Pack"/>
    <s v="Stanley Bostitch Contemporary Electric Pencil Sharpeners"/>
    <n v="0.56999999999999995"/>
    <s v="United States"/>
    <s v="Central"/>
    <s v="Michigan"/>
    <s v="Detroit"/>
    <n v="48227"/>
    <d v="2015-02-14T00:00:00"/>
    <d v="2015-02-16T00:00:00"/>
    <n v="-47.28"/>
    <n v="45"/>
    <x v="1194"/>
    <n v="41636"/>
    <n v="34275.15"/>
  </r>
  <r>
    <n v="115.99"/>
    <n v="4.2300000000000004"/>
    <n v="2190"/>
    <s v="Marvin Patrick"/>
    <s v="Regular Air"/>
    <s v="Home Office"/>
    <x v="2"/>
    <x v="5"/>
    <s v="Small Box"/>
    <n v="282"/>
    <n v="0.56000000000000005"/>
    <s v="United States"/>
    <s v="Central"/>
    <s v="Michigan"/>
    <s v="Detroit"/>
    <n v="48227"/>
    <d v="2015-02-14T00:00:00"/>
    <d v="2015-02-16T00:00:00"/>
    <n v="722.24099999999999"/>
    <n v="49"/>
    <x v="1195"/>
    <n v="41636"/>
    <n v="245689.43"/>
  </r>
  <r>
    <n v="16.98"/>
    <n v="7.78"/>
    <n v="2193"/>
    <s v="Donald Melton"/>
    <s v="Regular Air"/>
    <s v="Home Office"/>
    <x v="0"/>
    <x v="0"/>
    <s v="Small Pack"/>
    <s v="Stanley Bostitch Contemporary Electric Pencil Sharpeners"/>
    <n v="0.56999999999999995"/>
    <s v="United States"/>
    <s v="South"/>
    <s v="North Carolina"/>
    <s v="New Bern"/>
    <n v="28560"/>
    <d v="2015-02-14T00:00:00"/>
    <d v="2015-02-16T00:00:00"/>
    <n v="-161"/>
    <n v="11"/>
    <x v="1196"/>
    <n v="90685"/>
    <n v="2048.09"/>
  </r>
  <r>
    <n v="115.99"/>
    <n v="4.2300000000000004"/>
    <n v="2193"/>
    <s v="Donald Melton"/>
    <s v="Regular Air"/>
    <s v="Home Office"/>
    <x v="2"/>
    <x v="5"/>
    <s v="Small Box"/>
    <n v="282"/>
    <n v="0.56000000000000005"/>
    <s v="United States"/>
    <s v="South"/>
    <s v="North Carolina"/>
    <s v="New Bern"/>
    <n v="28560"/>
    <d v="2015-02-14T00:00:00"/>
    <d v="2015-02-16T00:00:00"/>
    <n v="848.3646"/>
    <n v="12"/>
    <x v="1197"/>
    <n v="90685"/>
    <n v="14735.28"/>
  </r>
  <r>
    <n v="27.48"/>
    <n v="4"/>
    <n v="2196"/>
    <s v="Gene Heath Cross"/>
    <s v="Regular Air"/>
    <s v="Small Business"/>
    <x v="2"/>
    <x v="13"/>
    <s v="Small Box"/>
    <s v="Belkin MediaBoard 104- Keyboard"/>
    <n v="0.75"/>
    <s v="United States"/>
    <s v="East"/>
    <s v="New York"/>
    <s v="Jamestown"/>
    <n v="14701"/>
    <d v="2015-04-07T00:00:00"/>
    <d v="2015-04-08T00:00:00"/>
    <n v="-88.840800000000002"/>
    <n v="11"/>
    <x v="1198"/>
    <n v="89175"/>
    <n v="3244.67"/>
  </r>
  <r>
    <n v="179.99"/>
    <n v="19.989999999999998"/>
    <n v="2196"/>
    <s v="Gene Heath Cross"/>
    <s v="Regular Air"/>
    <s v="Small Business"/>
    <x v="2"/>
    <x v="13"/>
    <s v="Small Box"/>
    <s v="Motorola SB4200 Cable Modem"/>
    <n v="0.48"/>
    <s v="United States"/>
    <s v="East"/>
    <s v="New York"/>
    <s v="Jamestown"/>
    <n v="14701"/>
    <d v="2015-04-07T00:00:00"/>
    <d v="2015-04-08T00:00:00"/>
    <n v="1208.9903999999999"/>
    <n v="14"/>
    <x v="1199"/>
    <n v="89175"/>
    <n v="34412.700000000004"/>
  </r>
  <r>
    <n v="140.85"/>
    <n v="19.989999999999998"/>
    <n v="2196"/>
    <s v="Gene Heath Cross"/>
    <s v="Regular Air"/>
    <s v="Small Business"/>
    <x v="0"/>
    <x v="10"/>
    <s v="Small Box"/>
    <s v="Fellowes Strictly Business® Drawer File, Letter/Legal Size"/>
    <n v="0.73"/>
    <s v="United States"/>
    <s v="East"/>
    <s v="New York"/>
    <s v="Jamestown"/>
    <n v="14701"/>
    <d v="2015-04-07T00:00:00"/>
    <d v="2015-04-09T00:00:00"/>
    <n v="9.9911999999999992"/>
    <n v="19"/>
    <x v="1200"/>
    <n v="89175"/>
    <n v="46849.25"/>
  </r>
  <r>
    <n v="100.97"/>
    <n v="7.18"/>
    <n v="2197"/>
    <s v="Karen O'Donnell"/>
    <s v="Regular Air"/>
    <s v="Small Business"/>
    <x v="2"/>
    <x v="13"/>
    <s v="Small Box"/>
    <s v="Gyration Ultra Cordless Optical Suite"/>
    <n v="0.46"/>
    <s v="United States"/>
    <s v="East"/>
    <s v="New York"/>
    <s v="Levittown"/>
    <n v="11756"/>
    <d v="2015-06-26T00:00:00"/>
    <d v="2015-06-27T00:00:00"/>
    <n v="126.22499999999999"/>
    <n v="7"/>
    <x v="1201"/>
    <n v="89176"/>
    <n v="4551.75"/>
  </r>
  <r>
    <n v="13.4"/>
    <n v="4.95"/>
    <n v="2197"/>
    <s v="Karen O'Donnell"/>
    <s v="Regular Air"/>
    <s v="Small Business"/>
    <x v="1"/>
    <x v="2"/>
    <s v="Small Pack"/>
    <s v="Electrix 20W Halogen Replacement Bulb for Zoom-In Desk Lamp"/>
    <n v="0.37"/>
    <s v="United States"/>
    <s v="East"/>
    <s v="New York"/>
    <s v="Levittown"/>
    <n v="11756"/>
    <d v="2015-06-26T00:00:00"/>
    <d v="2015-06-27T00:00:00"/>
    <n v="187.7628"/>
    <n v="19"/>
    <x v="1202"/>
    <n v="89176"/>
    <n v="5170.28"/>
  </r>
  <r>
    <n v="25.98"/>
    <n v="4.08"/>
    <n v="2198"/>
    <s v="Lester Woodward Maynard"/>
    <s v="Regular Air"/>
    <s v="Small Business"/>
    <x v="0"/>
    <x v="0"/>
    <s v="Small Pack"/>
    <s v="Boston 1799 Powerhouse™ Electric Pencil Sharpener"/>
    <n v="0.56999999999999995"/>
    <s v="United States"/>
    <s v="East"/>
    <s v="New York"/>
    <s v="Lindenhurst"/>
    <n v="11757"/>
    <d v="2015-05-22T00:00:00"/>
    <d v="2015-05-25T00:00:00"/>
    <n v="295.90649999999999"/>
    <n v="16"/>
    <x v="1203"/>
    <n v="89174"/>
    <n v="6861.6"/>
  </r>
  <r>
    <n v="20.98"/>
    <n v="53.03"/>
    <n v="2198"/>
    <s v="Lester Woodward Maynard"/>
    <s v="Delivery Truck"/>
    <s v="Small Business"/>
    <x v="0"/>
    <x v="10"/>
    <s v="Jumbo Drum"/>
    <s v="Tennsco Lockers, Gray"/>
    <n v="0.78"/>
    <s v="United States"/>
    <s v="East"/>
    <s v="New York"/>
    <s v="Lindenhurst"/>
    <n v="11757"/>
    <d v="2015-05-22T00:00:00"/>
    <d v="2015-05-22T00:00:00"/>
    <n v="-2111.36"/>
    <n v="16"/>
    <x v="1204"/>
    <n v="89174"/>
    <n v="5480.64"/>
  </r>
  <r>
    <n v="14.89"/>
    <n v="13.56"/>
    <n v="2201"/>
    <s v="David Hoyle"/>
    <s v="Regular Air"/>
    <s v="Small Business"/>
    <x v="1"/>
    <x v="2"/>
    <s v="Large Box"/>
    <s v="Tensor Computer Mounted Lamp"/>
    <n v="0.57999999999999996"/>
    <s v="United States"/>
    <s v="Central"/>
    <s v="Minnesota"/>
    <s v="Bloomington"/>
    <n v="55420"/>
    <d v="2015-03-25T00:00:00"/>
    <d v="2015-03-27T00:00:00"/>
    <n v="-9.1300000000000008"/>
    <n v="1"/>
    <x v="1205"/>
    <n v="86054"/>
    <n v="27.96"/>
  </r>
  <r>
    <n v="160.97999999999999"/>
    <n v="30"/>
    <n v="2202"/>
    <s v="Laurie Howe"/>
    <s v="Delivery Truck"/>
    <s v="Home Office"/>
    <x v="1"/>
    <x v="1"/>
    <s v="Jumbo Drum"/>
    <s v="Office Star - Mid Back Dual function Ergonomic High Back Chair with 2-Way Adjustable Arms"/>
    <n v="0.62"/>
    <s v="United States"/>
    <s v="Central"/>
    <s v="Minnesota"/>
    <s v="Brooklyn Center"/>
    <n v="55429"/>
    <d v="2015-01-31T00:00:00"/>
    <d v="2015-01-31T00:00:00"/>
    <n v="357.428"/>
    <n v="11"/>
    <x v="1206"/>
    <n v="86050"/>
    <n v="17989.18"/>
  </r>
  <r>
    <n v="6.3"/>
    <n v="0.5"/>
    <n v="2202"/>
    <s v="Laurie Howe"/>
    <s v="Regular Air"/>
    <s v="Home Office"/>
    <x v="0"/>
    <x v="9"/>
    <s v="Small Box"/>
    <s v="Avery 51"/>
    <n v="0.39"/>
    <s v="United States"/>
    <s v="Central"/>
    <s v="Minnesota"/>
    <s v="Brooklyn Center"/>
    <n v="55429"/>
    <d v="2015-01-31T00:00:00"/>
    <d v="2015-01-31T00:00:00"/>
    <n v="40.351199999999999"/>
    <n v="10"/>
    <x v="1207"/>
    <n v="86050"/>
    <n v="584.79999999999995"/>
  </r>
  <r>
    <n v="4.9800000000000004"/>
    <n v="0.8"/>
    <n v="2202"/>
    <s v="Laurie Howe"/>
    <s v="Regular Air"/>
    <s v="Home Office"/>
    <x v="0"/>
    <x v="7"/>
    <s v="Wrap Bag"/>
    <s v="Rediform S.O.S. Phone Message Books"/>
    <n v="0.36"/>
    <s v="United States"/>
    <s v="Central"/>
    <s v="Minnesota"/>
    <s v="Brooklyn Center"/>
    <n v="55429"/>
    <d v="2015-01-31T00:00:00"/>
    <d v="2015-02-07T00:00:00"/>
    <n v="27.634499999999999"/>
    <n v="8"/>
    <x v="1208"/>
    <n v="86050"/>
    <n v="320.39999999999998"/>
  </r>
  <r>
    <n v="145.44999999999999"/>
    <n v="17.850000000000001"/>
    <n v="2203"/>
    <s v="Eddie Walker"/>
    <s v="Delivery Truck"/>
    <s v="Home Office"/>
    <x v="2"/>
    <x v="6"/>
    <s v="Jumbo Drum"/>
    <s v="Panasonic KX-P1150 Dot Matrix Printer"/>
    <n v="0.56000000000000005"/>
    <s v="United States"/>
    <s v="Central"/>
    <s v="Minnesota"/>
    <s v="Brooklyn Park"/>
    <n v="55445"/>
    <d v="2015-02-04T00:00:00"/>
    <d v="2015-02-04T00:00:00"/>
    <n v="751.58"/>
    <n v="8"/>
    <x v="1209"/>
    <n v="86051"/>
    <n v="8941.2800000000007"/>
  </r>
  <r>
    <n v="399.98"/>
    <n v="12.06"/>
    <n v="2203"/>
    <s v="Eddie Walker"/>
    <s v="Delivery Truck"/>
    <s v="Home Office"/>
    <x v="2"/>
    <x v="6"/>
    <s v="Jumbo Box"/>
    <s v="Okidata ML320 Series Turbo Dot Matrix Printers"/>
    <n v="0.56000000000000005"/>
    <s v="United States"/>
    <s v="Central"/>
    <s v="Minnesota"/>
    <s v="Brooklyn Park"/>
    <n v="55445"/>
    <d v="2015-01-04T00:00:00"/>
    <d v="2015-01-06T00:00:00"/>
    <n v="-663.51419999999996"/>
    <n v="2"/>
    <x v="1210"/>
    <n v="86052"/>
    <n v="1614"/>
  </r>
  <r>
    <n v="33.94"/>
    <n v="19.190000000000001"/>
    <n v="2204"/>
    <s v="Oscar Ford"/>
    <s v="Delivery Truck"/>
    <s v="Home Office"/>
    <x v="1"/>
    <x v="1"/>
    <s v="Jumbo Drum"/>
    <s v="Metal Folding Chairs, Beige, 4/Carton"/>
    <n v="0.57999999999999996"/>
    <s v="United States"/>
    <s v="Central"/>
    <s v="Minnesota"/>
    <s v="Burnsville"/>
    <n v="55337"/>
    <d v="2015-02-04T00:00:00"/>
    <d v="2015-02-08T00:00:00"/>
    <n v="-157.56"/>
    <n v="5"/>
    <x v="1211"/>
    <n v="86051"/>
    <n v="847.30000000000007"/>
  </r>
  <r>
    <n v="296.18"/>
    <n v="154.12"/>
    <n v="2204"/>
    <s v="Oscar Ford"/>
    <s v="Delivery Truck"/>
    <s v="Consumer"/>
    <x v="1"/>
    <x v="11"/>
    <s v="Jumbo Box"/>
    <s v="Hon 94000 Series Round Tables"/>
    <n v="0.76"/>
    <s v="United States"/>
    <s v="Central"/>
    <s v="Minnesota"/>
    <s v="Burnsville"/>
    <n v="55337"/>
    <d v="2015-02-10T00:00:00"/>
    <d v="2015-02-11T00:00:00"/>
    <n v="-87.998040000000003"/>
    <n v="20"/>
    <x v="1212"/>
    <n v="86053"/>
    <n v="115362.4"/>
  </r>
  <r>
    <n v="28.48"/>
    <n v="1.99"/>
    <n v="2206"/>
    <s v="Bobby Powell"/>
    <s v="Regular Air"/>
    <s v="Consumer"/>
    <x v="2"/>
    <x v="13"/>
    <s v="Small Pack"/>
    <s v="Memorex 4.7GB DVD+RW, 3/Pack"/>
    <n v="0.4"/>
    <s v="United States"/>
    <s v="Central"/>
    <s v="Iowa"/>
    <s v="Fort Dodge"/>
    <n v="50501"/>
    <d v="2015-01-05T00:00:00"/>
    <d v="2015-01-06T00:00:00"/>
    <n v="-35.290399999999998"/>
    <n v="2"/>
    <x v="1213"/>
    <n v="86258"/>
    <n v="110.5"/>
  </r>
  <r>
    <n v="205.99"/>
    <n v="5.99"/>
    <n v="2206"/>
    <s v="Bobby Powell"/>
    <s v="Regular Air"/>
    <s v="Consumer"/>
    <x v="2"/>
    <x v="5"/>
    <s v="Small Box"/>
    <n v="3285"/>
    <n v="0.59"/>
    <s v="United States"/>
    <s v="Central"/>
    <s v="Iowa"/>
    <s v="Fort Dodge"/>
    <n v="50501"/>
    <d v="2015-01-05T00:00:00"/>
    <d v="2015-01-07T00:00:00"/>
    <n v="-74.883600000000001"/>
    <n v="3"/>
    <x v="1214"/>
    <n v="86258"/>
    <n v="1653.66"/>
  </r>
  <r>
    <n v="6.98"/>
    <n v="1.6"/>
    <n v="2209"/>
    <s v="Sharon Thomas"/>
    <s v="Regular Air"/>
    <s v="Home Office"/>
    <x v="0"/>
    <x v="7"/>
    <s v="Wrap Bag"/>
    <s v="Adams Phone Message Book, Professional, 400 Message Capacity, 5 3/6” x 11”"/>
    <n v="0.38"/>
    <s v="United States"/>
    <s v="South"/>
    <s v="Georgia"/>
    <s v="College Park"/>
    <n v="30337"/>
    <d v="2015-01-22T00:00:00"/>
    <d v="2015-01-29T00:00:00"/>
    <n v="-98.055999999999997"/>
    <n v="12"/>
    <x v="1215"/>
    <n v="88030"/>
    <n v="1007.1600000000001"/>
  </r>
  <r>
    <n v="95.99"/>
    <n v="35"/>
    <n v="2211"/>
    <s v="Anita Hahn"/>
    <s v="Express Air"/>
    <s v="Home Office"/>
    <x v="0"/>
    <x v="10"/>
    <s v="Large Box"/>
    <s v="Safco Industrial Wire Shelving"/>
    <m/>
    <s v="United States"/>
    <s v="East"/>
    <s v="Maryland"/>
    <s v="Bowie"/>
    <n v="20715"/>
    <d v="2015-01-01T00:00:00"/>
    <d v="2015-01-03T00:00:00"/>
    <n v="-425.20839999999998"/>
    <n v="2"/>
    <x v="1216"/>
    <n v="88028"/>
    <n v="387.76"/>
  </r>
  <r>
    <n v="199.99"/>
    <n v="24.49"/>
    <n v="2212"/>
    <s v="Stacy Chang"/>
    <s v="Express Air"/>
    <s v="Home Office"/>
    <x v="2"/>
    <x v="16"/>
    <s v="Large Box"/>
    <s v="Canon PC-428 Personal Copier"/>
    <n v="0.46"/>
    <s v="United States"/>
    <s v="East"/>
    <s v="Maryland"/>
    <s v="Catonsville"/>
    <n v="21228"/>
    <d v="2015-04-19T00:00:00"/>
    <d v="2015-04-21T00:00:00"/>
    <n v="631.33000000000004"/>
    <n v="5"/>
    <x v="1217"/>
    <n v="88029"/>
    <n v="4951.25"/>
  </r>
  <r>
    <n v="3.28"/>
    <n v="3.97"/>
    <n v="2215"/>
    <s v="Christopher High"/>
    <s v="Regular Air"/>
    <s v="Corporate"/>
    <x v="0"/>
    <x v="0"/>
    <s v="Wrap Bag"/>
    <s v="Newell 337"/>
    <n v="0.56000000000000005"/>
    <s v="United States"/>
    <s v="East"/>
    <s v="Ohio"/>
    <s v="Massillon"/>
    <n v="44646"/>
    <d v="2015-06-23T00:00:00"/>
    <d v="2015-06-23T00:00:00"/>
    <n v="-22.175999999999998"/>
    <n v="4"/>
    <x v="1218"/>
    <n v="90314"/>
    <n v="59.04"/>
  </r>
  <r>
    <n v="256.99"/>
    <n v="11.25"/>
    <n v="2216"/>
    <s v="Clara Kaplan"/>
    <s v="Regular Air"/>
    <s v="Corporate"/>
    <x v="2"/>
    <x v="13"/>
    <s v="Small Box"/>
    <s v="Hayes Optima 56K V.90 Internal Voice Modem"/>
    <n v="0.51"/>
    <s v="United States"/>
    <s v="East"/>
    <s v="Ohio"/>
    <s v="Medina"/>
    <n v="44256"/>
    <d v="2015-06-23T00:00:00"/>
    <d v="2015-06-30T00:00:00"/>
    <n v="-214.10400000000001"/>
    <n v="3"/>
    <x v="1219"/>
    <n v="90314"/>
    <n v="2425.3200000000002"/>
  </r>
  <r>
    <n v="6.48"/>
    <n v="5.14"/>
    <n v="2216"/>
    <s v="Clara Kaplan"/>
    <s v="Regular Air"/>
    <s v="Corporate"/>
    <x v="0"/>
    <x v="7"/>
    <s v="Small Box"/>
    <s v="Xerox 23"/>
    <n v="0.37"/>
    <s v="United States"/>
    <s v="East"/>
    <s v="Ohio"/>
    <s v="Medina"/>
    <n v="44256"/>
    <d v="2015-06-23T00:00:00"/>
    <d v="2015-06-25T00:00:00"/>
    <n v="-26.936"/>
    <n v="10"/>
    <x v="1220"/>
    <n v="90314"/>
    <n v="674.09999999999991"/>
  </r>
  <r>
    <n v="14.2"/>
    <n v="5.3"/>
    <n v="2220"/>
    <s v="Jennifer Stanton"/>
    <s v="Regular Air"/>
    <s v="Consumer"/>
    <x v="1"/>
    <x v="2"/>
    <s v="Wrap Bag"/>
    <s v="Coloredge Poster Frame"/>
    <n v="0.46"/>
    <s v="United States"/>
    <s v="South"/>
    <s v="Florida"/>
    <s v="Winter Garden"/>
    <n v="34787"/>
    <d v="2015-02-28T00:00:00"/>
    <d v="2015-03-01T00:00:00"/>
    <n v="-324.73"/>
    <n v="4"/>
    <x v="1221"/>
    <n v="91036"/>
    <n v="220.32"/>
  </r>
  <r>
    <n v="100.89"/>
    <n v="42"/>
    <n v="2225"/>
    <s v="Sean McKenna"/>
    <s v="Delivery Truck"/>
    <s v="Small Business"/>
    <x v="1"/>
    <x v="1"/>
    <s v="Jumbo Drum"/>
    <s v="Office Star Flex Back Scooter Chair with Aluminum Finish Frame"/>
    <n v="0.61"/>
    <s v="United States"/>
    <s v="West"/>
    <s v="New Mexico"/>
    <s v="Hobbs"/>
    <n v="88240"/>
    <d v="2015-02-21T00:00:00"/>
    <d v="2015-02-22T00:00:00"/>
    <n v="1500.12"/>
    <n v="15"/>
    <x v="1222"/>
    <n v="89970"/>
    <n v="24121.649999999998"/>
  </r>
  <r>
    <n v="13.43"/>
    <n v="5.5"/>
    <n v="2240"/>
    <s v="Maurice Kelly"/>
    <s v="Express Air"/>
    <s v="Corporate"/>
    <x v="0"/>
    <x v="10"/>
    <s v="Small Box"/>
    <s v="Fellowes Personal Hanging Folder Files, Navy"/>
    <n v="0.56999999999999995"/>
    <s v="United States"/>
    <s v="South"/>
    <s v="Florida"/>
    <s v="Lakeland"/>
    <n v="33801"/>
    <d v="2015-04-06T00:00:00"/>
    <d v="2015-04-13T00:00:00"/>
    <n v="-313.02179999999998"/>
    <n v="7"/>
    <x v="1223"/>
    <n v="89102"/>
    <n v="698.25"/>
  </r>
  <r>
    <n v="2.08"/>
    <n v="5.33"/>
    <n v="2250"/>
    <s v="Alvin Hoover"/>
    <s v="Regular Air"/>
    <s v="Home Office"/>
    <x v="1"/>
    <x v="2"/>
    <s v="Small Box"/>
    <s v="Eldon® Wave Desk Accessories"/>
    <n v="0.43"/>
    <s v="United States"/>
    <s v="East"/>
    <s v="Pennsylvania"/>
    <s v="State College"/>
    <n v="16801"/>
    <d v="2015-04-13T00:00:00"/>
    <d v="2015-04-20T00:00:00"/>
    <n v="-192.5532"/>
    <n v="22"/>
    <x v="1224"/>
    <n v="86699"/>
    <n v="1131.02"/>
  </r>
  <r>
    <n v="6.3"/>
    <n v="0.5"/>
    <n v="2254"/>
    <s v="Jeff Meadows"/>
    <s v="Regular Air"/>
    <s v="Corporate"/>
    <x v="0"/>
    <x v="9"/>
    <s v="Small Box"/>
    <s v="Avery 48"/>
    <n v="0.39"/>
    <s v="United States"/>
    <s v="South"/>
    <s v="Kentucky"/>
    <s v="Paducah"/>
    <n v="42003"/>
    <d v="2015-01-27T00:00:00"/>
    <d v="2015-02-01T00:00:00"/>
    <n v="-464.28199999999998"/>
    <n v="12"/>
    <x v="1225"/>
    <n v="89278"/>
    <n v="824.64"/>
  </r>
  <r>
    <n v="48.91"/>
    <n v="5.97"/>
    <n v="2254"/>
    <s v="Jeff Meadows"/>
    <s v="Regular Air"/>
    <s v="Corporate"/>
    <x v="0"/>
    <x v="7"/>
    <s v="Small Box"/>
    <s v="Xerox 1917"/>
    <n v="0.38"/>
    <s v="United States"/>
    <s v="South"/>
    <s v="Kentucky"/>
    <s v="Paducah"/>
    <n v="42003"/>
    <d v="2015-04-28T00:00:00"/>
    <d v="2015-04-30T00:00:00"/>
    <n v="156.74340000000001"/>
    <n v="14"/>
    <x v="1226"/>
    <n v="89279"/>
    <n v="8665.44"/>
  </r>
  <r>
    <n v="5.98"/>
    <n v="5.46"/>
    <n v="2254"/>
    <s v="Jeff Meadows"/>
    <s v="Regular Air"/>
    <s v="Corporate"/>
    <x v="0"/>
    <x v="7"/>
    <s v="Small Box"/>
    <s v="Xerox 1983"/>
    <n v="0.36"/>
    <s v="United States"/>
    <s v="South"/>
    <s v="Kentucky"/>
    <s v="Paducah"/>
    <n v="42003"/>
    <d v="2015-04-28T00:00:00"/>
    <d v="2015-04-28T00:00:00"/>
    <n v="110.11799999999999"/>
    <n v="13"/>
    <x v="1227"/>
    <n v="89279"/>
    <n v="1008.0200000000001"/>
  </r>
  <r>
    <n v="60.97"/>
    <n v="4.5"/>
    <n v="2256"/>
    <s v="Lloyd Levin"/>
    <s v="Express Air"/>
    <s v="Corporate"/>
    <x v="0"/>
    <x v="15"/>
    <s v="Small Box"/>
    <s v="Tripp Lite Isotel 6 Outlet Surge Protector with Fax/Modem Protection"/>
    <n v="0.56000000000000005"/>
    <s v="United States"/>
    <s v="South"/>
    <s v="North Carolina"/>
    <s v="New Bern"/>
    <n v="28560"/>
    <d v="2015-01-02T00:00:00"/>
    <d v="2015-01-04T00:00:00"/>
    <n v="-42.588000000000001"/>
    <n v="6"/>
    <x v="1228"/>
    <n v="87963"/>
    <n v="2170.3200000000002"/>
  </r>
  <r>
    <n v="70.98"/>
    <n v="30"/>
    <n v="2256"/>
    <s v="Lloyd Levin"/>
    <s v="Delivery Truck"/>
    <s v="Corporate"/>
    <x v="1"/>
    <x v="1"/>
    <s v="Jumbo Drum"/>
    <s v="Novimex Turbo Task Chair"/>
    <n v="0.73"/>
    <s v="United States"/>
    <s v="South"/>
    <s v="North Carolina"/>
    <s v="New Bern"/>
    <n v="28560"/>
    <d v="2015-03-24T00:00:00"/>
    <d v="2015-03-26T00:00:00"/>
    <n v="-222.95"/>
    <n v="20"/>
    <x v="1229"/>
    <n v="87964"/>
    <n v="27469.4"/>
  </r>
  <r>
    <n v="6.68"/>
    <n v="6.93"/>
    <n v="2257"/>
    <s v="Bernard Thompson"/>
    <s v="Regular Air"/>
    <s v="Corporate"/>
    <x v="0"/>
    <x v="7"/>
    <s v="Small Box"/>
    <s v="HP Office Paper (20Lb. and 87 Bright)"/>
    <n v="0.37"/>
    <s v="United States"/>
    <s v="South"/>
    <s v="North Carolina"/>
    <s v="Raleigh"/>
    <n v="27604"/>
    <d v="2015-06-12T00:00:00"/>
    <d v="2015-06-13T00:00:00"/>
    <n v="7.6245000000000003"/>
    <n v="14"/>
    <x v="1230"/>
    <n v="87965"/>
    <n v="1286.8800000000001"/>
  </r>
  <r>
    <n v="7.64"/>
    <n v="1.39"/>
    <n v="2258"/>
    <s v="Nicole Pope"/>
    <s v="Express Air"/>
    <s v="Corporate"/>
    <x v="0"/>
    <x v="4"/>
    <s v="Small Box"/>
    <s v="#10- 4 1/8&quot; x 9 1/2&quot; Security-Tint Envelopes"/>
    <n v="0.36"/>
    <s v="United States"/>
    <s v="South"/>
    <s v="North Carolina"/>
    <s v="Rocky Mount"/>
    <n v="27801"/>
    <d v="2015-03-09T00:00:00"/>
    <d v="2015-03-13T00:00:00"/>
    <n v="-1676.6120000000001"/>
    <n v="9"/>
    <x v="1231"/>
    <n v="87962"/>
    <n v="659.61"/>
  </r>
  <r>
    <n v="400.97"/>
    <n v="48.26"/>
    <n v="2258"/>
    <s v="Nicole Pope"/>
    <s v="Delivery Truck"/>
    <s v="Corporate"/>
    <x v="2"/>
    <x v="6"/>
    <s v="Jumbo Box"/>
    <s v="Hewlett-Packard Deskjet 1220Cse Color Inkjet Printer"/>
    <n v="0.36"/>
    <s v="United States"/>
    <s v="South"/>
    <s v="North Carolina"/>
    <s v="Rocky Mount"/>
    <n v="27801"/>
    <d v="2015-03-09T00:00:00"/>
    <d v="2015-03-13T00:00:00"/>
    <n v="45.127800000000001"/>
    <n v="8"/>
    <x v="1232"/>
    <n v="87962"/>
    <n v="23690.560000000001"/>
  </r>
  <r>
    <n v="4.9800000000000004"/>
    <n v="0.49"/>
    <n v="2260"/>
    <s v="Geoffrey H Wong"/>
    <s v="Regular Air"/>
    <s v="Corporate"/>
    <x v="0"/>
    <x v="9"/>
    <s v="Small Box"/>
    <s v="Avery White Multi-Purpose Labels"/>
    <n v="0.39"/>
    <s v="United States"/>
    <s v="South"/>
    <s v="Georgia"/>
    <s v="Rome"/>
    <n v="30161"/>
    <d v="2015-02-15T00:00:00"/>
    <d v="2015-02-16T00:00:00"/>
    <n v="-52.863999999999997"/>
    <n v="17"/>
    <x v="1233"/>
    <n v="89601"/>
    <n v="1480.87"/>
  </r>
  <r>
    <n v="20.99"/>
    <n v="0.99"/>
    <n v="2260"/>
    <s v="Geoffrey H Wong"/>
    <s v="Regular Air"/>
    <s v="Corporate"/>
    <x v="2"/>
    <x v="5"/>
    <s v="Small Pack"/>
    <s v="Accessory15"/>
    <n v="0.83"/>
    <s v="United States"/>
    <s v="South"/>
    <s v="Georgia"/>
    <s v="Rome"/>
    <n v="30161"/>
    <d v="2015-02-15T00:00:00"/>
    <d v="2015-02-16T00:00:00"/>
    <n v="45.378"/>
    <n v="9"/>
    <x v="1234"/>
    <n v="89601"/>
    <n v="1534.14"/>
  </r>
  <r>
    <n v="4.9800000000000004"/>
    <n v="0.49"/>
    <n v="2260"/>
    <s v="Geoffrey H Wong"/>
    <s v="Regular Air"/>
    <s v="Corporate"/>
    <x v="0"/>
    <x v="9"/>
    <s v="Small Box"/>
    <s v="Avery White Multi-Purpose Labels"/>
    <n v="0.39"/>
    <s v="United States"/>
    <s v="South"/>
    <s v="Georgia"/>
    <s v="Rome"/>
    <n v="30161"/>
    <d v="2015-04-21T00:00:00"/>
    <d v="2015-04-22T00:00:00"/>
    <n v="4949.9160000000002"/>
    <n v="1"/>
    <x v="1235"/>
    <n v="89602"/>
    <n v="4.95"/>
  </r>
  <r>
    <n v="119.99"/>
    <n v="14"/>
    <n v="2260"/>
    <s v="Geoffrey H Wong"/>
    <s v="Delivery Truck"/>
    <s v="Corporate"/>
    <x v="2"/>
    <x v="6"/>
    <s v="Jumbo Drum"/>
    <s v="Epson C82 Color Inkjet Printer"/>
    <n v="0.36"/>
    <s v="United States"/>
    <s v="South"/>
    <s v="Georgia"/>
    <s v="Rome"/>
    <n v="30161"/>
    <d v="2015-04-21T00:00:00"/>
    <d v="2015-04-23T00:00:00"/>
    <n v="1055.604"/>
    <n v="4"/>
    <x v="1236"/>
    <n v="89602"/>
    <n v="1844.96"/>
  </r>
  <r>
    <n v="207.48"/>
    <n v="0.99"/>
    <n v="2264"/>
    <s v="Helen Dickerson"/>
    <s v="Regular Air"/>
    <s v="Corporate"/>
    <x v="0"/>
    <x v="15"/>
    <s v="Small Box"/>
    <s v="Kensington 7 Outlet MasterPiece Power Center with Fax/Phone Line Protection"/>
    <n v="0.55000000000000004"/>
    <s v="United States"/>
    <s v="Central"/>
    <s v="Missouri"/>
    <s v="Joplin"/>
    <n v="64804"/>
    <d v="2015-01-26T00:00:00"/>
    <d v="2015-01-29T00:00:00"/>
    <n v="359.83"/>
    <n v="3"/>
    <x v="1237"/>
    <n v="86611"/>
    <n v="1733.25"/>
  </r>
  <r>
    <n v="7.45"/>
    <n v="6.28"/>
    <n v="2265"/>
    <s v="James Davenport"/>
    <s v="Regular Air"/>
    <s v="Corporate"/>
    <x v="0"/>
    <x v="8"/>
    <s v="Small Box"/>
    <s v="Acco Four Pocket Poly Ring Binder with Label Holder, Smoke, 1&quot;"/>
    <n v="0.4"/>
    <s v="United States"/>
    <s v="Central"/>
    <s v="Missouri"/>
    <s v="Kansas City"/>
    <n v="64130"/>
    <d v="2015-01-29T00:00:00"/>
    <d v="2015-02-01T00:00:00"/>
    <n v="-69.873999999999995"/>
    <n v="8"/>
    <x v="1238"/>
    <n v="86612"/>
    <n v="475.2"/>
  </r>
  <r>
    <n v="6.48"/>
    <n v="7.86"/>
    <n v="2265"/>
    <s v="James Davenport"/>
    <s v="Regular Air"/>
    <s v="Corporate"/>
    <x v="0"/>
    <x v="7"/>
    <s v="Small Box"/>
    <s v="Xerox 213"/>
    <n v="0.37"/>
    <s v="United States"/>
    <s v="Central"/>
    <s v="Missouri"/>
    <s v="Kansas City"/>
    <n v="64130"/>
    <d v="2015-01-29T00:00:00"/>
    <d v="2015-01-31T00:00:00"/>
    <n v="-135.74"/>
    <n v="10"/>
    <x v="1239"/>
    <n v="86612"/>
    <n v="664.59999999999991"/>
  </r>
  <r>
    <n v="11.33"/>
    <n v="6.12"/>
    <n v="2266"/>
    <s v="Brandon Beach"/>
    <s v="Regular Air"/>
    <s v="Corporate"/>
    <x v="0"/>
    <x v="15"/>
    <s v="Medium Box"/>
    <s v="Holmes Replacement Filter for HEPA Air Cleaner, Medium Room"/>
    <n v="0.42"/>
    <s v="United States"/>
    <s v="Central"/>
    <s v="Missouri"/>
    <s v="Kirkwood"/>
    <n v="63122"/>
    <d v="2015-05-26T00:00:00"/>
    <d v="2015-05-28T00:00:00"/>
    <n v="-14.52"/>
    <n v="3"/>
    <x v="1240"/>
    <n v="86610"/>
    <n v="106.05000000000001"/>
  </r>
  <r>
    <n v="15.67"/>
    <n v="1.39"/>
    <n v="2266"/>
    <s v="Brandon Beach"/>
    <s v="Regular Air"/>
    <s v="Corporate"/>
    <x v="0"/>
    <x v="4"/>
    <s v="Small Box"/>
    <s v="#10 White Business Envelopes,4 1/8 x 9 1/2"/>
    <n v="0.38"/>
    <s v="United States"/>
    <s v="Central"/>
    <s v="Missouri"/>
    <s v="Kirkwood"/>
    <n v="63122"/>
    <d v="2015-05-26T00:00:00"/>
    <d v="2015-05-27T00:00:00"/>
    <n v="171.26490000000001"/>
    <n v="16"/>
    <x v="1241"/>
    <n v="86610"/>
    <n v="3971.36"/>
  </r>
  <r>
    <n v="259.70999999999998"/>
    <n v="66.67"/>
    <n v="2268"/>
    <s v="Carlos Adkins"/>
    <s v="Delivery Truck"/>
    <s v="Small Business"/>
    <x v="1"/>
    <x v="11"/>
    <s v="Jumbo Box"/>
    <s v="Bevis Round Bullnose 29&quot; High Table Top"/>
    <n v="0.61"/>
    <s v="United States"/>
    <s v="South"/>
    <s v="Florida"/>
    <s v="Land O Lakes"/>
    <n v="34639"/>
    <d v="2015-06-03T00:00:00"/>
    <d v="2015-06-07T00:00:00"/>
    <n v="138.22200000000001"/>
    <n v="17"/>
    <x v="1242"/>
    <n v="89571"/>
    <n v="69470.5"/>
  </r>
  <r>
    <n v="20.48"/>
    <n v="6.32"/>
    <n v="2270"/>
    <s v="Kristine Holden"/>
    <s v="Regular Air"/>
    <s v="Small Business"/>
    <x v="0"/>
    <x v="15"/>
    <s v="Small Box"/>
    <s v="Kensington 6 Outlet Guardian Standard Surge Protector"/>
    <n v="0.57999999999999996"/>
    <s v="United States"/>
    <s v="South"/>
    <s v="South Carolina"/>
    <s v="Mauldin"/>
    <n v="29662"/>
    <d v="2015-02-06T00:00:00"/>
    <d v="2015-02-08T00:00:00"/>
    <n v="711.24480000000005"/>
    <n v="18"/>
    <x v="1243"/>
    <n v="89572"/>
    <n v="6750.5399999999991"/>
  </r>
  <r>
    <n v="1.86"/>
    <n v="2.58"/>
    <n v="2270"/>
    <s v="Kristine Holden"/>
    <s v="Regular Air"/>
    <s v="Small Business"/>
    <x v="0"/>
    <x v="3"/>
    <s v="Wrap Bag"/>
    <s v="Super Bands, 12/Pack"/>
    <n v="0.82"/>
    <s v="United States"/>
    <s v="South"/>
    <s v="South Carolina"/>
    <s v="Mauldin"/>
    <n v="29662"/>
    <d v="2015-02-06T00:00:00"/>
    <d v="2015-02-11T00:00:00"/>
    <n v="-1084.846963"/>
    <n v="12"/>
    <x v="1244"/>
    <n v="89572"/>
    <n v="265.32"/>
  </r>
  <r>
    <n v="205.99"/>
    <n v="2.5"/>
    <n v="2270"/>
    <s v="Kristine Holden"/>
    <s v="Regular Air"/>
    <s v="Small Business"/>
    <x v="2"/>
    <x v="5"/>
    <s v="Small Box"/>
    <s v="V70"/>
    <n v="0.59"/>
    <s v="United States"/>
    <s v="South"/>
    <s v="South Carolina"/>
    <s v="Mauldin"/>
    <n v="29662"/>
    <d v="2015-02-06T00:00:00"/>
    <d v="2015-02-11T00:00:00"/>
    <n v="-156.77199999999999"/>
    <n v="17"/>
    <x v="1245"/>
    <n v="89572"/>
    <n v="48880.95"/>
  </r>
  <r>
    <n v="15.73"/>
    <n v="7.42"/>
    <n v="2272"/>
    <s v="Brett Ingram"/>
    <s v="Express Air"/>
    <s v="Corporate"/>
    <x v="0"/>
    <x v="12"/>
    <s v="Small Pack"/>
    <s v="Acme Galleria® Hot Forged Steel Scissors with Colored Handles"/>
    <n v="0.56000000000000005"/>
    <s v="United States"/>
    <s v="Central"/>
    <s v="Texas"/>
    <s v="Harker Heights"/>
    <n v="76543"/>
    <d v="2015-03-16T00:00:00"/>
    <d v="2015-03-18T00:00:00"/>
    <n v="-37.6"/>
    <n v="5"/>
    <x v="1246"/>
    <n v="90110"/>
    <n v="390.4"/>
  </r>
  <r>
    <n v="120.98"/>
    <n v="3.99"/>
    <n v="2273"/>
    <s v="Debra Block"/>
    <s v="Regular Air"/>
    <s v="Corporate"/>
    <x v="0"/>
    <x v="15"/>
    <s v="Small Box"/>
    <s v="Belkin 325VA UPS Surge Protector, 6'"/>
    <n v="0.6"/>
    <s v="United States"/>
    <s v="Central"/>
    <s v="Texas"/>
    <s v="Harlingen"/>
    <n v="78550"/>
    <d v="2015-05-05T00:00:00"/>
    <d v="2015-05-05T00:00:00"/>
    <n v="1389.5771999999999"/>
    <n v="17"/>
    <x v="1247"/>
    <n v="90109"/>
    <n v="34235.96"/>
  </r>
  <r>
    <n v="55.99"/>
    <n v="5"/>
    <n v="2273"/>
    <s v="Debra Block"/>
    <s v="Regular Air"/>
    <s v="Corporate"/>
    <x v="2"/>
    <x v="5"/>
    <s v="Small Pack"/>
    <s v="Accessory36"/>
    <n v="0.83"/>
    <s v="United States"/>
    <s v="Central"/>
    <s v="Texas"/>
    <s v="Harlingen"/>
    <n v="78550"/>
    <d v="2015-05-05T00:00:00"/>
    <d v="2015-05-05T00:00:00"/>
    <n v="-222.816"/>
    <n v="4"/>
    <x v="1248"/>
    <n v="90109"/>
    <n v="805.28"/>
  </r>
  <r>
    <n v="23.99"/>
    <n v="15.68"/>
    <n v="2274"/>
    <s v="Marlene Harrison"/>
    <s v="Delivery Truck"/>
    <s v="Corporate"/>
    <x v="1"/>
    <x v="2"/>
    <s v="Jumbo Drum"/>
    <s v="Westinghouse Floor Lamp with Metal Mesh Shade, Black"/>
    <n v="0.62"/>
    <s v="United States"/>
    <s v="Central"/>
    <s v="Texas"/>
    <s v="Houston"/>
    <n v="77036"/>
    <d v="2015-05-05T00:00:00"/>
    <d v="2015-05-09T00:00:00"/>
    <n v="-133.71"/>
    <n v="12"/>
    <x v="1249"/>
    <n v="90109"/>
    <n v="3582.12"/>
  </r>
  <r>
    <n v="195.99"/>
    <n v="8.99"/>
    <n v="2276"/>
    <s v="Dennis Block Richardson"/>
    <s v="Regular Air"/>
    <s v="Consumer"/>
    <x v="2"/>
    <x v="5"/>
    <s v="Small Box"/>
    <s v="T28 WORLD"/>
    <n v="0.6"/>
    <s v="United States"/>
    <s v="East"/>
    <s v="New York"/>
    <s v="Niagara Falls"/>
    <n v="14304"/>
    <d v="2015-06-30T00:00:00"/>
    <d v="2015-06-30T00:00:00"/>
    <n v="2653.7813999999998"/>
    <n v="22"/>
    <x v="1250"/>
    <n v="91502"/>
    <n v="84613.319999999992"/>
  </r>
  <r>
    <n v="4.4800000000000004"/>
    <n v="2.5"/>
    <n v="2279"/>
    <s v="Lucille McGee"/>
    <s v="Express Air"/>
    <s v="Home Office"/>
    <x v="0"/>
    <x v="4"/>
    <s v="Small Box"/>
    <s v="Ampad #10 Peel &amp; Seel® Holiday Envelopes"/>
    <n v="0.37"/>
    <s v="United States"/>
    <s v="East"/>
    <s v="Pennsylvania"/>
    <s v="Greensburg"/>
    <n v="15601"/>
    <d v="2015-06-22T00:00:00"/>
    <d v="2015-06-26T00:00:00"/>
    <n v="10.32"/>
    <n v="7"/>
    <x v="1251"/>
    <n v="85949"/>
    <n v="251.51"/>
  </r>
  <r>
    <n v="205.99"/>
    <n v="2.5"/>
    <n v="2281"/>
    <s v="Monica Harvey"/>
    <s v="Regular Air"/>
    <s v="Home Office"/>
    <x v="2"/>
    <x v="5"/>
    <s v="Small Box"/>
    <s v="V70"/>
    <n v="0.59"/>
    <s v="United States"/>
    <s v="Central"/>
    <s v="Wisconsin"/>
    <s v="Eau Claire"/>
    <n v="54703"/>
    <d v="2015-01-27T00:00:00"/>
    <d v="2015-01-28T00:00:00"/>
    <n v="997.38144"/>
    <n v="10"/>
    <x v="1252"/>
    <n v="85948"/>
    <n v="16108.4"/>
  </r>
  <r>
    <n v="5.98"/>
    <n v="5.79"/>
    <n v="2282"/>
    <s v="Jimmy Waters"/>
    <s v="Regular Air"/>
    <s v="Home Office"/>
    <x v="0"/>
    <x v="7"/>
    <s v="Small Box"/>
    <s v="Xerox 1903"/>
    <n v="0.36"/>
    <s v="United States"/>
    <s v="Central"/>
    <s v="Wisconsin"/>
    <s v="Fitchburg"/>
    <n v="53713"/>
    <d v="2015-02-05T00:00:00"/>
    <d v="2015-02-07T00:00:00"/>
    <n v="-36.030799999999999"/>
    <n v="14"/>
    <x v="1253"/>
    <n v="85950"/>
    <n v="1205.68"/>
  </r>
  <r>
    <n v="11.7"/>
    <n v="6.96"/>
    <n v="2283"/>
    <s v="Nancy Holden"/>
    <s v="Regular Air"/>
    <s v="Home Office"/>
    <x v="0"/>
    <x v="15"/>
    <s v="Medium Box"/>
    <s v="Harmony HEPA Quiet Air Purifiers"/>
    <n v="0.5"/>
    <s v="United States"/>
    <s v="Central"/>
    <s v="Wisconsin"/>
    <s v="Franklin"/>
    <n v="53132"/>
    <d v="2015-01-24T00:00:00"/>
    <d v="2015-01-26T00:00:00"/>
    <n v="-28.954000000000001"/>
    <n v="6"/>
    <x v="1254"/>
    <n v="85947"/>
    <n v="461.22"/>
  </r>
  <r>
    <n v="17.7"/>
    <n v="9.4700000000000006"/>
    <n v="2285"/>
    <s v="Arnold Floyd Blair"/>
    <s v="Express Air"/>
    <s v="Corporate"/>
    <x v="0"/>
    <x v="10"/>
    <s v="Small Box"/>
    <s v="Portfile® Personal File Boxes"/>
    <n v="0.59"/>
    <s v="United States"/>
    <s v="South"/>
    <s v="South Carolina"/>
    <s v="Rock Hill"/>
    <n v="29730"/>
    <d v="2015-03-13T00:00:00"/>
    <d v="2015-03-15T00:00:00"/>
    <n v="-85.022000000000006"/>
    <n v="21"/>
    <x v="1255"/>
    <n v="90148"/>
    <n v="7866.6"/>
  </r>
  <r>
    <n v="4.91"/>
    <n v="0.5"/>
    <n v="2286"/>
    <s v="Larry Langston"/>
    <s v="Regular Air"/>
    <s v="Corporate"/>
    <x v="0"/>
    <x v="9"/>
    <s v="Small Box"/>
    <s v="Avery 493"/>
    <n v="0.36"/>
    <s v="United States"/>
    <s v="South"/>
    <s v="South Carolina"/>
    <s v="Spartanburg"/>
    <n v="29301"/>
    <d v="2015-02-04T00:00:00"/>
    <d v="2015-02-06T00:00:00"/>
    <n v="99.197999999999993"/>
    <n v="12"/>
    <x v="1256"/>
    <n v="90145"/>
    <n v="742.43999999999994"/>
  </r>
  <r>
    <n v="7.28"/>
    <n v="11.15"/>
    <n v="2286"/>
    <s v="Larry Langston"/>
    <s v="Regular Air"/>
    <s v="Corporate"/>
    <x v="0"/>
    <x v="7"/>
    <s v="Small Box"/>
    <s v="Array® Parchment Paper, Assorted Colors"/>
    <n v="0.37"/>
    <s v="United States"/>
    <s v="South"/>
    <s v="South Carolina"/>
    <s v="Spartanburg"/>
    <n v="29301"/>
    <d v="2015-02-04T00:00:00"/>
    <d v="2015-02-05T00:00:00"/>
    <n v="136.03139999999999"/>
    <n v="6"/>
    <x v="1257"/>
    <n v="90145"/>
    <n v="293.28000000000003"/>
  </r>
  <r>
    <n v="6.68"/>
    <n v="6.93"/>
    <n v="2286"/>
    <s v="Larry Langston"/>
    <s v="Regular Air"/>
    <s v="Corporate"/>
    <x v="0"/>
    <x v="7"/>
    <s v="Small Box"/>
    <s v="HP Office Paper (20Lb. and 87 Bright)"/>
    <n v="0.37"/>
    <s v="United States"/>
    <s v="South"/>
    <s v="South Carolina"/>
    <s v="Spartanburg"/>
    <n v="29301"/>
    <d v="2015-02-04T00:00:00"/>
    <d v="2015-02-07T00:00:00"/>
    <n v="-100.072"/>
    <n v="3"/>
    <x v="1258"/>
    <n v="90145"/>
    <n v="64.679999999999993"/>
  </r>
  <r>
    <n v="18.97"/>
    <n v="9.0299999999999994"/>
    <n v="2287"/>
    <s v="Samuel Newman"/>
    <s v="Regular Air"/>
    <s v="Corporate"/>
    <x v="0"/>
    <x v="7"/>
    <s v="Small Box"/>
    <s v="Computer Printout Paper with Letter-Trim Perforations"/>
    <n v="0.37"/>
    <s v="United States"/>
    <s v="South"/>
    <s v="South Carolina"/>
    <s v="Summerville"/>
    <n v="29483"/>
    <d v="2015-03-25T00:00:00"/>
    <d v="2015-03-25T00:00:00"/>
    <n v="-12.0267"/>
    <n v="8"/>
    <x v="1259"/>
    <n v="90146"/>
    <n v="1317.36"/>
  </r>
  <r>
    <n v="12.28"/>
    <n v="4.8600000000000003"/>
    <n v="2287"/>
    <s v="Samuel Newman"/>
    <s v="Regular Air"/>
    <s v="Corporate"/>
    <x v="0"/>
    <x v="7"/>
    <s v="Small Box"/>
    <s v="Xerox 1933"/>
    <n v="0.38"/>
    <s v="United States"/>
    <s v="South"/>
    <s v="South Carolina"/>
    <s v="Summerville"/>
    <n v="29483"/>
    <d v="2015-03-25T00:00:00"/>
    <d v="2015-03-26T00:00:00"/>
    <n v="122.508"/>
    <n v="6"/>
    <x v="1260"/>
    <n v="90146"/>
    <n v="436.43999999999994"/>
  </r>
  <r>
    <n v="34.99"/>
    <n v="7.73"/>
    <n v="2287"/>
    <s v="Samuel Newman"/>
    <s v="Express Air"/>
    <s v="Corporate"/>
    <x v="0"/>
    <x v="0"/>
    <s v="Small Box"/>
    <s v="Hunt Boston® Vacuum Mount KS Pencil Sharpener"/>
    <n v="0.59"/>
    <s v="United States"/>
    <s v="South"/>
    <s v="South Carolina"/>
    <s v="Summerville"/>
    <n v="29483"/>
    <d v="2015-03-25T00:00:00"/>
    <d v="2015-03-27T00:00:00"/>
    <n v="-12.0267"/>
    <n v="12"/>
    <x v="1261"/>
    <n v="90146"/>
    <n v="5025"/>
  </r>
  <r>
    <n v="54.1"/>
    <n v="19.989999999999998"/>
    <n v="2287"/>
    <s v="Samuel Newman"/>
    <s v="Regular Air"/>
    <s v="Corporate"/>
    <x v="0"/>
    <x v="10"/>
    <s v="Small Box"/>
    <s v="Desktop 3-Pocket Hot File®"/>
    <n v="0.59"/>
    <s v="United States"/>
    <s v="South"/>
    <s v="South Carolina"/>
    <s v="Summerville"/>
    <n v="29483"/>
    <d v="2015-02-19T00:00:00"/>
    <d v="2015-02-24T00:00:00"/>
    <n v="34.067999999999998"/>
    <n v="9"/>
    <x v="1262"/>
    <n v="90147"/>
    <n v="4226.3099999999995"/>
  </r>
  <r>
    <n v="7.59"/>
    <n v="4"/>
    <n v="2289"/>
    <s v="Ryan Herman"/>
    <s v="Regular Air"/>
    <s v="Home Office"/>
    <x v="1"/>
    <x v="2"/>
    <s v="Wrap Bag"/>
    <s v="Master Giant Foot® Doorstop, Safety Yellow"/>
    <n v="0.42"/>
    <s v="United States"/>
    <s v="Central"/>
    <s v="Minnesota"/>
    <s v="Burnsville"/>
    <n v="55337"/>
    <d v="2015-05-04T00:00:00"/>
    <d v="2015-05-04T00:00:00"/>
    <n v="2.97"/>
    <n v="17"/>
    <x v="1263"/>
    <n v="88165"/>
    <n v="2316.25"/>
  </r>
  <r>
    <n v="42.98"/>
    <n v="4.62"/>
    <n v="2290"/>
    <s v="Glen Robertson"/>
    <s v="Regular Air"/>
    <s v="Home Office"/>
    <x v="0"/>
    <x v="15"/>
    <s v="Small Box"/>
    <s v="Belkin F9M820V08 8 Outlet Surge"/>
    <n v="0.56000000000000005"/>
    <s v="United States"/>
    <s v="Central"/>
    <s v="Minnesota"/>
    <s v="Coon Rapids"/>
    <n v="55433"/>
    <d v="2015-01-06T00:00:00"/>
    <d v="2015-01-08T00:00:00"/>
    <n v="385.30290000000002"/>
    <n v="12"/>
    <x v="1264"/>
    <n v="88163"/>
    <n v="6700.92"/>
  </r>
  <r>
    <n v="21.78"/>
    <n v="5.94"/>
    <n v="2290"/>
    <s v="Glen Robertson"/>
    <s v="Regular Air"/>
    <s v="Home Office"/>
    <x v="0"/>
    <x v="15"/>
    <s v="Medium Box"/>
    <s v="Holmes HEPA Air Purifier"/>
    <n v="0.5"/>
    <s v="United States"/>
    <s v="Central"/>
    <s v="Minnesota"/>
    <s v="Coon Rapids"/>
    <n v="55433"/>
    <d v="2015-01-06T00:00:00"/>
    <d v="2015-01-08T00:00:00"/>
    <n v="187.2"/>
    <n v="13"/>
    <x v="1265"/>
    <n v="88163"/>
    <n v="3772.8600000000006"/>
  </r>
  <r>
    <n v="80.98"/>
    <n v="7.18"/>
    <n v="2290"/>
    <s v="Glen Robertson"/>
    <s v="Regular Air"/>
    <s v="Corporate"/>
    <x v="2"/>
    <x v="13"/>
    <s v="Small Box"/>
    <s v="Logitech Cordless Navigator Duo"/>
    <n v="0.48"/>
    <s v="United States"/>
    <s v="Central"/>
    <s v="Minnesota"/>
    <s v="Coon Rapids"/>
    <n v="55433"/>
    <d v="2015-02-04T00:00:00"/>
    <d v="2015-02-06T00:00:00"/>
    <n v="779.47230000000002"/>
    <n v="15"/>
    <x v="1266"/>
    <n v="88164"/>
    <n v="16945.050000000003"/>
  </r>
  <r>
    <n v="270.98"/>
    <n v="50"/>
    <n v="2302"/>
    <s v="Beth Dolan"/>
    <s v="Delivery Truck"/>
    <s v="Corporate"/>
    <x v="1"/>
    <x v="1"/>
    <s v="Jumbo Drum"/>
    <s v="Global Enterprise Series Seating High-Back Swivel/Tilt Chairs"/>
    <n v="0.77"/>
    <s v="United States"/>
    <s v="South"/>
    <s v="Florida"/>
    <s v="Panama City"/>
    <n v="32404"/>
    <d v="2015-02-11T00:00:00"/>
    <d v="2015-02-13T00:00:00"/>
    <n v="27.725999999999999"/>
    <n v="9"/>
    <x v="1267"/>
    <n v="87695"/>
    <n v="21954.329999999998"/>
  </r>
  <r>
    <n v="12.53"/>
    <n v="0.49"/>
    <n v="2302"/>
    <s v="Beth Dolan"/>
    <s v="Regular Air"/>
    <s v="Corporate"/>
    <x v="0"/>
    <x v="9"/>
    <s v="Small Box"/>
    <s v="Round Specialty Laser Printer Labels"/>
    <n v="0.38"/>
    <s v="United States"/>
    <s v="South"/>
    <s v="Florida"/>
    <s v="Panama City"/>
    <n v="32404"/>
    <d v="2015-01-03T00:00:00"/>
    <d v="2015-01-04T00:00:00"/>
    <n v="244.464"/>
    <n v="8"/>
    <x v="1268"/>
    <n v="87696"/>
    <n v="736.16"/>
  </r>
  <r>
    <n v="146.34"/>
    <n v="43.75"/>
    <n v="2302"/>
    <s v="Beth Dolan"/>
    <s v="Delivery Truck"/>
    <s v="Corporate"/>
    <x v="1"/>
    <x v="11"/>
    <s v="Jumbo Box"/>
    <s v="Bevis Round Conference Table Top &amp; Single Column Base"/>
    <n v="0.64"/>
    <s v="United States"/>
    <s v="South"/>
    <s v="Florida"/>
    <s v="Panama City"/>
    <n v="32404"/>
    <d v="2015-01-03T00:00:00"/>
    <d v="2015-01-04T00:00:00"/>
    <n v="-473.57799999999997"/>
    <n v="2"/>
    <x v="1269"/>
    <n v="87696"/>
    <n v="567.1"/>
  </r>
  <r>
    <n v="270.98"/>
    <n v="50"/>
    <n v="2303"/>
    <s v="Joe Baldwin"/>
    <s v="Delivery Truck"/>
    <s v="Corporate"/>
    <x v="1"/>
    <x v="1"/>
    <s v="Jumbo Drum"/>
    <s v="Global Enterprise Series Seating High-Back Swivel/Tilt Chairs"/>
    <n v="0.77"/>
    <s v="United States"/>
    <s v="East"/>
    <s v="New York"/>
    <s v="New York City"/>
    <n v="10011"/>
    <d v="2015-02-11T00:00:00"/>
    <d v="2015-02-13T00:00:00"/>
    <n v="-96.05"/>
    <n v="36"/>
    <x v="1270"/>
    <n v="47493"/>
    <n v="351269.27999999997"/>
  </r>
  <r>
    <n v="146.34"/>
    <n v="43.75"/>
    <n v="2303"/>
    <s v="Joe Baldwin"/>
    <s v="Delivery Truck"/>
    <s v="Corporate"/>
    <x v="1"/>
    <x v="11"/>
    <s v="Jumbo Box"/>
    <s v="Bevis Round Conference Table Top &amp; Single Column Base"/>
    <n v="0.64"/>
    <s v="United States"/>
    <s v="East"/>
    <s v="New York"/>
    <s v="New York City"/>
    <n v="10011"/>
    <d v="2015-01-03T00:00:00"/>
    <d v="2015-01-04T00:00:00"/>
    <n v="-270.85000000000002"/>
    <n v="6"/>
    <x v="1271"/>
    <n v="37987"/>
    <n v="5103.84"/>
  </r>
  <r>
    <n v="90.48"/>
    <n v="19.989999999999998"/>
    <n v="2305"/>
    <s v="Pat Kinney"/>
    <s v="Regular Air"/>
    <s v="Small Business"/>
    <x v="0"/>
    <x v="4"/>
    <s v="Small Box"/>
    <s v="Tyvek® Side-Opening Peel &amp; Seel® Expanding Envelopes"/>
    <n v="0.4"/>
    <s v="United States"/>
    <s v="Central"/>
    <s v="South Dakota"/>
    <s v="Watertown"/>
    <n v="57201"/>
    <d v="2015-06-21T00:00:00"/>
    <d v="2015-06-24T00:00:00"/>
    <n v="800.25509999999997"/>
    <n v="12"/>
    <x v="1272"/>
    <n v="89869"/>
    <n v="13917.48"/>
  </r>
  <r>
    <n v="9.48"/>
    <n v="7.29"/>
    <n v="2308"/>
    <s v="Laurence Cummings"/>
    <s v="Regular Air"/>
    <s v="Small Business"/>
    <x v="1"/>
    <x v="2"/>
    <s v="Small Pack"/>
    <s v="DAX Two-Tone Rosewood/Black Document Frame, Desktop, 5 x 7"/>
    <n v="0.45"/>
    <s v="United States"/>
    <s v="South"/>
    <s v="Florida"/>
    <s v="Lehigh Acres"/>
    <n v="33971"/>
    <d v="2015-03-24T00:00:00"/>
    <d v="2015-03-26T00:00:00"/>
    <n v="-50.4"/>
    <n v="2"/>
    <x v="1273"/>
    <n v="90557"/>
    <n v="40.44"/>
  </r>
  <r>
    <n v="193.17"/>
    <n v="19.989999999999998"/>
    <n v="2308"/>
    <s v="Laurence Cummings"/>
    <s v="Regular Air"/>
    <s v="Small Business"/>
    <x v="0"/>
    <x v="10"/>
    <s v="Small Box"/>
    <s v="Fellowes Staxonsteel® Drawer Files"/>
    <n v="0.71"/>
    <s v="United States"/>
    <s v="South"/>
    <s v="Florida"/>
    <s v="Lehigh Acres"/>
    <n v="33971"/>
    <d v="2015-03-24T00:00:00"/>
    <d v="2015-03-28T00:00:00"/>
    <n v="-348.75400000000002"/>
    <n v="8"/>
    <x v="1274"/>
    <n v="90557"/>
    <n v="12391.76"/>
  </r>
  <r>
    <n v="68.81"/>
    <n v="60"/>
    <n v="2323"/>
    <s v="Emma Buckley"/>
    <s v="Delivery Truck"/>
    <s v="Small Business"/>
    <x v="0"/>
    <x v="15"/>
    <s v="Jumbo Drum"/>
    <s v="Holmes Replacement Filter for HEPA Air Cleaner, Very Large Room, HEPA Filter"/>
    <n v="0.41"/>
    <s v="United States"/>
    <s v="West"/>
    <s v="California"/>
    <s v="Coachella"/>
    <n v="92236"/>
    <d v="2015-03-16T00:00:00"/>
    <d v="2015-03-17T00:00:00"/>
    <n v="-550.42999999999995"/>
    <n v="5"/>
    <x v="1275"/>
    <n v="88721"/>
    <n v="1689.3000000000002"/>
  </r>
  <r>
    <n v="21.38"/>
    <n v="8.99"/>
    <n v="2323"/>
    <s v="Emma Buckley"/>
    <s v="Regular Air"/>
    <s v="Small Business"/>
    <x v="0"/>
    <x v="0"/>
    <s v="Small Pack"/>
    <s v="Boston 1730 StandUp Electric Pencil Sharpener"/>
    <n v="0.59"/>
    <s v="United States"/>
    <s v="West"/>
    <s v="California"/>
    <s v="Coachella"/>
    <n v="92236"/>
    <d v="2015-03-16T00:00:00"/>
    <d v="2015-03-18T00:00:00"/>
    <n v="-52.12"/>
    <n v="4"/>
    <x v="1276"/>
    <n v="88721"/>
    <n v="336.84"/>
  </r>
  <r>
    <n v="4.9800000000000004"/>
    <n v="4.62"/>
    <n v="2323"/>
    <s v="Emma Buckley"/>
    <s v="Express Air"/>
    <s v="Small Business"/>
    <x v="2"/>
    <x v="13"/>
    <s v="Small Pack"/>
    <s v="Imation 3.5&quot;, DISKETTE 44766 HGHLD3.52HD/FM, 10/Pack"/>
    <n v="0.64"/>
    <s v="United States"/>
    <s v="West"/>
    <s v="California"/>
    <s v="Coachella"/>
    <n v="92236"/>
    <d v="2015-06-19T00:00:00"/>
    <d v="2015-06-19T00:00:00"/>
    <n v="-27.004999999999999"/>
    <n v="7"/>
    <x v="1277"/>
    <n v="88722"/>
    <n v="271.18"/>
  </r>
  <r>
    <n v="28.53"/>
    <n v="1.49"/>
    <n v="2330"/>
    <s v="Kara Foster"/>
    <s v="Regular Air"/>
    <s v="Home Office"/>
    <x v="0"/>
    <x v="8"/>
    <s v="Small Box"/>
    <s v="Lock-Up Easel 'Spel-Binder'"/>
    <n v="0.38"/>
    <s v="United States"/>
    <s v="Central"/>
    <s v="Iowa"/>
    <s v="Marion"/>
    <n v="52302"/>
    <d v="2015-03-24T00:00:00"/>
    <d v="2015-03-27T00:00:00"/>
    <n v="74.638499999999993"/>
    <n v="5"/>
    <x v="1278"/>
    <n v="90964"/>
    <n v="670.45"/>
  </r>
  <r>
    <n v="180.98"/>
    <n v="26.2"/>
    <n v="2333"/>
    <s v="Megan Woods"/>
    <s v="Delivery Truck"/>
    <s v="Small Business"/>
    <x v="1"/>
    <x v="1"/>
    <s v="Jumbo Drum"/>
    <s v="Global Ergonomic Managers Chair"/>
    <n v="0.59"/>
    <s v="United States"/>
    <s v="Central"/>
    <s v="Wisconsin"/>
    <s v="Green Bay"/>
    <n v="54302"/>
    <d v="2015-06-23T00:00:00"/>
    <d v="2015-06-24T00:00:00"/>
    <n v="-122.235"/>
    <n v="1"/>
    <x v="1279"/>
    <n v="89611"/>
    <n v="191.73"/>
  </r>
  <r>
    <n v="60.65"/>
    <n v="12.23"/>
    <n v="2334"/>
    <s v="Stephanie Hawkins"/>
    <s v="Regular Air"/>
    <s v="Consumer"/>
    <x v="1"/>
    <x v="2"/>
    <s v="Medium Box"/>
    <s v="Tenex Traditional Chairmats for Medium Pile Carpet, Standard Lip, 36&quot; x 48&quot;"/>
    <n v="0.64"/>
    <s v="United States"/>
    <s v="Central"/>
    <s v="Wisconsin"/>
    <s v="Greenfield"/>
    <n v="53220"/>
    <d v="2015-04-06T00:00:00"/>
    <d v="2015-04-08T00:00:00"/>
    <n v="427.00650000000002"/>
    <n v="10"/>
    <x v="1280"/>
    <n v="89608"/>
    <n v="6188.5"/>
  </r>
  <r>
    <n v="14.81"/>
    <n v="13.32"/>
    <n v="2334"/>
    <s v="Stephanie Hawkins"/>
    <s v="Regular Air"/>
    <s v="Small Business"/>
    <x v="0"/>
    <x v="15"/>
    <s v="Small Box"/>
    <s v="Holmes Replacement Filter for HEPA Air Cleaner, Large Room"/>
    <n v="0.43"/>
    <s v="United States"/>
    <s v="Central"/>
    <s v="Wisconsin"/>
    <s v="Greenfield"/>
    <n v="53220"/>
    <d v="2015-04-09T00:00:00"/>
    <d v="2015-04-11T00:00:00"/>
    <n v="-190.49"/>
    <n v="8"/>
    <x v="1281"/>
    <n v="89609"/>
    <n v="927.92"/>
  </r>
  <r>
    <n v="2.78"/>
    <n v="1.25"/>
    <n v="2334"/>
    <s v="Stephanie Hawkins"/>
    <s v="Regular Air"/>
    <s v="Small Business"/>
    <x v="0"/>
    <x v="0"/>
    <s v="Wrap Bag"/>
    <s v="Newell 318"/>
    <n v="0.59"/>
    <s v="United States"/>
    <s v="Central"/>
    <s v="Wisconsin"/>
    <s v="Greenfield"/>
    <n v="53220"/>
    <d v="2015-04-09T00:00:00"/>
    <d v="2015-04-10T00:00:00"/>
    <n v="-8.77"/>
    <n v="7"/>
    <x v="1282"/>
    <n v="89609"/>
    <n v="136.22"/>
  </r>
  <r>
    <n v="3.74"/>
    <n v="0.94"/>
    <n v="2334"/>
    <s v="Stephanie Hawkins"/>
    <s v="Regular Air"/>
    <s v="Home Office"/>
    <x v="0"/>
    <x v="3"/>
    <s v="Wrap Bag"/>
    <s v="Rubber Band Ball"/>
    <n v="0.83"/>
    <s v="United States"/>
    <s v="Central"/>
    <s v="Wisconsin"/>
    <s v="Greenfield"/>
    <n v="53220"/>
    <d v="2015-06-02T00:00:00"/>
    <d v="2015-06-09T00:00:00"/>
    <n v="-7.6849999999999996"/>
    <n v="12"/>
    <x v="1283"/>
    <n v="89610"/>
    <n v="537"/>
  </r>
  <r>
    <n v="2.08"/>
    <n v="5.33"/>
    <n v="2338"/>
    <s v="Lynn Hines"/>
    <s v="Regular Air"/>
    <s v="Home Office"/>
    <x v="1"/>
    <x v="2"/>
    <s v="Small Box"/>
    <s v="Eldon® Wave Desk Accessories"/>
    <n v="0.43"/>
    <s v="United States"/>
    <s v="East"/>
    <s v="Maryland"/>
    <s v="College Park"/>
    <n v="20740"/>
    <d v="2015-01-13T00:00:00"/>
    <d v="2015-01-13T00:00:00"/>
    <n v="-82.559200000000004"/>
    <n v="4"/>
    <x v="1284"/>
    <n v="91480"/>
    <n v="36.92"/>
  </r>
  <r>
    <n v="6.75"/>
    <n v="2.99"/>
    <n v="2338"/>
    <s v="Lynn Hines"/>
    <s v="Regular Air"/>
    <s v="Home Office"/>
    <x v="0"/>
    <x v="8"/>
    <s v="Small Box"/>
    <s v="Wilson Jones DublLock® D-Ring Binders"/>
    <n v="0.35"/>
    <s v="United States"/>
    <s v="East"/>
    <s v="Maryland"/>
    <s v="College Park"/>
    <n v="20740"/>
    <d v="2015-03-29T00:00:00"/>
    <d v="2015-03-29T00:00:00"/>
    <n v="18.147500000000001"/>
    <n v="15"/>
    <x v="1285"/>
    <n v="91481"/>
    <n v="1441.9499999999998"/>
  </r>
  <r>
    <n v="11.58"/>
    <n v="6.97"/>
    <n v="2339"/>
    <s v="Gordon Boswell"/>
    <s v="Regular Air"/>
    <s v="Home Office"/>
    <x v="0"/>
    <x v="4"/>
    <s v="Small Box"/>
    <s v="Peel &amp; Seel® Recycled Catalog Envelopes, Brown"/>
    <n v="0.35"/>
    <s v="United States"/>
    <s v="Central"/>
    <s v="Texas"/>
    <s v="Cloverleaf"/>
    <n v="77015"/>
    <d v="2015-05-25T00:00:00"/>
    <d v="2015-05-28T00:00:00"/>
    <n v="2.806"/>
    <n v="6"/>
    <x v="1286"/>
    <n v="91482"/>
    <n v="443.76"/>
  </r>
  <r>
    <n v="200.98"/>
    <n v="23.76"/>
    <n v="2345"/>
    <s v="Colleen Marsh"/>
    <s v="Delivery Truck"/>
    <s v="Corporate"/>
    <x v="1"/>
    <x v="1"/>
    <s v="Jumbo Drum"/>
    <s v="Global Leather Highback Executive Chair with Pneumatic Height Adjustment, Black"/>
    <n v="0.57999999999999996"/>
    <s v="United States"/>
    <s v="South"/>
    <s v="Kentucky"/>
    <s v="Paducah"/>
    <n v="42003"/>
    <d v="2015-03-14T00:00:00"/>
    <d v="2015-03-15T00:00:00"/>
    <n v="-132.42599999999999"/>
    <n v="9"/>
    <x v="1287"/>
    <n v="89504"/>
    <n v="16253.1"/>
  </r>
  <r>
    <n v="179.29"/>
    <n v="29.21"/>
    <n v="2345"/>
    <s v="Colleen Marsh"/>
    <s v="Delivery Truck"/>
    <s v="Corporate"/>
    <x v="1"/>
    <x v="11"/>
    <s v="Jumbo Box"/>
    <s v="Bevis Round Conference Table Top, X-Base"/>
    <n v="0.76"/>
    <s v="United States"/>
    <s v="South"/>
    <s v="Kentucky"/>
    <s v="Paducah"/>
    <n v="42003"/>
    <d v="2015-03-14T00:00:00"/>
    <d v="2015-03-14T00:00:00"/>
    <n v="-411.23599999999999"/>
    <n v="2"/>
    <x v="1288"/>
    <n v="89504"/>
    <n v="622.82000000000005"/>
  </r>
  <r>
    <n v="297.64"/>
    <n v="14.7"/>
    <n v="2346"/>
    <s v="Sylvia Kumar"/>
    <s v="Delivery Truck"/>
    <s v="Corporate"/>
    <x v="2"/>
    <x v="6"/>
    <s v="Jumbo Drum"/>
    <s v="Panasonic KX-P3200 Dot Matrix Printer"/>
    <n v="0.56999999999999995"/>
    <s v="United States"/>
    <s v="South"/>
    <s v="Kentucky"/>
    <s v="Pleasure Ridge Park"/>
    <n v="40258"/>
    <d v="2015-01-10T00:00:00"/>
    <d v="2015-01-15T00:00:00"/>
    <n v="-48.972000000000001"/>
    <n v="12"/>
    <x v="1289"/>
    <n v="89503"/>
    <n v="44484.600000000006"/>
  </r>
  <r>
    <n v="218.75"/>
    <n v="69.64"/>
    <n v="2346"/>
    <s v="Sylvia Kumar"/>
    <s v="Delivery Truck"/>
    <s v="Corporate"/>
    <x v="1"/>
    <x v="11"/>
    <s v="Jumbo Box"/>
    <s v="BoxOffice By Design Rectangular and Half-Moon Meeting Room Tables"/>
    <n v="0.77"/>
    <s v="United States"/>
    <s v="South"/>
    <s v="Kentucky"/>
    <s v="Pleasure Ridge Park"/>
    <n v="40258"/>
    <d v="2015-05-20T00:00:00"/>
    <d v="2015-05-21T00:00:00"/>
    <n v="62.298000000000002"/>
    <n v="17"/>
    <x v="1290"/>
    <n v="89505"/>
    <n v="47688.06"/>
  </r>
  <r>
    <n v="6.48"/>
    <n v="7.49"/>
    <n v="2351"/>
    <s v="Faye Silver"/>
    <s v="Regular Air"/>
    <s v="Corporate"/>
    <x v="0"/>
    <x v="7"/>
    <s v="Small Box"/>
    <s v="Xerox 220"/>
    <n v="0.37"/>
    <s v="United States"/>
    <s v="East"/>
    <s v="Maryland"/>
    <s v="Crofton"/>
    <n v="21114"/>
    <d v="2015-03-30T00:00:00"/>
    <d v="2015-04-02T00:00:00"/>
    <n v="-119.32"/>
    <n v="13"/>
    <x v="1291"/>
    <n v="86163"/>
    <n v="1051.18"/>
  </r>
  <r>
    <n v="59.76"/>
    <n v="9.7100000000000009"/>
    <n v="2352"/>
    <s v="Kerry Beach"/>
    <s v="Regular Air"/>
    <s v="Consumer"/>
    <x v="0"/>
    <x v="10"/>
    <s v="Small Box"/>
    <s v="Advantus 10-Drawer Portable Organizer, Chrome Metal Frame, Smoke Drawers"/>
    <n v="0.56999999999999995"/>
    <s v="United States"/>
    <s v="East"/>
    <s v="Maryland"/>
    <s v="Cumberland"/>
    <n v="21501"/>
    <d v="2015-06-20T00:00:00"/>
    <d v="2015-06-23T00:00:00"/>
    <n v="756.67470000000003"/>
    <n v="18"/>
    <x v="1292"/>
    <n v="86165"/>
    <n v="19739.340000000004"/>
  </r>
  <r>
    <n v="195.99"/>
    <n v="4.2"/>
    <n v="2352"/>
    <s v="Kerry Beach"/>
    <s v="Regular Air"/>
    <s v="Consumer"/>
    <x v="2"/>
    <x v="5"/>
    <s v="Small Box"/>
    <s v="T65"/>
    <n v="0.56000000000000005"/>
    <s v="United States"/>
    <s v="East"/>
    <s v="Maryland"/>
    <s v="Cumberland"/>
    <n v="21501"/>
    <d v="2015-06-20T00:00:00"/>
    <d v="2015-06-23T00:00:00"/>
    <n v="-222.34299999999999"/>
    <n v="4"/>
    <x v="1293"/>
    <n v="86165"/>
    <n v="2528.48"/>
  </r>
  <r>
    <n v="71.37"/>
    <n v="69"/>
    <n v="2352"/>
    <s v="Kerry Beach"/>
    <s v="Regular Air"/>
    <s v="Home Office"/>
    <x v="1"/>
    <x v="11"/>
    <s v="Large Box"/>
    <s v="Lesro Sheffield Collection Coffee Table, End Table, Center Table, Corner Table"/>
    <n v="0.68"/>
    <s v="United States"/>
    <s v="East"/>
    <s v="Maryland"/>
    <s v="Cumberland"/>
    <n v="21501"/>
    <d v="2015-06-23T00:00:00"/>
    <d v="2015-06-24T00:00:00"/>
    <n v="-1537.1356000000001"/>
    <n v="19"/>
    <x v="1294"/>
    <n v="86166"/>
    <n v="24756.62"/>
  </r>
  <r>
    <n v="5.98"/>
    <n v="0.96"/>
    <n v="2353"/>
    <s v="Patrick Lowry"/>
    <s v="Regular Air"/>
    <s v="Corporate"/>
    <x v="0"/>
    <x v="0"/>
    <s v="Wrap Bag"/>
    <s v="Newell 315"/>
    <n v="0.6"/>
    <s v="United States"/>
    <s v="East"/>
    <s v="Maryland"/>
    <s v="Edgewood"/>
    <n v="21040"/>
    <d v="2015-04-29T00:00:00"/>
    <d v="2015-04-30T00:00:00"/>
    <n v="52.697600000000001"/>
    <n v="22"/>
    <x v="1295"/>
    <n v="86164"/>
    <n v="2899.3799999999997"/>
  </r>
  <r>
    <n v="20.99"/>
    <n v="0.99"/>
    <n v="2353"/>
    <s v="Patrick Lowry"/>
    <s v="Regular Air"/>
    <s v="Corporate"/>
    <x v="2"/>
    <x v="5"/>
    <s v="Wrap Bag"/>
    <s v="Accessory25"/>
    <n v="0.56999999999999995"/>
    <s v="United States"/>
    <s v="East"/>
    <s v="Maryland"/>
    <s v="Edgewood"/>
    <n v="21040"/>
    <d v="2015-04-29T00:00:00"/>
    <d v="2015-04-30T00:00:00"/>
    <n v="-78.194159999999997"/>
    <n v="2"/>
    <x v="1296"/>
    <n v="86164"/>
    <n v="70.66"/>
  </r>
  <r>
    <n v="78.69"/>
    <n v="19.989999999999998"/>
    <n v="2355"/>
    <s v="Clyde Burnett"/>
    <s v="Regular Air"/>
    <s v="Consumer"/>
    <x v="1"/>
    <x v="2"/>
    <s v="Small Box"/>
    <s v="Howard Miller 12-3/4 Diameter Accuwave DS ™ Wall Clock"/>
    <n v="0.43"/>
    <s v="United States"/>
    <s v="West"/>
    <s v="California"/>
    <s v="Coachella"/>
    <n v="92236"/>
    <d v="2015-02-15T00:00:00"/>
    <d v="2015-02-16T00:00:00"/>
    <n v="465.43950000000001"/>
    <n v="9"/>
    <x v="1297"/>
    <n v="91304"/>
    <n v="6070.95"/>
  </r>
  <r>
    <n v="146.34"/>
    <n v="43.75"/>
    <n v="2355"/>
    <s v="Clyde Burnett"/>
    <s v="Delivery Truck"/>
    <s v="Consumer"/>
    <x v="1"/>
    <x v="11"/>
    <s v="Jumbo Box"/>
    <s v="Bevis Round Conference Table Top &amp; Single Column Base"/>
    <n v="0.65"/>
    <s v="United States"/>
    <s v="West"/>
    <s v="California"/>
    <s v="Coachella"/>
    <n v="92236"/>
    <d v="2015-06-16T00:00:00"/>
    <d v="2015-06-18T00:00:00"/>
    <n v="-89.27"/>
    <n v="12"/>
    <x v="1298"/>
    <n v="91306"/>
    <n v="20654.88"/>
  </r>
  <r>
    <n v="29.34"/>
    <n v="7.87"/>
    <n v="2356"/>
    <s v="Emma Bloom"/>
    <s v="Regular Air"/>
    <s v="Consumer"/>
    <x v="1"/>
    <x v="2"/>
    <s v="Small Box"/>
    <s v="Seth Thomas 14&quot; Putty-Colored Wall Clock"/>
    <n v="0.54"/>
    <s v="United States"/>
    <s v="West"/>
    <s v="Wyoming"/>
    <s v="Rock Springs"/>
    <n v="82901"/>
    <d v="2015-03-15T00:00:00"/>
    <d v="2015-03-17T00:00:00"/>
    <n v="385.37"/>
    <n v="22"/>
    <x v="1299"/>
    <n v="91305"/>
    <n v="14704.36"/>
  </r>
  <r>
    <n v="205.99"/>
    <n v="8.99"/>
    <n v="2358"/>
    <s v="Danielle Baird"/>
    <s v="Regular Air"/>
    <s v="Corporate"/>
    <x v="2"/>
    <x v="5"/>
    <s v="Small Box"/>
    <s v="TimeportP7382"/>
    <n v="0.56000000000000005"/>
    <s v="United States"/>
    <s v="South"/>
    <s v="Florida"/>
    <s v="Fort Lauderdale"/>
    <n v="33311"/>
    <d v="2015-03-04T00:00:00"/>
    <d v="2015-03-08T00:00:00"/>
    <n v="147"/>
    <n v="2"/>
    <x v="1300"/>
    <n v="88267"/>
    <n v="649.24"/>
  </r>
  <r>
    <n v="2.08"/>
    <n v="2.56"/>
    <n v="2358"/>
    <s v="Danielle Baird"/>
    <s v="Regular Air"/>
    <s v="Home Office"/>
    <x v="0"/>
    <x v="12"/>
    <s v="Small Pack"/>
    <s v="Kleencut® Forged Office Shears by Acme United Corporation"/>
    <n v="0.55000000000000004"/>
    <s v="United States"/>
    <s v="South"/>
    <s v="Florida"/>
    <s v="Fort Lauderdale"/>
    <n v="33311"/>
    <d v="2015-02-14T00:00:00"/>
    <d v="2015-02-16T00:00:00"/>
    <n v="-1045.0160000000001"/>
    <n v="19"/>
    <x v="1301"/>
    <n v="88268"/>
    <n v="777.67"/>
  </r>
  <r>
    <n v="7.28"/>
    <n v="1.77"/>
    <n v="2359"/>
    <s v="Annie Horne"/>
    <s v="Regular Air"/>
    <s v="Home Office"/>
    <x v="0"/>
    <x v="7"/>
    <s v="Wrap Bag"/>
    <s v="Post-it® “Important Message” Note Pad, Neon Colors, 50 Sheets/Pad"/>
    <n v="0.37"/>
    <s v="United States"/>
    <s v="South"/>
    <s v="Florida"/>
    <s v="Fort Myers"/>
    <n v="33917"/>
    <d v="2015-02-05T00:00:00"/>
    <d v="2015-02-05T00:00:00"/>
    <n v="167.16"/>
    <n v="7"/>
    <x v="1302"/>
    <n v="88265"/>
    <n v="373.94"/>
  </r>
  <r>
    <n v="8.33"/>
    <n v="1.99"/>
    <n v="2361"/>
    <s v="Vincent Daniel"/>
    <s v="Regular Air"/>
    <s v="Corporate"/>
    <x v="2"/>
    <x v="13"/>
    <s v="Small Pack"/>
    <s v="80 Minute Slim Jewel Case CD-R , 10/Pack - Staples"/>
    <n v="0.52"/>
    <s v="United States"/>
    <s v="South"/>
    <s v="Florida"/>
    <s v="Fruit Cove"/>
    <n v="32259"/>
    <d v="2015-02-25T00:00:00"/>
    <d v="2015-02-26T00:00:00"/>
    <n v="-344.82"/>
    <n v="1"/>
    <x v="1303"/>
    <n v="88266"/>
    <n v="8.49"/>
  </r>
  <r>
    <n v="5.77"/>
    <n v="5.92"/>
    <n v="2363"/>
    <s v="Jacob Murray"/>
    <s v="Regular Air"/>
    <s v="Home Office"/>
    <x v="1"/>
    <x v="2"/>
    <s v="Medium Box"/>
    <s v="DAX Cubicle Frames - 8x10"/>
    <n v="0.55000000000000004"/>
    <s v="United States"/>
    <s v="East"/>
    <s v="Ohio"/>
    <s v="Medina"/>
    <n v="44256"/>
    <d v="2015-04-11T00:00:00"/>
    <d v="2015-04-13T00:00:00"/>
    <n v="-61.5276"/>
    <n v="11"/>
    <x v="1304"/>
    <n v="90040"/>
    <n v="768.79"/>
  </r>
  <r>
    <n v="5.98"/>
    <n v="5.79"/>
    <n v="2369"/>
    <s v="Mike G Hartman"/>
    <s v="Regular Air"/>
    <s v="Consumer"/>
    <x v="0"/>
    <x v="7"/>
    <s v="Small Box"/>
    <s v="Xerox 1903"/>
    <n v="0.36"/>
    <s v="United States"/>
    <s v="South"/>
    <s v="Florida"/>
    <s v="Pembroke Pines"/>
    <n v="33024"/>
    <d v="2015-01-13T00:00:00"/>
    <d v="2015-01-15T00:00:00"/>
    <n v="-41.972700000000003"/>
    <n v="13"/>
    <x v="1305"/>
    <n v="90408"/>
    <n v="1006.46"/>
  </r>
  <r>
    <n v="1.76"/>
    <n v="0.7"/>
    <n v="2372"/>
    <s v="Marvin Parrott"/>
    <s v="Regular Air"/>
    <s v="Corporate"/>
    <x v="0"/>
    <x v="0"/>
    <s v="Wrap Bag"/>
    <s v="Newell 310"/>
    <n v="0.56000000000000005"/>
    <s v="United States"/>
    <s v="Central"/>
    <s v="Minnesota"/>
    <s v="Duluth"/>
    <n v="55803"/>
    <d v="2015-03-15T00:00:00"/>
    <d v="2015-03-16T00:00:00"/>
    <n v="-1.56"/>
    <n v="4"/>
    <x v="1306"/>
    <n v="90714"/>
    <n v="28.8"/>
  </r>
  <r>
    <n v="3.28"/>
    <n v="3.97"/>
    <n v="2376"/>
    <s v="Debra Batchelor"/>
    <s v="Regular Air"/>
    <s v="Corporate"/>
    <x v="0"/>
    <x v="0"/>
    <s v="Wrap Bag"/>
    <s v="Newell 342"/>
    <n v="0.56000000000000005"/>
    <s v="United States"/>
    <s v="West"/>
    <s v="Idaho"/>
    <s v="Moscow"/>
    <n v="83843"/>
    <d v="2015-03-05T00:00:00"/>
    <d v="2015-03-06T00:00:00"/>
    <n v="-100.24"/>
    <n v="18"/>
    <x v="1307"/>
    <n v="91321"/>
    <n v="1103.22"/>
  </r>
  <r>
    <n v="6.98"/>
    <n v="9.69"/>
    <n v="2376"/>
    <s v="Debra Batchelor"/>
    <s v="Regular Air"/>
    <s v="Corporate"/>
    <x v="0"/>
    <x v="10"/>
    <s v="Small Box"/>
    <s v="Eldon Shelf Savers™ Cubes and Bins"/>
    <n v="0.83"/>
    <s v="United States"/>
    <s v="West"/>
    <s v="Idaho"/>
    <s v="Moscow"/>
    <n v="83843"/>
    <d v="2015-03-05T00:00:00"/>
    <d v="2015-03-07T00:00:00"/>
    <n v="-262.62"/>
    <n v="15"/>
    <x v="1308"/>
    <n v="91321"/>
    <n v="1637.25"/>
  </r>
  <r>
    <n v="122.99"/>
    <n v="19.989999999999998"/>
    <n v="2379"/>
    <s v="Mildred Briggs"/>
    <s v="Regular Air"/>
    <s v="Small Business"/>
    <x v="0"/>
    <x v="8"/>
    <s v="Small Box"/>
    <s v="GBC Therma-A-Bind 250T Electric Binding System"/>
    <n v="0.37"/>
    <s v="United States"/>
    <s v="Central"/>
    <s v="Michigan"/>
    <s v="Garden City"/>
    <n v="48135"/>
    <d v="2015-05-05T00:00:00"/>
    <d v="2015-05-07T00:00:00"/>
    <n v="1019.7096"/>
    <n v="12"/>
    <x v="1309"/>
    <n v="86655"/>
    <n v="17734.079999999998"/>
  </r>
  <r>
    <n v="3.38"/>
    <n v="0.85"/>
    <n v="2380"/>
    <s v="Lisa Branch"/>
    <s v="Regular Air"/>
    <s v="Small Business"/>
    <x v="0"/>
    <x v="0"/>
    <s v="Wrap Bag"/>
    <s v="Avery Hi-Liter® Fluorescent Desk Style Markers"/>
    <n v="0.48"/>
    <s v="United States"/>
    <s v="Central"/>
    <s v="Michigan"/>
    <s v="Grand Rapids"/>
    <n v="49505"/>
    <d v="2015-04-26T00:00:00"/>
    <d v="2015-04-28T00:00:00"/>
    <n v="19.04"/>
    <n v="9"/>
    <x v="1310"/>
    <n v="86654"/>
    <n v="261.71999999999997"/>
  </r>
  <r>
    <n v="68.81"/>
    <n v="60"/>
    <n v="2380"/>
    <s v="Lisa Branch"/>
    <s v="Delivery Truck"/>
    <s v="Small Business"/>
    <x v="0"/>
    <x v="15"/>
    <s v="Jumbo Drum"/>
    <s v="Holmes Replacement Filter for HEPA Air Cleaner, Very Large Room, HEPA Filter"/>
    <n v="0.41"/>
    <s v="United States"/>
    <s v="Central"/>
    <s v="Michigan"/>
    <s v="Grand Rapids"/>
    <n v="49505"/>
    <d v="2015-05-05T00:00:00"/>
    <d v="2015-05-07T00:00:00"/>
    <n v="-1069.72"/>
    <n v="17"/>
    <x v="1311"/>
    <n v="86655"/>
    <n v="19761.82"/>
  </r>
  <r>
    <n v="3.38"/>
    <n v="0.85"/>
    <n v="2382"/>
    <s v="Geoffrey Saunders"/>
    <s v="Regular Air"/>
    <s v="Small Business"/>
    <x v="0"/>
    <x v="0"/>
    <s v="Wrap Bag"/>
    <s v="Avery Hi-Liter® Fluorescent Desk Style Markers"/>
    <n v="0.48"/>
    <s v="United States"/>
    <s v="East"/>
    <s v="New York"/>
    <s v="New York City"/>
    <n v="10024"/>
    <d v="2015-04-26T00:00:00"/>
    <d v="2015-04-28T00:00:00"/>
    <n v="19.04"/>
    <n v="34"/>
    <x v="201"/>
    <n v="13606"/>
    <n v="3735.24"/>
  </r>
  <r>
    <n v="122.99"/>
    <n v="19.989999999999998"/>
    <n v="2382"/>
    <s v="Geoffrey Saunders"/>
    <s v="Regular Air"/>
    <s v="Small Business"/>
    <x v="0"/>
    <x v="8"/>
    <s v="Small Box"/>
    <s v="GBC Therma-A-Bind 250T Electric Binding System"/>
    <n v="0.37"/>
    <s v="United States"/>
    <s v="East"/>
    <s v="New York"/>
    <s v="New York City"/>
    <n v="10024"/>
    <d v="2015-05-05T00:00:00"/>
    <d v="2015-05-07T00:00:00"/>
    <n v="1408.1865"/>
    <n v="48"/>
    <x v="1312"/>
    <n v="962"/>
    <n v="283744.80000000005"/>
  </r>
  <r>
    <n v="68.81"/>
    <n v="60"/>
    <n v="2382"/>
    <s v="Geoffrey Saunders"/>
    <s v="Delivery Truck"/>
    <s v="Small Business"/>
    <x v="0"/>
    <x v="15"/>
    <s v="Jumbo Drum"/>
    <s v="Holmes Replacement Filter for HEPA Air Cleaner, Very Large Room, HEPA Filter"/>
    <n v="0.41"/>
    <s v="United States"/>
    <s v="East"/>
    <s v="New York"/>
    <s v="New York City"/>
    <n v="10024"/>
    <d v="2015-05-05T00:00:00"/>
    <d v="2015-05-07T00:00:00"/>
    <n v="-1069.72"/>
    <n v="68"/>
    <x v="1313"/>
    <n v="962"/>
    <n v="316189.80000000005"/>
  </r>
  <r>
    <n v="130.97999999999999"/>
    <n v="30"/>
    <n v="2385"/>
    <s v="Janice Frye"/>
    <s v="Delivery Truck"/>
    <s v="Small Business"/>
    <x v="1"/>
    <x v="1"/>
    <s v="Jumbo Drum"/>
    <s v="Office Star - Contemporary Task Swivel chair with 2-way adjustable arms, Plum"/>
    <n v="0.78"/>
    <s v="United States"/>
    <s v="West"/>
    <s v="New Mexico"/>
    <s v="Las Cruces"/>
    <n v="88001"/>
    <d v="2015-05-22T00:00:00"/>
    <d v="2015-05-24T00:00:00"/>
    <n v="2000.11"/>
    <n v="18"/>
    <x v="1314"/>
    <n v="89184"/>
    <n v="40679.819999999992"/>
  </r>
  <r>
    <n v="4.7699999999999996"/>
    <n v="2.39"/>
    <n v="2391"/>
    <s v="Jacob McNeill"/>
    <s v="Regular Air"/>
    <s v="Corporate"/>
    <x v="2"/>
    <x v="13"/>
    <s v="Small Pack"/>
    <s v="Imation Primaris 3.5&quot; 2HD Unformatted Diskettes, 10/Pack"/>
    <n v="0.72"/>
    <s v="United States"/>
    <s v="East"/>
    <s v="New York"/>
    <s v="Oceanside"/>
    <n v="11572"/>
    <d v="2015-05-25T00:00:00"/>
    <d v="2015-05-26T00:00:00"/>
    <n v="-45.64"/>
    <n v="9"/>
    <x v="1315"/>
    <n v="91122"/>
    <n v="382.14"/>
  </r>
  <r>
    <n v="27.18"/>
    <n v="8.23"/>
    <n v="2391"/>
    <s v="Jacob McNeill"/>
    <s v="Regular Air"/>
    <s v="Corporate"/>
    <x v="0"/>
    <x v="4"/>
    <s v="Small Box"/>
    <s v="Tyvek ® Top-Opening Peel &amp; Seel Envelopes, Plain White"/>
    <n v="0.38"/>
    <s v="United States"/>
    <s v="East"/>
    <s v="New York"/>
    <s v="Oceanside"/>
    <n v="11572"/>
    <d v="2015-05-25T00:00:00"/>
    <d v="2015-05-27T00:00:00"/>
    <n v="204.49"/>
    <n v="12"/>
    <x v="1316"/>
    <n v="91122"/>
    <n v="3768.7200000000003"/>
  </r>
  <r>
    <n v="999.99"/>
    <n v="13.99"/>
    <n v="2391"/>
    <s v="Jacob McNeill"/>
    <s v="Regular Air"/>
    <s v="Corporate"/>
    <x v="2"/>
    <x v="6"/>
    <s v="Medium Box"/>
    <s v="Polycom Soundstation EX Audio-Conferencing Telephone, Black"/>
    <n v="0.36"/>
    <s v="United States"/>
    <s v="East"/>
    <s v="New York"/>
    <s v="Oceanside"/>
    <n v="11572"/>
    <d v="2015-06-04T00:00:00"/>
    <d v="2015-06-06T00:00:00"/>
    <n v="-1455.9972"/>
    <n v="1"/>
    <x v="1317"/>
    <n v="91123"/>
    <n v="1009.99"/>
  </r>
  <r>
    <n v="6.48"/>
    <n v="5.14"/>
    <n v="2391"/>
    <s v="Jacob McNeill"/>
    <s v="Express Air"/>
    <s v="Corporate"/>
    <x v="0"/>
    <x v="7"/>
    <s v="Small Box"/>
    <s v="Xerox 23"/>
    <n v="0.37"/>
    <s v="United States"/>
    <s v="East"/>
    <s v="New York"/>
    <s v="Oceanside"/>
    <n v="11572"/>
    <d v="2015-06-04T00:00:00"/>
    <d v="2015-06-05T00:00:00"/>
    <n v="-22.56"/>
    <n v="13"/>
    <x v="1318"/>
    <n v="91123"/>
    <n v="1198.08"/>
  </r>
  <r>
    <n v="6.48"/>
    <n v="7.91"/>
    <n v="2393"/>
    <s v="Debbie Dillon"/>
    <s v="Regular Air"/>
    <s v="Corporate"/>
    <x v="0"/>
    <x v="7"/>
    <s v="Small Box"/>
    <s v="Xerox 216"/>
    <n v="0.37"/>
    <s v="United States"/>
    <s v="South"/>
    <s v="Georgia"/>
    <s v="Roswell"/>
    <n v="30076"/>
    <d v="2015-05-29T00:00:00"/>
    <d v="2015-05-31T00:00:00"/>
    <n v="-1191.5260000000001"/>
    <n v="2"/>
    <x v="1319"/>
    <n v="86950"/>
    <n v="33"/>
  </r>
  <r>
    <n v="105.29"/>
    <n v="10.119999999999999"/>
    <n v="2393"/>
    <s v="Debbie Dillon"/>
    <s v="Regular Air"/>
    <s v="Corporate"/>
    <x v="1"/>
    <x v="2"/>
    <s v="Large Box"/>
    <s v="Eldon Antistatic Chair Mats for Low to Medium Pile Carpets"/>
    <n v="0.79"/>
    <s v="United States"/>
    <s v="South"/>
    <s v="Georgia"/>
    <s v="Roswell"/>
    <n v="30076"/>
    <d v="2015-01-04T00:00:00"/>
    <d v="2015-01-06T00:00:00"/>
    <n v="-45.01"/>
    <n v="12"/>
    <x v="1320"/>
    <n v="86951"/>
    <n v="14431.920000000002"/>
  </r>
  <r>
    <n v="11.7"/>
    <n v="5.63"/>
    <n v="2394"/>
    <s v="Tina Monroe"/>
    <s v="Regular Air"/>
    <s v="Corporate"/>
    <x v="0"/>
    <x v="8"/>
    <s v="Small Box"/>
    <s v="Fellowes Binding Cases"/>
    <n v="0.4"/>
    <s v="United States"/>
    <s v="South"/>
    <s v="Georgia"/>
    <s v="Sandy Springs"/>
    <n v="30328"/>
    <d v="2015-05-01T00:00:00"/>
    <d v="2015-05-03T00:00:00"/>
    <n v="39.21"/>
    <n v="16"/>
    <x v="1321"/>
    <n v="86949"/>
    <n v="3147.04"/>
  </r>
  <r>
    <n v="4.55"/>
    <n v="1.49"/>
    <n v="2394"/>
    <s v="Tina Monroe"/>
    <s v="Regular Air"/>
    <s v="Corporate"/>
    <x v="0"/>
    <x v="8"/>
    <s v="Small Box"/>
    <s v="Presstex Flexible Ring Binders"/>
    <n v="0.35"/>
    <s v="United States"/>
    <s v="South"/>
    <s v="Georgia"/>
    <s v="Sandy Springs"/>
    <n v="30328"/>
    <d v="2015-05-01T00:00:00"/>
    <d v="2015-05-01T00:00:00"/>
    <n v="100.38"/>
    <n v="9"/>
    <x v="1322"/>
    <n v="86949"/>
    <n v="362.52"/>
  </r>
  <r>
    <n v="60.97"/>
    <n v="4.5"/>
    <n v="2395"/>
    <s v="Beverly Roberts"/>
    <s v="Regular Air"/>
    <s v="Corporate"/>
    <x v="0"/>
    <x v="15"/>
    <s v="Small Box"/>
    <s v="Tripp Lite Isotel 6 Outlet Surge Protector with Fax/Modem Protection"/>
    <n v="0.56000000000000005"/>
    <s v="United States"/>
    <s v="South"/>
    <s v="Georgia"/>
    <s v="Savannah"/>
    <n v="31401"/>
    <d v="2015-03-23T00:00:00"/>
    <d v="2015-03-24T00:00:00"/>
    <n v="79.423199999999994"/>
    <n v="15"/>
    <x v="1323"/>
    <n v="86952"/>
    <n v="13564.65"/>
  </r>
  <r>
    <n v="7.64"/>
    <n v="5.83"/>
    <n v="2398"/>
    <s v="Julian F Wolfe"/>
    <s v="Regular Air"/>
    <s v="Corporate"/>
    <x v="0"/>
    <x v="7"/>
    <s v="Wrap Bag"/>
    <s v="Rediform Wirebound &quot;Phone Memo&quot; Message Book, 11 x 5-3/4"/>
    <n v="0.36"/>
    <s v="United States"/>
    <s v="Central"/>
    <s v="Illinois"/>
    <s v="Hanover Park"/>
    <n v="60103"/>
    <d v="2015-02-24T00:00:00"/>
    <d v="2015-02-26T00:00:00"/>
    <n v="-15.090400000000001"/>
    <n v="12"/>
    <x v="1324"/>
    <n v="86373"/>
    <n v="1162.32"/>
  </r>
  <r>
    <n v="65.989999999999995"/>
    <n v="3.99"/>
    <n v="2417"/>
    <s v="Ken H Frazier"/>
    <s v="Regular Air"/>
    <s v="Consumer"/>
    <x v="2"/>
    <x v="5"/>
    <s v="Small Box"/>
    <s v="StarTAC 7760"/>
    <n v="0.59"/>
    <s v="United States"/>
    <s v="South"/>
    <s v="Virginia"/>
    <s v="Oakton"/>
    <n v="22124"/>
    <d v="2015-03-14T00:00:00"/>
    <d v="2015-03-15T00:00:00"/>
    <n v="-60.564"/>
    <n v="13"/>
    <x v="1325"/>
    <n v="86754"/>
    <n v="9953.4499999999989"/>
  </r>
  <r>
    <n v="2.1"/>
    <n v="0.7"/>
    <n v="2418"/>
    <s v="Kyle Fink"/>
    <s v="Regular Air"/>
    <s v="Consumer"/>
    <x v="0"/>
    <x v="0"/>
    <s v="Wrap Bag"/>
    <s v="Sanford EarthWrite® Recycled Pencils, Medium Soft, #2"/>
    <n v="0.56999999999999995"/>
    <s v="United States"/>
    <s v="South"/>
    <s v="Virginia"/>
    <s v="Petersburg"/>
    <n v="23805"/>
    <d v="2015-01-06T00:00:00"/>
    <d v="2015-01-07T00:00:00"/>
    <n v="-1473.9059999999999"/>
    <n v="4"/>
    <x v="1326"/>
    <n v="86750"/>
    <n v="34.880000000000003"/>
  </r>
  <r>
    <n v="599.99"/>
    <n v="24.49"/>
    <n v="2418"/>
    <s v="Kyle Fink"/>
    <s v="Regular Air"/>
    <s v="Consumer"/>
    <x v="2"/>
    <x v="16"/>
    <s v="Large Box"/>
    <s v="Canon PC1080F Personal Copier"/>
    <n v="0.5"/>
    <s v="United States"/>
    <s v="South"/>
    <s v="Virginia"/>
    <s v="Petersburg"/>
    <n v="23805"/>
    <d v="2015-01-10T00:00:00"/>
    <d v="2015-01-11T00:00:00"/>
    <n v="-343.12599999999998"/>
    <n v="11"/>
    <x v="1327"/>
    <n v="86753"/>
    <n v="69912.59"/>
  </r>
  <r>
    <n v="2.78"/>
    <n v="1.25"/>
    <n v="2418"/>
    <s v="Kyle Fink"/>
    <s v="Regular Air"/>
    <s v="Consumer"/>
    <x v="0"/>
    <x v="0"/>
    <s v="Wrap Bag"/>
    <s v="Newell 318"/>
    <n v="0.59"/>
    <s v="United States"/>
    <s v="South"/>
    <s v="Virginia"/>
    <s v="Petersburg"/>
    <n v="23805"/>
    <d v="2015-01-10T00:00:00"/>
    <d v="2015-01-12T00:00:00"/>
    <n v="66.36"/>
    <n v="10"/>
    <x v="1328"/>
    <n v="86753"/>
    <n v="280.89999999999998"/>
  </r>
  <r>
    <n v="225.04"/>
    <n v="11.79"/>
    <n v="2419"/>
    <s v="Sandra Faulkner"/>
    <s v="Regular Air"/>
    <s v="Consumer"/>
    <x v="0"/>
    <x v="15"/>
    <s v="Medium Box"/>
    <s v="Holmes Harmony HEPA Air Purifier for 17 x 20 Room"/>
    <n v="0.42"/>
    <s v="United States"/>
    <s v="South"/>
    <s v="Virginia"/>
    <s v="Portsmouth"/>
    <n v="23701"/>
    <d v="2015-03-26T00:00:00"/>
    <d v="2015-03-26T00:00:00"/>
    <n v="-162.91800000000001"/>
    <n v="5"/>
    <x v="1329"/>
    <n v="86751"/>
    <n v="5650.75"/>
  </r>
  <r>
    <n v="7.84"/>
    <n v="4.71"/>
    <n v="2419"/>
    <s v="Sandra Faulkner"/>
    <s v="Regular Air"/>
    <s v="Consumer"/>
    <x v="0"/>
    <x v="8"/>
    <s v="Small Box"/>
    <s v="XtraLife® ClearVue™ Slant-D® Ring Binders by Cardinal"/>
    <n v="0.35"/>
    <s v="United States"/>
    <s v="South"/>
    <s v="Virginia"/>
    <s v="Portsmouth"/>
    <n v="23701"/>
    <d v="2015-03-26T00:00:00"/>
    <d v="2015-03-29T00:00:00"/>
    <n v="859.71780000000001"/>
    <n v="7"/>
    <x v="1330"/>
    <n v="86751"/>
    <n v="380.59"/>
  </r>
  <r>
    <n v="9.11"/>
    <n v="2.15"/>
    <n v="2420"/>
    <s v="Wesley Cho"/>
    <s v="Regular Air"/>
    <s v="Consumer"/>
    <x v="0"/>
    <x v="7"/>
    <s v="Wrap Bag"/>
    <s v="Black Print Carbonless Snap-Off® Rapid Letter, 8 1/2&quot; x 7&quot;"/>
    <n v="0.4"/>
    <s v="United States"/>
    <s v="South"/>
    <s v="Virginia"/>
    <s v="Richmond"/>
    <n v="23223"/>
    <d v="2015-05-06T00:00:00"/>
    <d v="2015-05-06T00:00:00"/>
    <n v="-23.071999999999999"/>
    <n v="11"/>
    <x v="1331"/>
    <n v="86752"/>
    <n v="1109.5700000000002"/>
  </r>
  <r>
    <n v="150.97999999999999"/>
    <n v="43.71"/>
    <n v="2422"/>
    <s v="Arlene Wiggins Dalton"/>
    <s v="Delivery Truck"/>
    <s v="Home Office"/>
    <x v="1"/>
    <x v="1"/>
    <s v="Jumbo Drum"/>
    <s v="Global Airflow Leather Mesh Back Chair, Black"/>
    <n v="0.55000000000000004"/>
    <s v="United States"/>
    <s v="Central"/>
    <s v="Texas"/>
    <s v="Huntsville"/>
    <n v="77340"/>
    <d v="2015-05-24T00:00:00"/>
    <d v="2015-05-25T00:00:00"/>
    <n v="650.29999999999995"/>
    <n v="12"/>
    <x v="1332"/>
    <n v="89053"/>
    <n v="22284.959999999999"/>
  </r>
  <r>
    <n v="3.89"/>
    <n v="7.01"/>
    <n v="2422"/>
    <s v="Arlene Wiggins Dalton"/>
    <s v="Express Air"/>
    <s v="Home Office"/>
    <x v="0"/>
    <x v="8"/>
    <s v="Small Box"/>
    <s v="Avery Binder Labels"/>
    <n v="0.37"/>
    <s v="United States"/>
    <s v="Central"/>
    <s v="Texas"/>
    <s v="Huntsville"/>
    <n v="77340"/>
    <d v="2015-01-22T00:00:00"/>
    <d v="2015-01-24T00:00:00"/>
    <n v="-154.30699999999999"/>
    <n v="10"/>
    <x v="1333"/>
    <n v="89055"/>
    <n v="425.6"/>
  </r>
  <r>
    <n v="100.98"/>
    <n v="7.18"/>
    <n v="2423"/>
    <s v="Nicholas Wallace"/>
    <s v="Regular Air"/>
    <s v="Home Office"/>
    <x v="2"/>
    <x v="13"/>
    <s v="Small Box"/>
    <s v="Logitech Cordless Elite Duo"/>
    <n v="0.4"/>
    <s v="United States"/>
    <s v="Central"/>
    <s v="Texas"/>
    <s v="Hurst"/>
    <n v="76053"/>
    <d v="2015-01-21T00:00:00"/>
    <d v="2015-01-26T00:00:00"/>
    <n v="269.94"/>
    <n v="4"/>
    <x v="1334"/>
    <n v="89054"/>
    <n v="1659.64"/>
  </r>
  <r>
    <n v="30.93"/>
    <n v="3.92"/>
    <n v="2426"/>
    <s v="Dorothy Holt"/>
    <s v="Regular Air"/>
    <s v="Small Business"/>
    <x v="1"/>
    <x v="2"/>
    <s v="Small Pack"/>
    <s v="Advantus Employee of the Month Certificate Frame, 11 x 13-1/2"/>
    <n v="0.44"/>
    <s v="United States"/>
    <s v="Central"/>
    <s v="Texas"/>
    <s v="Irving"/>
    <n v="75061"/>
    <d v="2015-03-15T00:00:00"/>
    <d v="2015-03-16T00:00:00"/>
    <n v="63.059100000000001"/>
    <n v="3"/>
    <x v="1335"/>
    <n v="90859"/>
    <n v="274.17"/>
  </r>
  <r>
    <n v="4.4800000000000004"/>
    <n v="49"/>
    <n v="2426"/>
    <s v="Dorothy Holt"/>
    <s v="Regular Air"/>
    <s v="Small Business"/>
    <x v="0"/>
    <x v="15"/>
    <s v="Large Box"/>
    <s v="Hoover Portapower™ Portable Vacuum"/>
    <n v="0.6"/>
    <s v="United States"/>
    <s v="Central"/>
    <s v="Texas"/>
    <s v="Irving"/>
    <n v="75061"/>
    <d v="2015-05-02T00:00:00"/>
    <d v="2015-05-02T00:00:00"/>
    <n v="139.58009999999999"/>
    <n v="37"/>
    <x v="1336"/>
    <n v="90861"/>
    <n v="7484.73"/>
  </r>
  <r>
    <n v="17.670000000000002"/>
    <n v="8.99"/>
    <n v="2426"/>
    <s v="Dorothy Holt"/>
    <s v="Regular Air"/>
    <s v="Small Business"/>
    <x v="1"/>
    <x v="2"/>
    <s v="Small Pack"/>
    <s v="Executive Impressions 12&quot; Wall Clock"/>
    <n v="0.47"/>
    <s v="United States"/>
    <s v="Central"/>
    <s v="Texas"/>
    <s v="Irving"/>
    <n v="75061"/>
    <d v="2015-05-02T00:00:00"/>
    <d v="2015-05-09T00:00:00"/>
    <n v="109.67"/>
    <n v="9"/>
    <x v="1337"/>
    <n v="90861"/>
    <n v="1518.39"/>
  </r>
  <r>
    <n v="40.99"/>
    <n v="19.989999999999998"/>
    <n v="2427"/>
    <s v="John Merritt"/>
    <s v="Regular Air"/>
    <s v="Corporate"/>
    <x v="0"/>
    <x v="7"/>
    <s v="Small Box"/>
    <s v="White Dual Perf Computer Printout Paper, 2700 Sheets, 1 Part, Heavyweight, 20 lbs., 14 7/8 x 11"/>
    <n v="0.36"/>
    <s v="United States"/>
    <s v="Central"/>
    <s v="Texas"/>
    <s v="Keller"/>
    <n v="76248"/>
    <d v="2015-02-17T00:00:00"/>
    <d v="2015-02-18T00:00:00"/>
    <n v="395.30799999999999"/>
    <n v="21"/>
    <x v="1338"/>
    <n v="90860"/>
    <n v="18598.649999999998"/>
  </r>
  <r>
    <n v="14.28"/>
    <n v="2.99"/>
    <n v="2430"/>
    <s v="Kimberly Reilly"/>
    <s v="Regular Air"/>
    <s v="Home Office"/>
    <x v="0"/>
    <x v="8"/>
    <s v="Small Box"/>
    <s v="Avery Premier Heavy-Duty Binder with Round Locking Rings"/>
    <n v="0.39"/>
    <s v="United States"/>
    <s v="Central"/>
    <s v="Texas"/>
    <s v="Killeen"/>
    <n v="76541"/>
    <d v="2015-03-24T00:00:00"/>
    <d v="2015-03-25T00:00:00"/>
    <n v="104.9145"/>
    <n v="11"/>
    <x v="1339"/>
    <n v="91108"/>
    <n v="1672.5500000000002"/>
  </r>
  <r>
    <n v="7.08"/>
    <n v="2.35"/>
    <n v="2430"/>
    <s v="Kimberly Reilly"/>
    <s v="Regular Air"/>
    <s v="Home Office"/>
    <x v="0"/>
    <x v="0"/>
    <s v="Wrap Bag"/>
    <s v="SANFORD Major Accent™ Highlighters"/>
    <n v="0.47"/>
    <s v="United States"/>
    <s v="Central"/>
    <s v="Texas"/>
    <s v="Killeen"/>
    <n v="76541"/>
    <d v="2015-04-10T00:00:00"/>
    <d v="2015-04-11T00:00:00"/>
    <n v="24.59"/>
    <n v="7"/>
    <x v="1340"/>
    <n v="91109"/>
    <n v="343.7"/>
  </r>
  <r>
    <n v="140.99"/>
    <n v="4.2"/>
    <n v="2430"/>
    <s v="Kimberly Reilly"/>
    <s v="Regular Air"/>
    <s v="Home Office"/>
    <x v="2"/>
    <x v="5"/>
    <s v="Small Box"/>
    <n v="7160"/>
    <n v="0.59"/>
    <s v="United States"/>
    <s v="Central"/>
    <s v="Texas"/>
    <s v="Killeen"/>
    <n v="76541"/>
    <d v="2015-03-29T00:00:00"/>
    <d v="2015-04-06T00:00:00"/>
    <n v="-458.74400000000003"/>
    <n v="2"/>
    <x v="1341"/>
    <n v="91110"/>
    <n v="492.88"/>
  </r>
  <r>
    <n v="8.85"/>
    <n v="5.6"/>
    <n v="2431"/>
    <s v="Troy Cassidy"/>
    <s v="Regular Air"/>
    <s v="Consumer"/>
    <x v="0"/>
    <x v="8"/>
    <s v="Small Box"/>
    <s v="GBC Standard Plastic Binding Systems Combs"/>
    <n v="0.36"/>
    <s v="United States"/>
    <s v="West"/>
    <s v="California"/>
    <s v="Los Angeles"/>
    <n v="90004"/>
    <d v="2015-06-10T00:00:00"/>
    <d v="2015-06-11T00:00:00"/>
    <n v="-9.1769999999999996"/>
    <n v="21"/>
    <x v="1342"/>
    <n v="24869"/>
    <n v="4180.68"/>
  </r>
  <r>
    <n v="155.06"/>
    <n v="7.07"/>
    <n v="2431"/>
    <s v="Troy Cassidy"/>
    <s v="Regular Air"/>
    <s v="Consumer"/>
    <x v="0"/>
    <x v="10"/>
    <s v="Small Box"/>
    <s v="Dual Level, Single-Width Filing Carts"/>
    <n v="0.59"/>
    <s v="United States"/>
    <s v="West"/>
    <s v="California"/>
    <s v="Los Angeles"/>
    <n v="90004"/>
    <d v="2015-05-19T00:00:00"/>
    <d v="2015-05-19T00:00:00"/>
    <n v="-121.75"/>
    <n v="14"/>
    <x v="1343"/>
    <n v="5920"/>
    <n v="28546.98"/>
  </r>
  <r>
    <n v="155.06"/>
    <n v="7.07"/>
    <n v="2432"/>
    <s v="Lindsay Tate"/>
    <s v="Regular Air"/>
    <s v="Consumer"/>
    <x v="0"/>
    <x v="10"/>
    <s v="Small Box"/>
    <s v="Dual Level, Single-Width Filing Carts"/>
    <n v="0.59"/>
    <s v="United States"/>
    <s v="Central"/>
    <s v="Oklahoma"/>
    <s v="Midwest City"/>
    <n v="73110"/>
    <d v="2015-05-19T00:00:00"/>
    <d v="2015-05-19T00:00:00"/>
    <n v="24.35"/>
    <n v="3"/>
    <x v="1344"/>
    <n v="89096"/>
    <n v="1310.82"/>
  </r>
  <r>
    <n v="5.4"/>
    <n v="7.78"/>
    <n v="2432"/>
    <s v="Lindsay Tate"/>
    <s v="Express Air"/>
    <s v="Consumer"/>
    <x v="0"/>
    <x v="8"/>
    <s v="Small Box"/>
    <s v="3M Organizer Strips"/>
    <n v="0.37"/>
    <s v="United States"/>
    <s v="Central"/>
    <s v="Oklahoma"/>
    <s v="Midwest City"/>
    <n v="73110"/>
    <d v="2015-06-06T00:00:00"/>
    <d v="2015-06-08T00:00:00"/>
    <n v="-34.764499999999998"/>
    <n v="6"/>
    <x v="1345"/>
    <n v="89097"/>
    <n v="224.28000000000003"/>
  </r>
  <r>
    <n v="8.85"/>
    <n v="5.6"/>
    <n v="2433"/>
    <s v="Debra P May"/>
    <s v="Regular Air"/>
    <s v="Consumer"/>
    <x v="0"/>
    <x v="8"/>
    <s v="Small Box"/>
    <s v="GBC Standard Plastic Binding Systems Combs"/>
    <n v="0.36"/>
    <s v="United States"/>
    <s v="Central"/>
    <s v="Oklahoma"/>
    <s v="Moore"/>
    <n v="73160"/>
    <d v="2015-06-10T00:00:00"/>
    <d v="2015-06-11T00:00:00"/>
    <n v="-7.3415999999999997"/>
    <n v="5"/>
    <x v="1346"/>
    <n v="89095"/>
    <n v="237"/>
  </r>
  <r>
    <n v="90.97"/>
    <n v="14"/>
    <n v="2437"/>
    <s v="Judith Shepherd"/>
    <s v="Delivery Truck"/>
    <s v="Home Office"/>
    <x v="2"/>
    <x v="6"/>
    <s v="Jumbo Drum"/>
    <s v="Lexmark Z54se Color Inkjet Printer"/>
    <n v="0.36"/>
    <s v="United States"/>
    <s v="Central"/>
    <s v="Wisconsin"/>
    <s v="Muskego"/>
    <n v="53150"/>
    <d v="2015-03-01T00:00:00"/>
    <d v="2015-03-03T00:00:00"/>
    <n v="35.29"/>
    <n v="3"/>
    <x v="1347"/>
    <n v="90301"/>
    <n v="780"/>
  </r>
  <r>
    <n v="63.94"/>
    <n v="14.48"/>
    <n v="2441"/>
    <s v="Kenneth Capps"/>
    <s v="Regular Air"/>
    <s v="Consumer"/>
    <x v="1"/>
    <x v="2"/>
    <s v="Small Box"/>
    <s v="Howard Miller 16&quot; Diameter Gallery Wall Clock"/>
    <n v="0.46"/>
    <s v="United States"/>
    <s v="South"/>
    <s v="Florida"/>
    <s v="Melbourne"/>
    <n v="32935"/>
    <d v="2015-04-04T00:00:00"/>
    <d v="2015-04-04T00:00:00"/>
    <n v="-100.17"/>
    <n v="11"/>
    <x v="1348"/>
    <n v="89300"/>
    <n v="7806.7000000000007"/>
  </r>
  <r>
    <n v="5.0199999999999996"/>
    <n v="5.14"/>
    <n v="2442"/>
    <s v="Natalie Aldridge"/>
    <s v="Regular Air"/>
    <s v="Consumer"/>
    <x v="2"/>
    <x v="13"/>
    <s v="Small Pack"/>
    <s v="Imation 3.5, DISKETTE 44766 HGHLD3.52HD/FM, 10/Pack"/>
    <n v="0.79"/>
    <s v="United States"/>
    <s v="South"/>
    <s v="Florida"/>
    <s v="Merritt Island"/>
    <n v="32953"/>
    <d v="2015-04-04T00:00:00"/>
    <d v="2015-04-06T00:00:00"/>
    <n v="-3.948"/>
    <n v="5"/>
    <x v="1349"/>
    <n v="89300"/>
    <n v="137.10000000000002"/>
  </r>
  <r>
    <n v="58.1"/>
    <n v="1.49"/>
    <n v="2443"/>
    <s v="Danny Richmond"/>
    <s v="Regular Air"/>
    <s v="Corporate"/>
    <x v="0"/>
    <x v="8"/>
    <s v="Small Box"/>
    <s v="Avery Arch Ring Binders"/>
    <n v="0.38"/>
    <s v="United States"/>
    <s v="South"/>
    <s v="Florida"/>
    <s v="Miami"/>
    <n v="33142"/>
    <d v="2015-01-18T00:00:00"/>
    <d v="2015-01-18T00:00:00"/>
    <n v="1633.9860000000001"/>
    <n v="13"/>
    <x v="1350"/>
    <n v="89299"/>
    <n v="9607.7799999999988"/>
  </r>
  <r>
    <n v="2.2799999999999998"/>
    <n v="5.2"/>
    <n v="2443"/>
    <s v="Danny Richmond"/>
    <s v="Regular Air"/>
    <s v="Corporate"/>
    <x v="0"/>
    <x v="0"/>
    <s v="Wrap Bag"/>
    <s v="Binney &amp; Smith inkTank™ Erasable Pocket Highlighter, Chisel Tip, Yellow"/>
    <n v="0.41"/>
    <s v="United States"/>
    <s v="South"/>
    <s v="Florida"/>
    <s v="Miami"/>
    <n v="33142"/>
    <d v="2015-06-01T00:00:00"/>
    <d v="2015-06-03T00:00:00"/>
    <n v="-2002.6314"/>
    <n v="13"/>
    <x v="1351"/>
    <n v="89301"/>
    <n v="396.11"/>
  </r>
  <r>
    <n v="6.48"/>
    <n v="7.03"/>
    <n v="2448"/>
    <s v="Melanie Morrow"/>
    <s v="Regular Air"/>
    <s v="Consumer"/>
    <x v="0"/>
    <x v="7"/>
    <s v="Small Box"/>
    <s v="Xerox 214"/>
    <n v="0.37"/>
    <s v="United States"/>
    <s v="Central"/>
    <s v="Minnesota"/>
    <s v="Edina"/>
    <n v="55410"/>
    <d v="2015-06-29T00:00:00"/>
    <d v="2015-07-01T00:00:00"/>
    <n v="-126.208"/>
    <n v="16"/>
    <x v="1352"/>
    <n v="87790"/>
    <n v="1551.36"/>
  </r>
  <r>
    <n v="4.13"/>
    <n v="1.17"/>
    <n v="2450"/>
    <s v="Tonya Miller"/>
    <s v="Regular Air"/>
    <s v="Home Office"/>
    <x v="0"/>
    <x v="0"/>
    <s v="Wrap Bag"/>
    <s v="Newell 31"/>
    <n v="0.56999999999999995"/>
    <s v="United States"/>
    <s v="Central"/>
    <s v="Wisconsin"/>
    <s v="Janesville"/>
    <n v="53545"/>
    <d v="2015-05-23T00:00:00"/>
    <d v="2015-05-25T00:00:00"/>
    <n v="-5.54"/>
    <n v="1"/>
    <x v="1353"/>
    <n v="90322"/>
    <n v="4.21"/>
  </r>
  <r>
    <n v="3499.99"/>
    <n v="24.49"/>
    <n v="2454"/>
    <s v="Donna Braun"/>
    <s v="Express Air"/>
    <s v="Corporate"/>
    <x v="2"/>
    <x v="16"/>
    <s v="Large Box"/>
    <s v="Canon imageCLASS 2200 Advanced Copier"/>
    <n v="0.37"/>
    <s v="United States"/>
    <s v="South"/>
    <s v="Alabama"/>
    <s v="Hoover"/>
    <n v="35244"/>
    <d v="2015-03-01T00:00:00"/>
    <d v="2015-03-04T00:00:00"/>
    <n v="-68.432000000000002"/>
    <n v="1"/>
    <x v="1354"/>
    <n v="89219"/>
    <n v="3550.28"/>
  </r>
  <r>
    <n v="179.99"/>
    <n v="19.989999999999998"/>
    <n v="2456"/>
    <s v="Joan Beach"/>
    <s v="Regular Air"/>
    <s v="Home Office"/>
    <x v="2"/>
    <x v="13"/>
    <s v="Small Box"/>
    <s v="Motorola SB4200 Cable Modem"/>
    <n v="0.48"/>
    <s v="United States"/>
    <s v="South"/>
    <s v="Alabama"/>
    <s v="Mobile"/>
    <n v="36608"/>
    <d v="2015-01-22T00:00:00"/>
    <d v="2015-01-23T00:00:00"/>
    <n v="733.28219999999999"/>
    <n v="7"/>
    <x v="1355"/>
    <n v="89218"/>
    <n v="8320.41"/>
  </r>
  <r>
    <n v="92.23"/>
    <n v="39.61"/>
    <n v="2456"/>
    <s v="Joan Beach"/>
    <s v="Express Air"/>
    <s v="Home Office"/>
    <x v="1"/>
    <x v="2"/>
    <s v="Medium Box"/>
    <s v="Deflect-o RollaMat Studded, Beveled Mat for Medium Pile Carpeting"/>
    <n v="0.67"/>
    <s v="United States"/>
    <s v="South"/>
    <s v="Alabama"/>
    <s v="Mobile"/>
    <n v="36608"/>
    <d v="2015-01-22T00:00:00"/>
    <d v="2015-01-23T00:00:00"/>
    <n v="-905.99040000000002"/>
    <n v="11"/>
    <x v="1356"/>
    <n v="89218"/>
    <n v="11109.23"/>
  </r>
  <r>
    <n v="15.22"/>
    <n v="9.73"/>
    <n v="2457"/>
    <s v="Yvonne Collier"/>
    <s v="Regular Air"/>
    <s v="Home Office"/>
    <x v="0"/>
    <x v="8"/>
    <s v="Small Box"/>
    <s v="GBC Twin Loop™ Wire Binding Elements, 9/16&quot; Spine, Black"/>
    <n v="0.36"/>
    <s v="United States"/>
    <s v="Central"/>
    <s v="Minnesota"/>
    <s v="Lino Lakes"/>
    <n v="55014"/>
    <d v="2015-01-22T00:00:00"/>
    <d v="2015-01-22T00:00:00"/>
    <n v="-21.63242"/>
    <n v="9"/>
    <x v="1357"/>
    <n v="89218"/>
    <n v="1266.3"/>
  </r>
  <r>
    <n v="6.48"/>
    <n v="8.73"/>
    <n v="2458"/>
    <s v="Troy Casey"/>
    <s v="Regular Air"/>
    <s v="Home Office"/>
    <x v="0"/>
    <x v="7"/>
    <s v="Small Box"/>
    <s v="Xerox 227"/>
    <n v="0.37"/>
    <s v="United States"/>
    <s v="Central"/>
    <s v="Minnesota"/>
    <s v="Edina"/>
    <n v="55410"/>
    <d v="2015-01-03T00:00:00"/>
    <d v="2015-01-05T00:00:00"/>
    <n v="-35.04"/>
    <n v="2"/>
    <x v="1358"/>
    <n v="91285"/>
    <n v="31.9"/>
  </r>
  <r>
    <n v="12.88"/>
    <n v="4.59"/>
    <n v="2458"/>
    <s v="Troy Casey"/>
    <s v="Regular Air"/>
    <s v="Home Office"/>
    <x v="0"/>
    <x v="12"/>
    <s v="Wrap Bag"/>
    <s v="Martin-Yale Premier Letter Opener"/>
    <n v="0.82"/>
    <s v="United States"/>
    <s v="Central"/>
    <s v="Minnesota"/>
    <s v="Edina"/>
    <n v="55410"/>
    <d v="2015-05-23T00:00:00"/>
    <d v="2015-05-25T00:00:00"/>
    <n v="5.98"/>
    <n v="3"/>
    <x v="1359"/>
    <n v="91286"/>
    <n v="127.05000000000001"/>
  </r>
  <r>
    <n v="6.48"/>
    <n v="8.73"/>
    <n v="2460"/>
    <s v="Lucille Gibbons"/>
    <s v="Regular Air"/>
    <s v="Home Office"/>
    <x v="0"/>
    <x v="7"/>
    <s v="Small Box"/>
    <s v="Xerox 227"/>
    <n v="0.37"/>
    <s v="United States"/>
    <s v="East"/>
    <s v="New York"/>
    <s v="New York City"/>
    <n v="10035"/>
    <d v="2015-01-03T00:00:00"/>
    <d v="2015-01-05T00:00:00"/>
    <n v="-35.04"/>
    <n v="8"/>
    <x v="1360"/>
    <n v="30785"/>
    <n v="510.24"/>
  </r>
  <r>
    <n v="9.93"/>
    <n v="1.0900000000000001"/>
    <n v="2460"/>
    <s v="Lucille Gibbons"/>
    <s v="Regular Air"/>
    <s v="Home Office"/>
    <x v="0"/>
    <x v="0"/>
    <s v="Wrap Bag"/>
    <s v="Peel-Off® China Markers"/>
    <n v="0.43"/>
    <s v="United States"/>
    <s v="East"/>
    <s v="New York"/>
    <s v="New York City"/>
    <n v="10035"/>
    <d v="2015-01-03T00:00:00"/>
    <d v="2015-01-06T00:00:00"/>
    <n v="149.53"/>
    <n v="46"/>
    <x v="1361"/>
    <n v="30785"/>
    <n v="20774.060000000001"/>
  </r>
  <r>
    <n v="1.74"/>
    <n v="4.08"/>
    <n v="2464"/>
    <s v="Joe George"/>
    <s v="Express Air"/>
    <s v="Consumer"/>
    <x v="1"/>
    <x v="2"/>
    <s v="Small Pack"/>
    <s v="Eldon Regeneration Recycled Desk Accessories, Smoke"/>
    <n v="0.53"/>
    <s v="United States"/>
    <s v="South"/>
    <s v="Louisiana"/>
    <s v="Bossier City"/>
    <n v="71111"/>
    <d v="2015-05-11T00:00:00"/>
    <d v="2015-05-13T00:00:00"/>
    <n v="608.26199999999994"/>
    <n v="4"/>
    <x v="1362"/>
    <n v="88713"/>
    <n v="41.64"/>
  </r>
  <r>
    <n v="227.55"/>
    <n v="32.479999999999997"/>
    <n v="2464"/>
    <s v="Joe George"/>
    <s v="Delivery Truck"/>
    <s v="Consumer"/>
    <x v="1"/>
    <x v="11"/>
    <s v="Jumbo Box"/>
    <s v="Hon Rectangular Conference Tables"/>
    <n v="0.68"/>
    <s v="United States"/>
    <s v="South"/>
    <s v="Louisiana"/>
    <s v="Bossier City"/>
    <n v="71111"/>
    <d v="2015-05-11T00:00:00"/>
    <d v="2015-05-11T00:00:00"/>
    <n v="-570.16959999999995"/>
    <n v="16"/>
    <x v="1363"/>
    <n v="88713"/>
    <n v="45594.239999999998"/>
  </r>
  <r>
    <n v="6.28"/>
    <n v="5.36"/>
    <n v="2464"/>
    <s v="Joe George"/>
    <s v="Regular Air"/>
    <s v="Consumer"/>
    <x v="0"/>
    <x v="8"/>
    <s v="Small Box"/>
    <s v="GBC Standard Plastic Binding Systems' Combs"/>
    <n v="0.4"/>
    <s v="United States"/>
    <s v="South"/>
    <s v="Louisiana"/>
    <s v="Bossier City"/>
    <n v="71111"/>
    <d v="2015-01-20T00:00:00"/>
    <d v="2015-01-23T00:00:00"/>
    <n v="1.278"/>
    <n v="6"/>
    <x v="1364"/>
    <n v="88714"/>
    <n v="228.24"/>
  </r>
  <r>
    <n v="3.08"/>
    <n v="0.99"/>
    <n v="2464"/>
    <s v="Joe George"/>
    <s v="Regular Air"/>
    <s v="Consumer"/>
    <x v="0"/>
    <x v="9"/>
    <s v="Small Box"/>
    <s v="Avery 481"/>
    <n v="0.37"/>
    <s v="United States"/>
    <s v="South"/>
    <s v="Louisiana"/>
    <s v="Bossier City"/>
    <n v="71111"/>
    <d v="2015-01-20T00:00:00"/>
    <d v="2015-01-21T00:00:00"/>
    <n v="424.29"/>
    <n v="14"/>
    <x v="1365"/>
    <n v="88714"/>
    <n v="595.42000000000007"/>
  </r>
  <r>
    <n v="2.08"/>
    <n v="1.49"/>
    <n v="2466"/>
    <s v="Gilbert Godfrey"/>
    <s v="Regular Air"/>
    <s v="Corporate"/>
    <x v="0"/>
    <x v="8"/>
    <s v="Small Box"/>
    <s v="Economy Binders"/>
    <n v="0.36"/>
    <s v="United States"/>
    <s v="Central"/>
    <s v="Michigan"/>
    <s v="Sault Sainte Marie"/>
    <n v="49783"/>
    <d v="2015-02-27T00:00:00"/>
    <d v="2015-02-28T00:00:00"/>
    <n v="-3.71956"/>
    <n v="7"/>
    <x v="1366"/>
    <n v="88136"/>
    <n v="103.39"/>
  </r>
  <r>
    <n v="53.98"/>
    <n v="5.5"/>
    <n v="2466"/>
    <s v="Gilbert Godfrey"/>
    <s v="Express Air"/>
    <s v="Corporate"/>
    <x v="2"/>
    <x v="13"/>
    <s v="Small Box"/>
    <s v="Nu-Form 106-Key Ergonomic Keyboard w/ Touchpad"/>
    <n v="0.62"/>
    <s v="United States"/>
    <s v="Central"/>
    <s v="Michigan"/>
    <s v="Sault Sainte Marie"/>
    <n v="49783"/>
    <d v="2015-02-27T00:00:00"/>
    <d v="2015-02-28T00:00:00"/>
    <n v="101.97199999999999"/>
    <n v="8"/>
    <x v="1367"/>
    <n v="88136"/>
    <n v="3506.64"/>
  </r>
  <r>
    <n v="4.9800000000000004"/>
    <n v="5.0199999999999996"/>
    <n v="2466"/>
    <s v="Gilbert Godfrey"/>
    <s v="Regular Air"/>
    <s v="Corporate"/>
    <x v="0"/>
    <x v="7"/>
    <s v="Small Box"/>
    <s v="Xerox 1989"/>
    <n v="0.38"/>
    <s v="United States"/>
    <s v="Central"/>
    <s v="Michigan"/>
    <s v="Sault Sainte Marie"/>
    <n v="49783"/>
    <d v="2015-02-27T00:00:00"/>
    <d v="2015-02-27T00:00:00"/>
    <n v="-16.634799999999998"/>
    <n v="7"/>
    <x v="1368"/>
    <n v="88136"/>
    <n v="266.77"/>
  </r>
  <r>
    <n v="58.1"/>
    <n v="1.49"/>
    <n v="2468"/>
    <s v="Rhonda Stein"/>
    <s v="Express Air"/>
    <s v="Home Office"/>
    <x v="0"/>
    <x v="8"/>
    <s v="Small Box"/>
    <s v="Avery Arch Ring Binders"/>
    <n v="0.38"/>
    <s v="United States"/>
    <s v="South"/>
    <s v="North Carolina"/>
    <s v="Salisbury"/>
    <n v="28144"/>
    <d v="2015-04-27T00:00:00"/>
    <d v="2015-04-29T00:00:00"/>
    <n v="765.75"/>
    <n v="3"/>
    <x v="1211"/>
    <n v="88135"/>
    <n v="508.38"/>
  </r>
  <r>
    <n v="65.989999999999995"/>
    <n v="8.99"/>
    <n v="2468"/>
    <s v="Rhonda Stein"/>
    <s v="Regular Air"/>
    <s v="Corporate"/>
    <x v="2"/>
    <x v="5"/>
    <s v="Small Box"/>
    <s v="i270"/>
    <n v="0.55000000000000004"/>
    <s v="United States"/>
    <s v="South"/>
    <s v="North Carolina"/>
    <s v="Salisbury"/>
    <n v="28144"/>
    <d v="2015-03-13T00:00:00"/>
    <d v="2015-03-14T00:00:00"/>
    <n v="-335.041"/>
    <n v="13"/>
    <x v="1369"/>
    <n v="88137"/>
    <n v="9419.41"/>
  </r>
  <r>
    <n v="4.91"/>
    <n v="0.5"/>
    <n v="2472"/>
    <s v="Ricky Sanders"/>
    <s v="Express Air"/>
    <s v="Home Office"/>
    <x v="0"/>
    <x v="9"/>
    <s v="Small Box"/>
    <s v="Avery 493"/>
    <n v="0.36"/>
    <s v="United States"/>
    <s v="Central"/>
    <s v="Illinois"/>
    <s v="Joliet"/>
    <n v="60432"/>
    <d v="2015-02-21T00:00:00"/>
    <d v="2015-02-21T00:00:00"/>
    <n v="35.279699999999998"/>
    <n v="10"/>
    <x v="1370"/>
    <n v="86514"/>
    <n v="511.3"/>
  </r>
  <r>
    <n v="5.18"/>
    <n v="5.74"/>
    <n v="2481"/>
    <s v="Kelly Sawyer"/>
    <s v="Express Air"/>
    <s v="Corporate"/>
    <x v="0"/>
    <x v="8"/>
    <s v="Small Box"/>
    <s v="Wilson Jones Impact Binders"/>
    <n v="0.36"/>
    <s v="United States"/>
    <s v="South"/>
    <s v="Louisiana"/>
    <s v="Lafayette"/>
    <n v="70506"/>
    <d v="2015-04-06T00:00:00"/>
    <d v="2015-04-08T00:00:00"/>
    <n v="-188.03399999999999"/>
    <n v="14"/>
    <x v="1371"/>
    <n v="91000"/>
    <n v="1114.54"/>
  </r>
  <r>
    <n v="6.48"/>
    <n v="7.91"/>
    <n v="2484"/>
    <s v="Rhonda Bryant"/>
    <s v="Regular Air"/>
    <s v="Corporate"/>
    <x v="0"/>
    <x v="7"/>
    <s v="Small Box"/>
    <s v="Xerox 216"/>
    <n v="0.37"/>
    <s v="United States"/>
    <s v="South"/>
    <s v="Florida"/>
    <s v="Winter Haven"/>
    <n v="33881"/>
    <d v="2015-03-13T00:00:00"/>
    <d v="2015-03-14T00:00:00"/>
    <n v="322.12200000000001"/>
    <n v="16"/>
    <x v="1372"/>
    <n v="88998"/>
    <n v="1759.84"/>
  </r>
  <r>
    <n v="111.03"/>
    <n v="8.64"/>
    <n v="2484"/>
    <s v="Rhonda Bryant"/>
    <s v="Regular Air"/>
    <s v="Corporate"/>
    <x v="0"/>
    <x v="10"/>
    <s v="Small Box"/>
    <s v="Fellowes Recycled Storage Drawers"/>
    <n v="0.78"/>
    <s v="United States"/>
    <s v="South"/>
    <s v="Florida"/>
    <s v="Winter Haven"/>
    <n v="33881"/>
    <d v="2015-03-13T00:00:00"/>
    <d v="2015-03-14T00:00:00"/>
    <n v="366.54"/>
    <n v="8"/>
    <x v="1373"/>
    <n v="88998"/>
    <n v="7200.96"/>
  </r>
  <r>
    <n v="71.37"/>
    <n v="69"/>
    <n v="2486"/>
    <s v="Jack Horn"/>
    <s v="Regular Air"/>
    <s v="Small Business"/>
    <x v="1"/>
    <x v="11"/>
    <s v="Large Box"/>
    <s v="Lesro Sheffield Collection Coffee Table, End Table, Center Table, Corner Table"/>
    <n v="0.68"/>
    <s v="United States"/>
    <s v="South"/>
    <s v="Georgia"/>
    <s v="Statesboro"/>
    <n v="30458"/>
    <d v="2015-02-06T00:00:00"/>
    <d v="2015-02-07T00:00:00"/>
    <n v="-439.90800000000002"/>
    <n v="4"/>
    <x v="1374"/>
    <n v="91414"/>
    <n v="950.48"/>
  </r>
  <r>
    <n v="205.99"/>
    <n v="8.99"/>
    <n v="2486"/>
    <s v="Jack Horn"/>
    <s v="Express Air"/>
    <s v="Small Business"/>
    <x v="2"/>
    <x v="5"/>
    <s v="Small Box"/>
    <s v="StarTAC 8000"/>
    <n v="0.6"/>
    <s v="United States"/>
    <s v="South"/>
    <s v="Georgia"/>
    <s v="Statesboro"/>
    <n v="30458"/>
    <d v="2015-02-06T00:00:00"/>
    <d v="2015-02-08T00:00:00"/>
    <n v="1087.7159999999999"/>
    <n v="1"/>
    <x v="1375"/>
    <n v="91414"/>
    <n v="176.42"/>
  </r>
  <r>
    <n v="180.98"/>
    <n v="30"/>
    <n v="2486"/>
    <s v="Jack Horn"/>
    <s v="Delivery Truck"/>
    <s v="Small Business"/>
    <x v="1"/>
    <x v="1"/>
    <s v="Jumbo Drum"/>
    <s v="Office Star - Ergonomic Mid Back Chair with 2-Way Adjustable Arms"/>
    <n v="0.69"/>
    <s v="United States"/>
    <s v="South"/>
    <s v="Georgia"/>
    <s v="Statesboro"/>
    <n v="30458"/>
    <d v="2015-02-03T00:00:00"/>
    <d v="2015-02-05T00:00:00"/>
    <n v="9.2040000000000006"/>
    <n v="11"/>
    <x v="1376"/>
    <n v="91416"/>
    <n v="22925.759999999998"/>
  </r>
  <r>
    <n v="3.08"/>
    <n v="0.99"/>
    <n v="2487"/>
    <s v="Michelle Bryant Phillips"/>
    <s v="Regular Air"/>
    <s v="Small Business"/>
    <x v="0"/>
    <x v="9"/>
    <s v="Small Box"/>
    <s v="Avery 481"/>
    <n v="0.37"/>
    <s v="United States"/>
    <s v="South"/>
    <s v="Georgia"/>
    <s v="Tucker"/>
    <n v="30084"/>
    <d v="2015-06-20T00:00:00"/>
    <d v="2015-06-21T00:00:00"/>
    <n v="257.08319999999998"/>
    <n v="14"/>
    <x v="1377"/>
    <n v="91415"/>
    <n v="607.74"/>
  </r>
  <r>
    <n v="2.78"/>
    <n v="1.25"/>
    <n v="2487"/>
    <s v="Michelle Bryant Phillips"/>
    <s v="Regular Air"/>
    <s v="Small Business"/>
    <x v="0"/>
    <x v="0"/>
    <s v="Wrap Bag"/>
    <s v="Newell 318"/>
    <n v="0.59"/>
    <s v="United States"/>
    <s v="South"/>
    <s v="Georgia"/>
    <s v="Tucker"/>
    <n v="30084"/>
    <d v="2015-06-20T00:00:00"/>
    <d v="2015-06-21T00:00:00"/>
    <n v="0.78539999999999999"/>
    <n v="18"/>
    <x v="1378"/>
    <n v="91415"/>
    <n v="835.56000000000006"/>
  </r>
  <r>
    <n v="136.97999999999999"/>
    <n v="24.49"/>
    <n v="2487"/>
    <s v="Michelle Bryant Phillips"/>
    <s v="Express Air"/>
    <s v="Small Business"/>
    <x v="1"/>
    <x v="2"/>
    <s v="Large Box"/>
    <s v="3M Polarizing Task Lamp with Clamp Arm, Light Gray"/>
    <n v="0.59"/>
    <s v="United States"/>
    <s v="South"/>
    <s v="Georgia"/>
    <s v="Tucker"/>
    <n v="30084"/>
    <d v="2015-06-02T00:00:00"/>
    <d v="2015-06-03T00:00:00"/>
    <n v="88.56"/>
    <n v="8"/>
    <x v="1379"/>
    <n v="91417"/>
    <n v="9127.6"/>
  </r>
  <r>
    <n v="4.91"/>
    <n v="0.5"/>
    <n v="2488"/>
    <s v="Gordon Walker"/>
    <s v="Regular Air"/>
    <s v="Consumer"/>
    <x v="0"/>
    <x v="9"/>
    <s v="Small Box"/>
    <s v="Avery 493"/>
    <n v="0.36"/>
    <s v="United States"/>
    <s v="South"/>
    <s v="Arkansas"/>
    <s v="Cabot"/>
    <n v="72023"/>
    <d v="2015-04-09T00:00:00"/>
    <d v="2015-04-09T00:00:00"/>
    <n v="12.726000000000001"/>
    <n v="9"/>
    <x v="1380"/>
    <n v="86887"/>
    <n v="384.21"/>
  </r>
  <r>
    <n v="28.15"/>
    <n v="6.17"/>
    <n v="2488"/>
    <s v="Gordon Walker"/>
    <s v="Regular Air"/>
    <s v="Consumer"/>
    <x v="0"/>
    <x v="0"/>
    <s v="Small Pack"/>
    <s v="Boston Model 1800 Electric Pencil Sharpener, Gray"/>
    <n v="0.55000000000000004"/>
    <s v="United States"/>
    <s v="South"/>
    <s v="Arkansas"/>
    <s v="Cabot"/>
    <n v="72023"/>
    <d v="2015-04-09T00:00:00"/>
    <d v="2015-04-10T00:00:00"/>
    <n v="160.8066"/>
    <n v="11"/>
    <x v="1381"/>
    <n v="86887"/>
    <n v="3601.51"/>
  </r>
  <r>
    <n v="2036.48"/>
    <n v="14.7"/>
    <n v="2489"/>
    <s v="Craig Liu"/>
    <s v="Delivery Truck"/>
    <s v="Consumer"/>
    <x v="2"/>
    <x v="6"/>
    <s v="Jumbo Drum"/>
    <s v="Lexmark 4227 Plus Dot Matrix Printer"/>
    <n v="0.55000000000000004"/>
    <s v="United States"/>
    <s v="West"/>
    <s v="California"/>
    <s v="Concord"/>
    <n v="94521"/>
    <d v="2015-02-11T00:00:00"/>
    <d v="2015-02-13T00:00:00"/>
    <n v="-1596.7457999999999"/>
    <n v="2"/>
    <x v="1382"/>
    <n v="86883"/>
    <n v="7573.68"/>
  </r>
  <r>
    <n v="419.19"/>
    <n v="19.989999999999998"/>
    <n v="2489"/>
    <s v="Craig Liu"/>
    <s v="Regular Air"/>
    <s v="Home Office"/>
    <x v="0"/>
    <x v="10"/>
    <s v="Small Box"/>
    <s v="Smead Adjustable Mobile File Trolley with Lockable Top"/>
    <n v="0.57999999999999996"/>
    <s v="United States"/>
    <s v="West"/>
    <s v="California"/>
    <s v="Concord"/>
    <n v="94521"/>
    <d v="2015-04-26T00:00:00"/>
    <d v="2015-04-27T00:00:00"/>
    <n v="1388.3559"/>
    <n v="5"/>
    <x v="1383"/>
    <n v="86885"/>
    <n v="10060.549999999999"/>
  </r>
  <r>
    <n v="65.989999999999995"/>
    <n v="8.8000000000000007"/>
    <n v="2489"/>
    <s v="Craig Liu"/>
    <s v="Regular Air"/>
    <s v="Home Office"/>
    <x v="2"/>
    <x v="5"/>
    <s v="Small Box"/>
    <n v="6120"/>
    <n v="0.57999999999999996"/>
    <s v="United States"/>
    <s v="West"/>
    <s v="California"/>
    <s v="Concord"/>
    <n v="94521"/>
    <d v="2015-01-12T00:00:00"/>
    <d v="2015-01-12T00:00:00"/>
    <n v="109.836"/>
    <n v="9"/>
    <x v="1384"/>
    <n v="86886"/>
    <n v="4244.9400000000005"/>
  </r>
  <r>
    <n v="348.21"/>
    <n v="40.19"/>
    <n v="2490"/>
    <s v="Pauline Finch"/>
    <s v="Delivery Truck"/>
    <s v="Home Office"/>
    <x v="1"/>
    <x v="11"/>
    <s v="Jumbo Box"/>
    <s v="Bretford CR4500 Series Slim Rectangular Table"/>
    <n v="0.62"/>
    <s v="United States"/>
    <s v="West"/>
    <s v="California"/>
    <s v="Costa Mesa"/>
    <n v="92627"/>
    <d v="2015-02-14T00:00:00"/>
    <d v="2015-02-16T00:00:00"/>
    <n v="-93.85"/>
    <n v="2"/>
    <x v="1385"/>
    <n v="86884"/>
    <n v="1325.6"/>
  </r>
  <r>
    <n v="10.01"/>
    <n v="1.99"/>
    <n v="2490"/>
    <s v="Pauline Finch"/>
    <s v="Express Air"/>
    <s v="Home Office"/>
    <x v="2"/>
    <x v="13"/>
    <s v="Small Pack"/>
    <s v="TDK 4.7GB DVD-R"/>
    <n v="0.41"/>
    <s v="United States"/>
    <s v="West"/>
    <s v="California"/>
    <s v="Costa Mesa"/>
    <n v="92627"/>
    <d v="2015-01-12T00:00:00"/>
    <d v="2015-01-14T00:00:00"/>
    <n v="82.703400000000002"/>
    <n v="11"/>
    <x v="1386"/>
    <n v="86886"/>
    <n v="1318.46"/>
  </r>
  <r>
    <n v="348.21"/>
    <n v="40.19"/>
    <n v="2491"/>
    <s v="Sean N Boyer"/>
    <s v="Delivery Truck"/>
    <s v="Home Office"/>
    <x v="1"/>
    <x v="11"/>
    <s v="Jumbo Box"/>
    <s v="Bretford CR4500 Series Slim Rectangular Table"/>
    <n v="0.62"/>
    <s v="United States"/>
    <s v="West"/>
    <s v="California"/>
    <s v="Los Angeles"/>
    <n v="90045"/>
    <d v="2015-02-14T00:00:00"/>
    <d v="2015-02-16T00:00:00"/>
    <n v="-93.85"/>
    <n v="8"/>
    <x v="1387"/>
    <n v="48836"/>
    <n v="21209.68"/>
  </r>
  <r>
    <n v="4.28"/>
    <n v="0.94"/>
    <n v="2491"/>
    <s v="Sean N Boyer"/>
    <s v="Regular Air"/>
    <s v="Consumer"/>
    <x v="0"/>
    <x v="0"/>
    <s v="Wrap Bag"/>
    <s v="Newell 336"/>
    <n v="0.56000000000000005"/>
    <s v="United States"/>
    <s v="West"/>
    <s v="California"/>
    <s v="Los Angeles"/>
    <n v="90045"/>
    <d v="2015-04-26T00:00:00"/>
    <d v="2015-04-28T00:00:00"/>
    <n v="0.37"/>
    <n v="9"/>
    <x v="1388"/>
    <n v="11712"/>
    <n v="350.64"/>
  </r>
  <r>
    <n v="419.19"/>
    <n v="19.989999999999998"/>
    <n v="2491"/>
    <s v="Sean N Boyer"/>
    <s v="Regular Air"/>
    <s v="Home Office"/>
    <x v="0"/>
    <x v="10"/>
    <s v="Small Box"/>
    <s v="Smead Adjustable Mobile File Trolley with Lockable Top"/>
    <n v="0.57999999999999996"/>
    <s v="United States"/>
    <s v="West"/>
    <s v="California"/>
    <s v="Los Angeles"/>
    <n v="90045"/>
    <d v="2015-04-26T00:00:00"/>
    <d v="2015-04-27T00:00:00"/>
    <n v="1947.67"/>
    <n v="20"/>
    <x v="1389"/>
    <n v="23042"/>
    <n v="160969"/>
  </r>
  <r>
    <n v="65.989999999999995"/>
    <n v="8.8000000000000007"/>
    <n v="2491"/>
    <s v="Sean N Boyer"/>
    <s v="Regular Air"/>
    <s v="Home Office"/>
    <x v="2"/>
    <x v="5"/>
    <s v="Small Box"/>
    <n v="6120"/>
    <n v="0.57999999999999996"/>
    <s v="United States"/>
    <s v="West"/>
    <s v="California"/>
    <s v="Los Angeles"/>
    <n v="90045"/>
    <d v="2015-01-12T00:00:00"/>
    <d v="2015-01-12T00:00:00"/>
    <n v="109.836"/>
    <n v="37"/>
    <x v="1390"/>
    <n v="23877"/>
    <n v="71744.11"/>
  </r>
  <r>
    <n v="10.01"/>
    <n v="1.99"/>
    <n v="2491"/>
    <s v="Sean N Boyer"/>
    <s v="Express Air"/>
    <s v="Home Office"/>
    <x v="2"/>
    <x v="13"/>
    <s v="Small Pack"/>
    <s v="TDK 4.7GB DVD-R"/>
    <n v="0.41"/>
    <s v="United States"/>
    <s v="West"/>
    <s v="California"/>
    <s v="Los Angeles"/>
    <n v="90045"/>
    <d v="2015-01-12T00:00:00"/>
    <d v="2015-01-14T00:00:00"/>
    <n v="128.03"/>
    <n v="42"/>
    <x v="1391"/>
    <n v="23877"/>
    <n v="19220.46"/>
  </r>
  <r>
    <n v="4.91"/>
    <n v="0.5"/>
    <n v="2491"/>
    <s v="Sean N Boyer"/>
    <s v="Regular Air"/>
    <s v="Consumer"/>
    <x v="0"/>
    <x v="9"/>
    <s v="Small Box"/>
    <s v="Avery 493"/>
    <n v="0.36"/>
    <s v="United States"/>
    <s v="West"/>
    <s v="California"/>
    <s v="Los Angeles"/>
    <n v="90045"/>
    <d v="2015-04-09T00:00:00"/>
    <d v="2015-04-09T00:00:00"/>
    <n v="31.751999999999999"/>
    <n v="36"/>
    <x v="1392"/>
    <n v="14785"/>
    <n v="6147"/>
  </r>
  <r>
    <n v="28.15"/>
    <n v="6.17"/>
    <n v="2491"/>
    <s v="Sean N Boyer"/>
    <s v="Regular Air"/>
    <s v="Consumer"/>
    <x v="0"/>
    <x v="0"/>
    <s v="Small Pack"/>
    <s v="Boston Model 1800 Electric Pencil Sharpener, Gray"/>
    <n v="0.55000000000000004"/>
    <s v="United States"/>
    <s v="West"/>
    <s v="California"/>
    <s v="Los Angeles"/>
    <n v="90045"/>
    <d v="2015-04-09T00:00:00"/>
    <d v="2015-04-10T00:00:00"/>
    <n v="117.208"/>
    <n v="45"/>
    <x v="1393"/>
    <n v="14785"/>
    <n v="60273.9"/>
  </r>
  <r>
    <n v="4.28"/>
    <n v="0.94"/>
    <n v="2495"/>
    <s v="Maria Block"/>
    <s v="Regular Air"/>
    <s v="Consumer"/>
    <x v="0"/>
    <x v="0"/>
    <s v="Wrap Bag"/>
    <s v="Newell 336"/>
    <n v="0.56000000000000005"/>
    <s v="United States"/>
    <s v="West"/>
    <s v="Wyoming"/>
    <s v="Rock Springs"/>
    <n v="82901"/>
    <d v="2015-04-26T00:00:00"/>
    <d v="2015-04-28T00:00:00"/>
    <n v="0.37"/>
    <n v="2"/>
    <x v="1394"/>
    <n v="86885"/>
    <n v="17.32"/>
  </r>
  <r>
    <n v="355.98"/>
    <n v="58.92"/>
    <n v="2498"/>
    <s v="Arlene Long"/>
    <s v="Delivery Truck"/>
    <s v="Corporate"/>
    <x v="1"/>
    <x v="1"/>
    <s v="Jumbo Drum"/>
    <s v="Hon 4700 Series Mobuis™ Mid-Back Task Chairs with Adjustable Arms"/>
    <n v="0.64"/>
    <s v="United States"/>
    <s v="West"/>
    <s v="California"/>
    <s v="San Diego"/>
    <n v="92024"/>
    <d v="2015-02-18T00:00:00"/>
    <d v="2015-02-20T00:00:00"/>
    <n v="1240.25"/>
    <n v="30"/>
    <x v="1395"/>
    <n v="16547"/>
    <n v="316638.89999999997"/>
  </r>
  <r>
    <n v="218.75"/>
    <n v="69.64"/>
    <n v="2498"/>
    <s v="Arlene Long"/>
    <s v="Delivery Truck"/>
    <s v="Corporate"/>
    <x v="1"/>
    <x v="11"/>
    <s v="Jumbo Box"/>
    <s v="BoxOffice By Design Rectangular and Half-Moon Meeting Room Tables"/>
    <n v="0.77"/>
    <s v="United States"/>
    <s v="West"/>
    <s v="California"/>
    <s v="San Diego"/>
    <n v="92024"/>
    <d v="2015-02-18T00:00:00"/>
    <d v="2015-02-18T00:00:00"/>
    <n v="-533.23199999999997"/>
    <n v="8"/>
    <x v="1396"/>
    <n v="16547"/>
    <n v="13997.12"/>
  </r>
  <r>
    <n v="6.28"/>
    <n v="5.41"/>
    <n v="2498"/>
    <s v="Arlene Long"/>
    <s v="Regular Air"/>
    <s v="Small Business"/>
    <x v="1"/>
    <x v="2"/>
    <s v="Small Box"/>
    <s v="Eldon® 200 Class™ Desk Accessories"/>
    <n v="0.53"/>
    <s v="United States"/>
    <s v="West"/>
    <s v="California"/>
    <s v="San Diego"/>
    <n v="92024"/>
    <d v="2015-02-02T00:00:00"/>
    <d v="2015-02-04T00:00:00"/>
    <n v="-61.59"/>
    <n v="56"/>
    <x v="1397"/>
    <n v="54567"/>
    <n v="19902.399999999998"/>
  </r>
  <r>
    <n v="1.68"/>
    <n v="1.57"/>
    <n v="2498"/>
    <s v="Arlene Long"/>
    <s v="Regular Air"/>
    <s v="Small Business"/>
    <x v="0"/>
    <x v="0"/>
    <s v="Wrap Bag"/>
    <s v="Newell 323"/>
    <n v="0.59"/>
    <s v="United States"/>
    <s v="West"/>
    <s v="California"/>
    <s v="San Diego"/>
    <n v="92024"/>
    <d v="2015-02-05T00:00:00"/>
    <d v="2015-02-06T00:00:00"/>
    <n v="-46.25"/>
    <n v="88"/>
    <x v="1398"/>
    <n v="20007"/>
    <n v="13055.68"/>
  </r>
  <r>
    <n v="355.98"/>
    <n v="58.92"/>
    <n v="2499"/>
    <s v="Geoffrey Koch"/>
    <s v="Delivery Truck"/>
    <s v="Corporate"/>
    <x v="1"/>
    <x v="1"/>
    <s v="Jumbo Drum"/>
    <s v="Hon 4700 Series Mobuis™ Mid-Back Task Chairs with Adjustable Arms"/>
    <n v="0.64"/>
    <s v="United States"/>
    <s v="Central"/>
    <s v="Illinois"/>
    <s v="Kankakee"/>
    <n v="60901"/>
    <d v="2015-02-18T00:00:00"/>
    <d v="2015-02-20T00:00:00"/>
    <n v="1240.25"/>
    <n v="8"/>
    <x v="1399"/>
    <n v="88319"/>
    <n v="22516.560000000001"/>
  </r>
  <r>
    <n v="6.28"/>
    <n v="5.41"/>
    <n v="2500"/>
    <s v="Kevin Smith"/>
    <s v="Regular Air"/>
    <s v="Small Business"/>
    <x v="1"/>
    <x v="2"/>
    <s v="Small Box"/>
    <s v="Eldon® 200 Class™ Desk Accessories"/>
    <n v="0.53"/>
    <s v="United States"/>
    <s v="Central"/>
    <s v="Illinois"/>
    <s v="Lake In The Hills"/>
    <n v="60102"/>
    <d v="2015-02-02T00:00:00"/>
    <d v="2015-02-04T00:00:00"/>
    <n v="-32.026800000000001"/>
    <n v="14"/>
    <x v="1400"/>
    <n v="88320"/>
    <n v="1243.8999999999999"/>
  </r>
  <r>
    <n v="24.92"/>
    <n v="12.98"/>
    <n v="2502"/>
    <s v="Toni Owens Poe"/>
    <s v="Regular Air"/>
    <s v="Home Office"/>
    <x v="0"/>
    <x v="8"/>
    <s v="Small Box"/>
    <s v="GBC Standard Therm-A-Bind Covers"/>
    <n v="0.39"/>
    <s v="United States"/>
    <s v="Central"/>
    <s v="Indiana"/>
    <s v="Munster"/>
    <n v="46321"/>
    <d v="2015-03-19T00:00:00"/>
    <d v="2015-03-19T00:00:00"/>
    <n v="-45.816000000000003"/>
    <n v="3"/>
    <x v="1401"/>
    <n v="91310"/>
    <n v="212.45999999999998"/>
  </r>
  <r>
    <n v="12.28"/>
    <n v="6.35"/>
    <n v="2502"/>
    <s v="Toni Owens Poe"/>
    <s v="Express Air"/>
    <s v="Home Office"/>
    <x v="0"/>
    <x v="7"/>
    <s v="Small Box"/>
    <s v="Staples Premium Bright 1-Part Blank Computer Paper"/>
    <n v="0.38"/>
    <s v="United States"/>
    <s v="Central"/>
    <s v="Indiana"/>
    <s v="Munster"/>
    <n v="46321"/>
    <d v="2015-03-19T00:00:00"/>
    <d v="2015-03-20T00:00:00"/>
    <n v="30.63"/>
    <n v="7"/>
    <x v="1402"/>
    <n v="91310"/>
    <n v="633.07999999999993"/>
  </r>
  <r>
    <n v="6.48"/>
    <n v="8.74"/>
    <n v="2506"/>
    <s v="Alfred Harmon"/>
    <s v="Regular Air"/>
    <s v="Home Office"/>
    <x v="0"/>
    <x v="7"/>
    <s v="Small Box"/>
    <s v="Xerox 1984"/>
    <n v="0.36"/>
    <s v="United States"/>
    <s v="East"/>
    <s v="Connecticut"/>
    <s v="Cheshire"/>
    <n v="6408"/>
    <d v="2015-06-05T00:00:00"/>
    <d v="2015-06-07T00:00:00"/>
    <n v="-6.835"/>
    <n v="1"/>
    <x v="1403"/>
    <n v="87033"/>
    <n v="10.72"/>
  </r>
  <r>
    <n v="699.99"/>
    <n v="24.49"/>
    <n v="2507"/>
    <s v="Jeanette Davies"/>
    <s v="Express Air"/>
    <s v="Home Office"/>
    <x v="2"/>
    <x v="16"/>
    <s v="Large Box"/>
    <s v="Canon PC1060 Personal Laser Copier"/>
    <n v="0.41"/>
    <s v="United States"/>
    <s v="East"/>
    <s v="Maine"/>
    <s v="Bangor"/>
    <n v="4401"/>
    <d v="2015-06-05T00:00:00"/>
    <d v="2015-06-07T00:00:00"/>
    <n v="7024.2069000000001"/>
    <n v="15"/>
    <x v="1404"/>
    <n v="87033"/>
    <n v="152700.15"/>
  </r>
  <r>
    <n v="5.81"/>
    <n v="8.49"/>
    <n v="2508"/>
    <s v="Pauline Brooks"/>
    <s v="Regular Air"/>
    <s v="Home Office"/>
    <x v="0"/>
    <x v="8"/>
    <s v="Small Box"/>
    <s v="Fellowes Black Plastic Comb Bindings"/>
    <n v="0.39"/>
    <s v="United States"/>
    <s v="East"/>
    <s v="Maine"/>
    <s v="Sanford"/>
    <n v="4073"/>
    <d v="2015-01-08T00:00:00"/>
    <d v="2015-01-12T00:00:00"/>
    <n v="-137.494"/>
    <n v="7"/>
    <x v="1405"/>
    <n v="87031"/>
    <n v="297.08"/>
  </r>
  <r>
    <n v="30.98"/>
    <n v="9.18"/>
    <n v="2509"/>
    <s v="Sidney Larson"/>
    <s v="Regular Air"/>
    <s v="Home Office"/>
    <x v="0"/>
    <x v="7"/>
    <s v="Small Box"/>
    <s v="Xerox 1951"/>
    <n v="0.4"/>
    <s v="United States"/>
    <s v="East"/>
    <s v="Maine"/>
    <s v="South Portland"/>
    <n v="4106"/>
    <d v="2015-05-05T00:00:00"/>
    <d v="2015-05-05T00:00:00"/>
    <n v="308.67"/>
    <n v="15"/>
    <x v="1406"/>
    <n v="87029"/>
    <n v="6938.55"/>
  </r>
  <r>
    <n v="6.48"/>
    <n v="9.5399999999999991"/>
    <n v="2512"/>
    <s v="Frances Holt"/>
    <s v="Regular Air"/>
    <s v="Home Office"/>
    <x v="0"/>
    <x v="7"/>
    <s v="Small Box"/>
    <s v="Xerox 1905"/>
    <n v="0.37"/>
    <s v="United States"/>
    <s v="East"/>
    <s v="Massachusetts"/>
    <s v="Cambridge"/>
    <n v="2138"/>
    <d v="2015-06-15T00:00:00"/>
    <d v="2015-06-17T00:00:00"/>
    <n v="-223.94399999999999"/>
    <n v="19"/>
    <x v="1407"/>
    <n v="87030"/>
    <n v="2382.0300000000002"/>
  </r>
  <r>
    <n v="17.149999999999999"/>
    <n v="4.96"/>
    <n v="2516"/>
    <s v="Leo E Underwood"/>
    <s v="Regular Air"/>
    <s v="Home Office"/>
    <x v="0"/>
    <x v="10"/>
    <s v="Small Box"/>
    <s v="Advantus Rolling Storage Box"/>
    <n v="0.57999999999999996"/>
    <s v="United States"/>
    <s v="East"/>
    <s v="New Jersey"/>
    <s v="Englewood"/>
    <n v="7631"/>
    <d v="2015-06-05T00:00:00"/>
    <d v="2015-06-07T00:00:00"/>
    <n v="36.494999999999997"/>
    <n v="11"/>
    <x v="1408"/>
    <n v="87033"/>
    <n v="2099.35"/>
  </r>
  <r>
    <n v="30.98"/>
    <n v="8.74"/>
    <n v="2520"/>
    <s v="Sandy Mueller"/>
    <s v="Regular Air"/>
    <s v="Home Office"/>
    <x v="0"/>
    <x v="7"/>
    <s v="Small Box"/>
    <s v="Xerox 1979"/>
    <n v="0.4"/>
    <s v="United States"/>
    <s v="East"/>
    <s v="Rhode Island"/>
    <s v="Providence"/>
    <n v="2908"/>
    <d v="2015-06-05T00:00:00"/>
    <d v="2015-06-06T00:00:00"/>
    <n v="255.76920000000001"/>
    <n v="12"/>
    <x v="1409"/>
    <n v="87033"/>
    <n v="4448.16"/>
  </r>
  <r>
    <n v="175.99"/>
    <n v="4.99"/>
    <n v="2521"/>
    <s v="Shawn Meyer"/>
    <s v="Regular Air"/>
    <s v="Home Office"/>
    <x v="2"/>
    <x v="5"/>
    <s v="Small Box"/>
    <n v="5165"/>
    <n v="0.59"/>
    <s v="United States"/>
    <s v="Central"/>
    <s v="Texas"/>
    <s v="Corsicana"/>
    <n v="75109"/>
    <d v="2015-02-18T00:00:00"/>
    <d v="2015-02-21T00:00:00"/>
    <n v="1656.6555000000001"/>
    <n v="15"/>
    <x v="1410"/>
    <n v="87032"/>
    <n v="36014.25"/>
  </r>
  <r>
    <n v="1360.14"/>
    <n v="14.7"/>
    <n v="2522"/>
    <s v="Harriet Wooten"/>
    <s v="Delivery Truck"/>
    <s v="Home Office"/>
    <x v="2"/>
    <x v="6"/>
    <s v="Jumbo Drum"/>
    <s v="Okidata ML395C Color Dot Matrix Printer"/>
    <n v="0.59"/>
    <s v="United States"/>
    <s v="East"/>
    <s v="Vermont"/>
    <s v="Burlington"/>
    <n v="5401"/>
    <d v="2015-06-05T00:00:00"/>
    <d v="2015-06-08T00:00:00"/>
    <n v="2639.01"/>
    <n v="6"/>
    <x v="1411"/>
    <n v="87033"/>
    <n v="43818.3"/>
  </r>
  <r>
    <n v="2.16"/>
    <n v="6.05"/>
    <n v="2526"/>
    <s v="Derek Sweeney"/>
    <s v="Regular Air"/>
    <s v="Corporate"/>
    <x v="0"/>
    <x v="8"/>
    <s v="Small Box"/>
    <s v="Peel &amp; Stick Add-On Corner Pockets"/>
    <n v="0.37"/>
    <s v="United States"/>
    <s v="South"/>
    <s v="Louisiana"/>
    <s v="Lafayette"/>
    <n v="70506"/>
    <d v="2015-05-23T00:00:00"/>
    <d v="2015-05-25T00:00:00"/>
    <n v="395.76"/>
    <n v="24"/>
    <x v="1412"/>
    <n v="87208"/>
    <n v="1393.1999999999998"/>
  </r>
  <r>
    <n v="21.38"/>
    <n v="8.99"/>
    <n v="2527"/>
    <s v="Gretchen Orr"/>
    <s v="Regular Air"/>
    <s v="Corporate"/>
    <x v="0"/>
    <x v="0"/>
    <s v="Small Pack"/>
    <s v="Boston 1730 StandUp Electric Pencil Sharpener"/>
    <n v="0.59"/>
    <s v="United States"/>
    <s v="South"/>
    <s v="Louisiana"/>
    <s v="Lake Charles"/>
    <n v="70601"/>
    <d v="2015-05-23T00:00:00"/>
    <d v="2015-05-25T00:00:00"/>
    <n v="-39.396000000000001"/>
    <n v="3"/>
    <x v="1413"/>
    <n v="87208"/>
    <n v="205.92000000000002"/>
  </r>
  <r>
    <n v="40.98"/>
    <n v="6.5"/>
    <n v="2530"/>
    <s v="Janet Zhang"/>
    <s v="Regular Air"/>
    <s v="Small Business"/>
    <x v="2"/>
    <x v="13"/>
    <s v="Small Box"/>
    <s v="Targus USB Numeric Keypad"/>
    <n v="0.74"/>
    <s v="United States"/>
    <s v="West"/>
    <s v="California"/>
    <s v="Apple Valley"/>
    <n v="92307"/>
    <d v="2015-03-29T00:00:00"/>
    <d v="2015-03-30T00:00:00"/>
    <n v="-89.5"/>
    <n v="7"/>
    <x v="1414"/>
    <n v="87451"/>
    <n v="1939.49"/>
  </r>
  <r>
    <n v="4"/>
    <n v="1.3"/>
    <n v="2531"/>
    <s v="Rick Houston"/>
    <s v="Regular Air"/>
    <s v="Small Business"/>
    <x v="0"/>
    <x v="7"/>
    <s v="Wrap Bag"/>
    <s v="EcoTones® Memo Sheets"/>
    <n v="0.37"/>
    <s v="United States"/>
    <s v="West"/>
    <s v="California"/>
    <s v="Atascadero"/>
    <n v="93422"/>
    <d v="2015-05-02T00:00:00"/>
    <d v="2015-05-04T00:00:00"/>
    <n v="28.4"/>
    <n v="14"/>
    <x v="1415"/>
    <n v="87452"/>
    <n v="727.86"/>
  </r>
  <r>
    <n v="35.99"/>
    <n v="3.3"/>
    <n v="2534"/>
    <s v="Mitchell Goldberg"/>
    <s v="Regular Air"/>
    <s v="Small Business"/>
    <x v="2"/>
    <x v="5"/>
    <s v="Small Pack"/>
    <s v="Accessory9"/>
    <n v="0.39"/>
    <s v="United States"/>
    <s v="East"/>
    <s v="Maine"/>
    <s v="Bangor"/>
    <n v="4401"/>
    <d v="2015-03-29T00:00:00"/>
    <d v="2015-03-31T00:00:00"/>
    <n v="103.2723"/>
    <n v="5"/>
    <x v="1416"/>
    <n v="87451"/>
    <n v="748.34999999999991"/>
  </r>
  <r>
    <n v="12.53"/>
    <n v="0.5"/>
    <n v="2539"/>
    <s v="Max Hubbard"/>
    <s v="Regular Air"/>
    <s v="Home Office"/>
    <x v="0"/>
    <x v="9"/>
    <s v="Small Box"/>
    <s v="Avery 485"/>
    <n v="0.38"/>
    <s v="United States"/>
    <s v="South"/>
    <s v="Florida"/>
    <s v="Winter Park"/>
    <n v="32789"/>
    <d v="2015-04-07T00:00:00"/>
    <d v="2015-04-08T00:00:00"/>
    <n v="215.71799999999999"/>
    <n v="5"/>
    <x v="1417"/>
    <n v="91017"/>
    <n v="305.5"/>
  </r>
  <r>
    <n v="178.47"/>
    <n v="19.989999999999998"/>
    <n v="2540"/>
    <s v="Helen Ferguson"/>
    <s v="Regular Air"/>
    <s v="Home Office"/>
    <x v="0"/>
    <x v="10"/>
    <s v="Small Box"/>
    <s v="Hot File® 7-Pocket, Floor Stand"/>
    <n v="0.55000000000000004"/>
    <s v="United States"/>
    <s v="South"/>
    <s v="Florida"/>
    <s v="Winter Springs"/>
    <n v="32708"/>
    <d v="2015-04-07T00:00:00"/>
    <d v="2015-04-08T00:00:00"/>
    <n v="106.98480000000001"/>
    <n v="1"/>
    <x v="1418"/>
    <n v="91017"/>
    <n v="193.81"/>
  </r>
  <r>
    <n v="15.68"/>
    <n v="3.73"/>
    <n v="2543"/>
    <s v="Josephine Dalton"/>
    <s v="Regular Air"/>
    <s v="Small Business"/>
    <x v="1"/>
    <x v="2"/>
    <s v="Small Pack"/>
    <s v="Artistic Insta-Plaque"/>
    <n v="0.46"/>
    <s v="United States"/>
    <s v="South"/>
    <s v="Virginia"/>
    <s v="Richmond"/>
    <n v="23223"/>
    <d v="2015-06-11T00:00:00"/>
    <d v="2015-06-12T00:00:00"/>
    <n v="3.54"/>
    <n v="17"/>
    <x v="1419"/>
    <n v="87917"/>
    <n v="4377.16"/>
  </r>
  <r>
    <n v="195.99"/>
    <n v="4.2"/>
    <n v="2543"/>
    <s v="Josephine Dalton"/>
    <s v="Regular Air"/>
    <s v="Small Business"/>
    <x v="2"/>
    <x v="5"/>
    <s v="Small Box"/>
    <s v="T65"/>
    <n v="0.56000000000000005"/>
    <s v="United States"/>
    <s v="South"/>
    <s v="Virginia"/>
    <s v="Richmond"/>
    <n v="23223"/>
    <d v="2015-06-11T00:00:00"/>
    <d v="2015-06-12T00:00:00"/>
    <n v="40.283999999999999"/>
    <n v="19"/>
    <x v="1420"/>
    <n v="87917"/>
    <n v="60704.81"/>
  </r>
  <r>
    <n v="99.99"/>
    <n v="19.989999999999998"/>
    <n v="2545"/>
    <s v="Rick Ellis"/>
    <s v="Express Air"/>
    <s v="Home Office"/>
    <x v="2"/>
    <x v="6"/>
    <s v="Small Box"/>
    <s v="AT&amp;T 2230 Dual Handset Phone With Caller ID/Call Waiting"/>
    <n v="0.52"/>
    <s v="United States"/>
    <s v="South"/>
    <s v="Virginia"/>
    <s v="Springfield"/>
    <n v="22153"/>
    <d v="2015-03-10T00:00:00"/>
    <d v="2015-03-12T00:00:00"/>
    <n v="90.024000000000001"/>
    <n v="2"/>
    <x v="1421"/>
    <n v="87915"/>
    <n v="405.96"/>
  </r>
  <r>
    <n v="6.48"/>
    <n v="9.5399999999999991"/>
    <n v="2547"/>
    <s v="Edna Freeman"/>
    <s v="Regular Air"/>
    <s v="Small Business"/>
    <x v="0"/>
    <x v="7"/>
    <s v="Small Box"/>
    <s v="Xerox 1905"/>
    <n v="0.37"/>
    <s v="United States"/>
    <s v="South"/>
    <s v="Virginia"/>
    <s v="Virginia Beach"/>
    <n v="23464"/>
    <d v="2015-04-19T00:00:00"/>
    <d v="2015-04-19T00:00:00"/>
    <n v="2.2320000000000002"/>
    <n v="1"/>
    <x v="1422"/>
    <n v="87916"/>
    <n v="10.86"/>
  </r>
  <r>
    <n v="35.99"/>
    <n v="0.99"/>
    <n v="2548"/>
    <s v="Wayne Bass"/>
    <s v="Regular Air"/>
    <s v="Small Business"/>
    <x v="2"/>
    <x v="5"/>
    <s v="Small Pack"/>
    <s v="Accessory31"/>
    <n v="0.35"/>
    <s v="United States"/>
    <s v="West"/>
    <s v="California"/>
    <s v="Los Angeles"/>
    <n v="90068"/>
    <d v="2015-04-04T00:00:00"/>
    <d v="2015-04-11T00:00:00"/>
    <n v="840.05100000000004"/>
    <n v="46"/>
    <x v="1423"/>
    <n v="46436"/>
    <n v="67968.22"/>
  </r>
  <r>
    <n v="30.98"/>
    <n v="9.18"/>
    <n v="2548"/>
    <s v="Wayne Bass"/>
    <s v="Express Air"/>
    <s v="Small Business"/>
    <x v="0"/>
    <x v="7"/>
    <s v="Small Box"/>
    <s v="Xerox 1951"/>
    <n v="0.4"/>
    <s v="United States"/>
    <s v="West"/>
    <s v="California"/>
    <s v="Los Angeles"/>
    <n v="90068"/>
    <d v="2015-04-21T00:00:00"/>
    <d v="2015-04-21T00:00:00"/>
    <n v="61.47"/>
    <n v="12"/>
    <x v="1424"/>
    <n v="40997"/>
    <n v="4587.4800000000005"/>
  </r>
  <r>
    <n v="22.99"/>
    <n v="8.99"/>
    <n v="2548"/>
    <s v="Wayne Bass"/>
    <s v="Regular Air"/>
    <s v="Small Business"/>
    <x v="0"/>
    <x v="0"/>
    <s v="Small Pack"/>
    <s v="Boston KS Multi-Size Manual Pencil Sharpener"/>
    <n v="0.56999999999999995"/>
    <s v="United States"/>
    <s v="West"/>
    <s v="California"/>
    <s v="Los Angeles"/>
    <n v="90068"/>
    <d v="2015-04-21T00:00:00"/>
    <d v="2015-04-28T00:00:00"/>
    <n v="18.27"/>
    <n v="37"/>
    <x v="1425"/>
    <n v="40997"/>
    <n v="32624.38"/>
  </r>
  <r>
    <n v="212.6"/>
    <n v="110.2"/>
    <n v="2548"/>
    <s v="Wayne Bass"/>
    <s v="Delivery Truck"/>
    <s v="Small Business"/>
    <x v="1"/>
    <x v="11"/>
    <s v="Jumbo Box"/>
    <s v="Bush Advantage Collection® Round Conference Table"/>
    <n v="0.73"/>
    <s v="United States"/>
    <s v="West"/>
    <s v="California"/>
    <s v="Los Angeles"/>
    <n v="90068"/>
    <d v="2015-04-21T00:00:00"/>
    <d v="2015-04-25T00:00:00"/>
    <n v="-513.79042000000004"/>
    <n v="33"/>
    <x v="1426"/>
    <n v="40997"/>
    <n v="243677.94"/>
  </r>
  <r>
    <n v="5.98"/>
    <n v="1.67"/>
    <n v="2548"/>
    <s v="Wayne Bass"/>
    <s v="Regular Air"/>
    <s v="Small Business"/>
    <x v="0"/>
    <x v="0"/>
    <s v="Wrap Bag"/>
    <s v="Dixon Ticonderoga® Erasable Colored Pencil Set, 12-Color"/>
    <n v="0.51"/>
    <s v="United States"/>
    <s v="West"/>
    <s v="California"/>
    <s v="Los Angeles"/>
    <n v="90068"/>
    <d v="2015-06-04T00:00:00"/>
    <d v="2015-06-07T00:00:00"/>
    <n v="23.87"/>
    <n v="81"/>
    <x v="1427"/>
    <n v="29889"/>
    <n v="36309.06"/>
  </r>
  <r>
    <n v="30.98"/>
    <n v="9.18"/>
    <n v="2549"/>
    <s v="Martha Bowers"/>
    <s v="Express Air"/>
    <s v="Small Business"/>
    <x v="0"/>
    <x v="7"/>
    <s v="Small Box"/>
    <s v="Xerox 1951"/>
    <n v="0.4"/>
    <s v="United States"/>
    <s v="East"/>
    <s v="Ohio"/>
    <s v="Whitehall"/>
    <n v="43213"/>
    <d v="2015-04-21T00:00:00"/>
    <d v="2015-04-21T00:00:00"/>
    <n v="61.47"/>
    <n v="3"/>
    <x v="1428"/>
    <n v="88657"/>
    <n v="286.70999999999998"/>
  </r>
  <r>
    <n v="22.99"/>
    <n v="8.99"/>
    <n v="2549"/>
    <s v="Martha Bowers"/>
    <s v="Regular Air"/>
    <s v="Small Business"/>
    <x v="0"/>
    <x v="0"/>
    <s v="Small Pack"/>
    <s v="Boston KS Multi-Size Manual Pencil Sharpener"/>
    <n v="0.56999999999999995"/>
    <s v="United States"/>
    <s v="East"/>
    <s v="Ohio"/>
    <s v="Whitehall"/>
    <n v="43213"/>
    <d v="2015-04-21T00:00:00"/>
    <d v="2015-04-28T00:00:00"/>
    <n v="18.27"/>
    <n v="9"/>
    <x v="1429"/>
    <n v="88657"/>
    <n v="1930.32"/>
  </r>
  <r>
    <n v="212.6"/>
    <n v="110.2"/>
    <n v="2549"/>
    <s v="Martha Bowers"/>
    <s v="Delivery Truck"/>
    <s v="Small Business"/>
    <x v="1"/>
    <x v="11"/>
    <s v="Jumbo Box"/>
    <s v="Bush Advantage Collection® Round Conference Table"/>
    <n v="0.73"/>
    <s v="United States"/>
    <s v="East"/>
    <s v="Ohio"/>
    <s v="Whitehall"/>
    <n v="43213"/>
    <d v="2015-04-21T00:00:00"/>
    <d v="2015-04-25T00:00:00"/>
    <n v="-513.79042000000004"/>
    <n v="8"/>
    <x v="1430"/>
    <n v="88657"/>
    <n v="14320.8"/>
  </r>
  <r>
    <n v="5.98"/>
    <n v="1.67"/>
    <n v="2549"/>
    <s v="Martha Bowers"/>
    <s v="Regular Air"/>
    <s v="Small Business"/>
    <x v="0"/>
    <x v="0"/>
    <s v="Wrap Bag"/>
    <s v="Dixon Ticonderoga® Erasable Colored Pencil Set, 12-Color"/>
    <n v="0.51"/>
    <s v="United States"/>
    <s v="East"/>
    <s v="Ohio"/>
    <s v="Whitehall"/>
    <n v="43213"/>
    <d v="2015-06-04T00:00:00"/>
    <d v="2015-06-07T00:00:00"/>
    <n v="35.805"/>
    <n v="20"/>
    <x v="1431"/>
    <n v="88658"/>
    <n v="2213.6000000000004"/>
  </r>
  <r>
    <n v="35.99"/>
    <n v="0.99"/>
    <n v="2551"/>
    <s v="Joan Bowers"/>
    <s v="Regular Air"/>
    <s v="Small Business"/>
    <x v="2"/>
    <x v="5"/>
    <s v="Small Pack"/>
    <s v="Accessory31"/>
    <n v="0.35"/>
    <s v="United States"/>
    <s v="East"/>
    <s v="Pennsylvania"/>
    <s v="York"/>
    <n v="17403"/>
    <d v="2015-04-04T00:00:00"/>
    <d v="2015-04-11T00:00:00"/>
    <n v="265.96050000000002"/>
    <n v="12"/>
    <x v="1432"/>
    <n v="88656"/>
    <n v="4625.3999999999996"/>
  </r>
  <r>
    <n v="12.53"/>
    <n v="7.17"/>
    <n v="2553"/>
    <s v="Virginia McNeill"/>
    <s v="Regular Air"/>
    <s v="Home Office"/>
    <x v="0"/>
    <x v="8"/>
    <s v="Small Box"/>
    <s v="GBC ProClick Spines for 32-Hole Punch"/>
    <n v="0.38"/>
    <s v="United States"/>
    <s v="Central"/>
    <s v="Wisconsin"/>
    <s v="Kenosha"/>
    <n v="53142"/>
    <d v="2015-02-12T00:00:00"/>
    <d v="2015-02-13T00:00:00"/>
    <n v="-20.320499999999999"/>
    <n v="1"/>
    <x v="1191"/>
    <n v="86528"/>
    <n v="19.32"/>
  </r>
  <r>
    <n v="2.6"/>
    <n v="2.4"/>
    <n v="2555"/>
    <s v="Karl Knowles"/>
    <s v="Regular Air"/>
    <s v="Home Office"/>
    <x v="0"/>
    <x v="0"/>
    <s v="Wrap Bag"/>
    <s v="12 Colored Short Pencils"/>
    <n v="0.57999999999999996"/>
    <s v="United States"/>
    <s v="Central"/>
    <s v="Wisconsin"/>
    <s v="Madison"/>
    <n v="53711"/>
    <d v="2015-01-09T00:00:00"/>
    <d v="2015-01-14T00:00:00"/>
    <n v="-88.04"/>
    <n v="12"/>
    <x v="1433"/>
    <n v="86527"/>
    <n v="361.20000000000005"/>
  </r>
  <r>
    <n v="12.97"/>
    <n v="1.49"/>
    <n v="2555"/>
    <s v="Karl Knowles"/>
    <s v="Regular Air"/>
    <s v="Home Office"/>
    <x v="0"/>
    <x v="8"/>
    <s v="Small Box"/>
    <s v="Mead 1st Gear 2&quot; Zipper Binder, Asst. Colors"/>
    <n v="0.35"/>
    <s v="United States"/>
    <s v="Central"/>
    <s v="Wisconsin"/>
    <s v="Madison"/>
    <n v="53711"/>
    <d v="2015-02-02T00:00:00"/>
    <d v="2015-02-03T00:00:00"/>
    <n v="180.23490000000001"/>
    <n v="19"/>
    <x v="1434"/>
    <n v="86529"/>
    <n v="4962.99"/>
  </r>
  <r>
    <n v="4.91"/>
    <n v="0.5"/>
    <n v="2555"/>
    <s v="Karl Knowles"/>
    <s v="Regular Air"/>
    <s v="Home Office"/>
    <x v="0"/>
    <x v="9"/>
    <s v="Small Box"/>
    <s v="Avery 508"/>
    <n v="0.36"/>
    <s v="United States"/>
    <s v="Central"/>
    <s v="Wisconsin"/>
    <s v="Madison"/>
    <n v="53711"/>
    <d v="2015-02-02T00:00:00"/>
    <d v="2015-02-02T00:00:00"/>
    <n v="29.525099999999998"/>
    <n v="9"/>
    <x v="1435"/>
    <n v="86529"/>
    <n v="385.11"/>
  </r>
  <r>
    <n v="160.97999999999999"/>
    <n v="30"/>
    <n v="2561"/>
    <s v="Laurie Moon"/>
    <s v="Delivery Truck"/>
    <s v="Consumer"/>
    <x v="1"/>
    <x v="1"/>
    <s v="Jumbo Drum"/>
    <s v="Office Star - Mid Back Dual function Ergonomic High Back Chair with 2-Way Adjustable Arms"/>
    <n v="0.62"/>
    <s v="United States"/>
    <s v="East"/>
    <s v="New York"/>
    <s v="Ossining"/>
    <n v="10562"/>
    <d v="2015-03-22T00:00:00"/>
    <d v="2015-03-25T00:00:00"/>
    <n v="1261.4718"/>
    <n v="11"/>
    <x v="1436"/>
    <n v="86465"/>
    <n v="20110.420000000002"/>
  </r>
  <r>
    <n v="3.98"/>
    <n v="5.26"/>
    <n v="2561"/>
    <s v="Laurie Moon"/>
    <s v="Regular Air"/>
    <s v="Consumer"/>
    <x v="0"/>
    <x v="8"/>
    <s v="Small Box"/>
    <s v="Ibico Presentation Index for Binding Systems"/>
    <n v="0.38"/>
    <s v="United States"/>
    <s v="East"/>
    <s v="New York"/>
    <s v="Ossining"/>
    <n v="10562"/>
    <d v="2015-04-08T00:00:00"/>
    <d v="2015-04-10T00:00:00"/>
    <n v="-59.963760000000001"/>
    <n v="7"/>
    <x v="1437"/>
    <n v="86466"/>
    <n v="208.39"/>
  </r>
  <r>
    <n v="12.22"/>
    <n v="2.85"/>
    <n v="2561"/>
    <s v="Laurie Moon"/>
    <s v="Regular Air"/>
    <s v="Consumer"/>
    <x v="1"/>
    <x v="2"/>
    <s v="Small Pack"/>
    <s v="Aluminum Document Frame"/>
    <n v="0.55000000000000004"/>
    <s v="United States"/>
    <s v="East"/>
    <s v="New York"/>
    <s v="Ossining"/>
    <n v="10562"/>
    <d v="2015-04-08T00:00:00"/>
    <d v="2015-04-08T00:00:00"/>
    <n v="89.4148"/>
    <n v="12"/>
    <x v="1438"/>
    <n v="86466"/>
    <n v="1766.28"/>
  </r>
  <r>
    <n v="4.55"/>
    <n v="1.49"/>
    <n v="2563"/>
    <s v="Karen Warren"/>
    <s v="Regular Air"/>
    <s v="Home Office"/>
    <x v="0"/>
    <x v="8"/>
    <s v="Small Box"/>
    <s v="Presstex Flexible Ring Binders"/>
    <n v="0.35"/>
    <s v="United States"/>
    <s v="Central"/>
    <s v="Minnesota"/>
    <s v="Fridley"/>
    <n v="55432"/>
    <d v="2015-04-08T00:00:00"/>
    <d v="2015-04-09T00:00:00"/>
    <n v="27.0273"/>
    <n v="9"/>
    <x v="1439"/>
    <n v="91447"/>
    <n v="352.53000000000003"/>
  </r>
  <r>
    <n v="4.37"/>
    <n v="5.15"/>
    <n v="2570"/>
    <s v="Yvonne Stephens"/>
    <s v="Regular Air"/>
    <s v="Consumer"/>
    <x v="0"/>
    <x v="15"/>
    <s v="Small Box"/>
    <s v="Eureka Sanitaire ® Multi-Pro Heavy-Duty Upright, Disposable Bags"/>
    <n v="0.59"/>
    <s v="United States"/>
    <s v="West"/>
    <s v="California"/>
    <s v="Davis"/>
    <n v="95616"/>
    <d v="2015-04-25T00:00:00"/>
    <d v="2015-04-27T00:00:00"/>
    <n v="-150.2604"/>
    <n v="19"/>
    <x v="1440"/>
    <n v="90327"/>
    <n v="1669.1499999999999"/>
  </r>
  <r>
    <n v="500.98"/>
    <n v="56"/>
    <n v="2570"/>
    <s v="Yvonne Stephens"/>
    <s v="Delivery Truck"/>
    <s v="Consumer"/>
    <x v="1"/>
    <x v="1"/>
    <s v="Jumbo Drum"/>
    <s v="Global Troy™ Executive Leather Low-Back Tilter"/>
    <n v="0.6"/>
    <s v="United States"/>
    <s v="West"/>
    <s v="California"/>
    <s v="Davis"/>
    <n v="95616"/>
    <d v="2015-04-25T00:00:00"/>
    <d v="2015-04-26T00:00:00"/>
    <n v="4899.1288000000004"/>
    <n v="14"/>
    <x v="1441"/>
    <n v="90327"/>
    <n v="104014.82"/>
  </r>
  <r>
    <n v="12.58"/>
    <n v="5.16"/>
    <n v="2570"/>
    <s v="Yvonne Stephens"/>
    <s v="Regular Air"/>
    <s v="Consumer"/>
    <x v="1"/>
    <x v="2"/>
    <s v="Small Box"/>
    <s v="DAX Copper Panel Document Frame, 5 x 7 Size"/>
    <n v="0.43"/>
    <s v="United States"/>
    <s v="West"/>
    <s v="California"/>
    <s v="Davis"/>
    <n v="95616"/>
    <d v="2015-04-25T00:00:00"/>
    <d v="2015-04-25T00:00:00"/>
    <n v="44.712000000000003"/>
    <n v="18"/>
    <x v="1442"/>
    <n v="90327"/>
    <n v="4037.22"/>
  </r>
  <r>
    <n v="7.7"/>
    <n v="3.68"/>
    <n v="2570"/>
    <s v="Yvonne Stephens"/>
    <s v="Regular Air"/>
    <s v="Consumer"/>
    <x v="1"/>
    <x v="2"/>
    <s v="Wrap Bag"/>
    <s v="Deflect-O® Glasstique™ Clear Desk Accessories"/>
    <n v="0.52"/>
    <s v="United States"/>
    <s v="West"/>
    <s v="California"/>
    <s v="Davis"/>
    <n v="95616"/>
    <d v="2015-04-25T00:00:00"/>
    <d v="2015-04-26T00:00:00"/>
    <n v="-22.626000000000001"/>
    <n v="7"/>
    <x v="1443"/>
    <n v="90327"/>
    <n v="358.40000000000003"/>
  </r>
  <r>
    <n v="500.98"/>
    <n v="56"/>
    <n v="2571"/>
    <s v="Rosemary O'Brien"/>
    <s v="Delivery Truck"/>
    <s v="Consumer"/>
    <x v="1"/>
    <x v="1"/>
    <s v="Jumbo Drum"/>
    <s v="Global Troy™ Executive Leather Low-Back Tilter"/>
    <n v="0.6"/>
    <s v="United States"/>
    <s v="East"/>
    <s v="New York"/>
    <s v="New York City"/>
    <n v="10165"/>
    <d v="2015-04-25T00:00:00"/>
    <d v="2015-04-26T00:00:00"/>
    <n v="4260.1120000000001"/>
    <n v="56"/>
    <x v="1444"/>
    <n v="50656"/>
    <n v="1664237.68"/>
  </r>
  <r>
    <n v="7.7"/>
    <n v="3.68"/>
    <n v="2571"/>
    <s v="Rosemary O'Brien"/>
    <s v="Regular Air"/>
    <s v="Consumer"/>
    <x v="1"/>
    <x v="2"/>
    <s v="Wrap Bag"/>
    <s v="Deflect-O® Glasstique™ Clear Desk Accessories"/>
    <n v="0.52"/>
    <s v="United States"/>
    <s v="East"/>
    <s v="New York"/>
    <s v="New York City"/>
    <n v="10165"/>
    <d v="2015-04-25T00:00:00"/>
    <d v="2015-04-26T00:00:00"/>
    <n v="-25.14"/>
    <n v="27"/>
    <x v="1445"/>
    <n v="50656"/>
    <n v="5331.96"/>
  </r>
  <r>
    <n v="8.6"/>
    <n v="6.19"/>
    <n v="2578"/>
    <s v="Kent Gill"/>
    <s v="Regular Air"/>
    <s v="Home Office"/>
    <x v="0"/>
    <x v="8"/>
    <s v="Small Box"/>
    <s v="Avery Printable Repositionable Plastic Tabs"/>
    <n v="0.38"/>
    <s v="United States"/>
    <s v="South"/>
    <s v="Alabama"/>
    <s v="Opelika"/>
    <n v="36801"/>
    <d v="2015-05-02T00:00:00"/>
    <d v="2015-05-04T00:00:00"/>
    <n v="309.71159999999998"/>
    <n v="5"/>
    <x v="1446"/>
    <n v="88298"/>
    <n v="234.25"/>
  </r>
  <r>
    <n v="3.58"/>
    <n v="1.63"/>
    <n v="2578"/>
    <s v="Kent Gill"/>
    <s v="Regular Air"/>
    <s v="Home Office"/>
    <x v="0"/>
    <x v="3"/>
    <s v="Wrap Bag"/>
    <s v="OIC Colored Binder Clips, Assorted Sizes"/>
    <n v="0.36"/>
    <s v="United States"/>
    <s v="South"/>
    <s v="Alabama"/>
    <s v="Opelika"/>
    <n v="36801"/>
    <d v="2015-05-02T00:00:00"/>
    <d v="2015-05-06T00:00:00"/>
    <n v="-128.85599999999999"/>
    <n v="26"/>
    <x v="1447"/>
    <n v="88298"/>
    <n v="2432.8199999999997"/>
  </r>
  <r>
    <n v="105.49"/>
    <n v="41.64"/>
    <n v="2578"/>
    <s v="Kent Gill"/>
    <s v="Delivery Truck"/>
    <s v="Home Office"/>
    <x v="1"/>
    <x v="11"/>
    <s v="Jumbo Box"/>
    <s v="Balt Solid Wood Rectangular Table"/>
    <n v="0.75"/>
    <s v="United States"/>
    <s v="South"/>
    <s v="Alabama"/>
    <s v="Opelika"/>
    <n v="36801"/>
    <d v="2015-05-02T00:00:00"/>
    <d v="2015-05-09T00:00:00"/>
    <n v="-36.945999999999998"/>
    <n v="34"/>
    <x v="1448"/>
    <n v="88298"/>
    <n v="91612.659999999989"/>
  </r>
  <r>
    <n v="212.6"/>
    <n v="52.2"/>
    <n v="2579"/>
    <s v="Marshall Sutherland"/>
    <s v="Delivery Truck"/>
    <s v="Home Office"/>
    <x v="1"/>
    <x v="11"/>
    <s v="Jumbo Box"/>
    <s v="Bush Advantage Collection® Round Conference Table"/>
    <n v="0.64"/>
    <s v="United States"/>
    <s v="South"/>
    <s v="Alabama"/>
    <s v="Phenix City"/>
    <n v="36869"/>
    <d v="2015-01-03T00:00:00"/>
    <d v="2015-01-04T00:00:00"/>
    <n v="-274.49799999999999"/>
    <n v="1"/>
    <x v="1449"/>
    <n v="88296"/>
    <n v="174.5"/>
  </r>
  <r>
    <n v="1.76"/>
    <n v="4.8600000000000003"/>
    <n v="2579"/>
    <s v="Marshall Sutherland"/>
    <s v="Regular Air"/>
    <s v="Home Office"/>
    <x v="1"/>
    <x v="2"/>
    <s v="Small Box"/>
    <s v="Regeneration Desk Collection"/>
    <n v="0.41"/>
    <s v="United States"/>
    <s v="South"/>
    <s v="Alabama"/>
    <s v="Phenix City"/>
    <n v="36869"/>
    <d v="2015-01-17T00:00:00"/>
    <d v="2015-01-17T00:00:00"/>
    <n v="0.58799999999999997"/>
    <n v="15"/>
    <x v="1450"/>
    <n v="88297"/>
    <n v="390.15000000000003"/>
  </r>
  <r>
    <n v="510.14"/>
    <n v="14.7"/>
    <n v="2583"/>
    <s v="Wendy Pridgen Pearce"/>
    <s v="Delivery Truck"/>
    <s v="Home Office"/>
    <x v="2"/>
    <x v="6"/>
    <s v="Jumbo Drum"/>
    <s v="Okidata ML520 Series Dot Matrix Printers"/>
    <n v="0.56000000000000005"/>
    <s v="United States"/>
    <s v="Central"/>
    <s v="Michigan"/>
    <s v="Holland"/>
    <n v="49423"/>
    <d v="2015-06-07T00:00:00"/>
    <d v="2015-06-09T00:00:00"/>
    <n v="-251.40389999999999"/>
    <n v="3"/>
    <x v="1451"/>
    <n v="89657"/>
    <n v="4583.91"/>
  </r>
  <r>
    <n v="4.76"/>
    <n v="3.01"/>
    <n v="2583"/>
    <s v="Wendy Pridgen Pearce"/>
    <s v="Regular Air"/>
    <s v="Home Office"/>
    <x v="0"/>
    <x v="7"/>
    <s v="Wrap Bag"/>
    <s v="TOPS Voice Message Log Book, Flash Format"/>
    <n v="0.36"/>
    <s v="United States"/>
    <s v="Central"/>
    <s v="Michigan"/>
    <s v="Holland"/>
    <n v="49423"/>
    <d v="2015-06-07T00:00:00"/>
    <d v="2015-06-09T00:00:00"/>
    <n v="-2.3450000000000002"/>
    <n v="23"/>
    <x v="1452"/>
    <n v="89657"/>
    <n v="2549.7800000000002"/>
  </r>
  <r>
    <n v="6.3"/>
    <n v="0.5"/>
    <n v="2584"/>
    <s v="Seth Matthews"/>
    <s v="Regular Air"/>
    <s v="Home Office"/>
    <x v="0"/>
    <x v="9"/>
    <s v="Small Box"/>
    <s v="Avery 48"/>
    <n v="0.39"/>
    <s v="United States"/>
    <s v="Central"/>
    <s v="Michigan"/>
    <s v="Inkster"/>
    <n v="48141"/>
    <d v="2015-06-09T00:00:00"/>
    <d v="2015-06-11T00:00:00"/>
    <n v="67.606200000000001"/>
    <n v="15"/>
    <x v="1453"/>
    <n v="89658"/>
    <n v="1469.7"/>
  </r>
  <r>
    <n v="6.48"/>
    <n v="6.57"/>
    <n v="2587"/>
    <s v="Eugene H Walsh"/>
    <s v="Express Air"/>
    <s v="Home Office"/>
    <x v="0"/>
    <x v="7"/>
    <s v="Small Box"/>
    <s v="Xerox 20"/>
    <n v="0.37"/>
    <s v="United States"/>
    <s v="Central"/>
    <s v="Wisconsin"/>
    <s v="Manitowoc"/>
    <n v="54220"/>
    <d v="2015-02-28T00:00:00"/>
    <d v="2015-02-28T00:00:00"/>
    <n v="-46.5244"/>
    <n v="18"/>
    <x v="1454"/>
    <n v="91166"/>
    <n v="2300.94"/>
  </r>
  <r>
    <n v="22.72"/>
    <n v="8.99"/>
    <n v="2587"/>
    <s v="Eugene H Walsh"/>
    <s v="Regular Air"/>
    <s v="Home Office"/>
    <x v="1"/>
    <x v="2"/>
    <s v="Small Pack"/>
    <s v="Executive Impressions 14&quot; Two-Color Numerals Wall Clock"/>
    <n v="0.44"/>
    <s v="United States"/>
    <s v="Central"/>
    <s v="Wisconsin"/>
    <s v="Manitowoc"/>
    <n v="54220"/>
    <d v="2015-06-26T00:00:00"/>
    <d v="2015-06-26T00:00:00"/>
    <n v="200.0172"/>
    <n v="12"/>
    <x v="1455"/>
    <n v="91167"/>
    <n v="3478.56"/>
  </r>
  <r>
    <n v="419.19"/>
    <n v="19.989999999999998"/>
    <n v="2593"/>
    <s v="Anne Schultz"/>
    <s v="Regular Air"/>
    <s v="Corporate"/>
    <x v="0"/>
    <x v="10"/>
    <s v="Small Box"/>
    <s v="Smead Adjustable Mobile File Trolley with Lockable Top"/>
    <n v="0.57999999999999996"/>
    <s v="United States"/>
    <s v="South"/>
    <s v="Georgia"/>
    <s v="Athens"/>
    <n v="30605"/>
    <d v="2015-04-17T00:00:00"/>
    <d v="2015-04-17T00:00:00"/>
    <n v="-39.606000000000002"/>
    <n v="10"/>
    <x v="1456"/>
    <n v="87772"/>
    <n v="43545.5"/>
  </r>
  <r>
    <n v="85.99"/>
    <n v="0.99"/>
    <n v="2593"/>
    <s v="Anne Schultz"/>
    <s v="Regular Air"/>
    <s v="Corporate"/>
    <x v="2"/>
    <x v="5"/>
    <s v="Wrap Bag"/>
    <s v="Accessory4"/>
    <n v="0.85"/>
    <s v="United States"/>
    <s v="South"/>
    <s v="Georgia"/>
    <s v="Athens"/>
    <n v="30605"/>
    <d v="2015-03-12T00:00:00"/>
    <d v="2015-03-17T00:00:00"/>
    <n v="311.73"/>
    <n v="2"/>
    <x v="1457"/>
    <n v="87773"/>
    <n v="292.33999999999997"/>
  </r>
  <r>
    <n v="5.74"/>
    <n v="5.3"/>
    <n v="2601"/>
    <s v="Malcolm French"/>
    <s v="Regular Air"/>
    <s v="Corporate"/>
    <x v="0"/>
    <x v="12"/>
    <s v="Small Pack"/>
    <s v="Acme Kleencut® Forged Steel Scissors"/>
    <n v="0.55000000000000004"/>
    <s v="United States"/>
    <s v="East"/>
    <s v="New Hampshire"/>
    <s v="Merrimack"/>
    <n v="3054"/>
    <d v="2015-03-21T00:00:00"/>
    <d v="2015-03-26T00:00:00"/>
    <n v="-50.75"/>
    <n v="7"/>
    <x v="1458"/>
    <n v="87382"/>
    <n v="294.14000000000004"/>
  </r>
  <r>
    <n v="200.99"/>
    <n v="4.2"/>
    <n v="2603"/>
    <s v="Penny Leach"/>
    <s v="Regular Air"/>
    <s v="Corporate"/>
    <x v="2"/>
    <x v="5"/>
    <s v="Small Box"/>
    <s v="2160i"/>
    <n v="0.59"/>
    <s v="United States"/>
    <s v="East"/>
    <s v="New Jersey"/>
    <s v="Hackensack"/>
    <n v="7601"/>
    <d v="2015-04-05T00:00:00"/>
    <d v="2015-04-06T00:00:00"/>
    <n v="2225.0761200000002"/>
    <n v="22"/>
    <x v="1459"/>
    <n v="87383"/>
    <n v="81513.08"/>
  </r>
  <r>
    <n v="297.48"/>
    <n v="18.059999999999999"/>
    <n v="2604"/>
    <s v="Gina Curry"/>
    <s v="Delivery Truck"/>
    <s v="Corporate"/>
    <x v="2"/>
    <x v="6"/>
    <s v="Jumbo Drum"/>
    <s v="Panasonic KX-P3200 Dot Matrix Printer"/>
    <n v="0.6"/>
    <s v="United States"/>
    <s v="East"/>
    <s v="New Jersey"/>
    <s v="Iselin"/>
    <n v="8830"/>
    <d v="2015-04-05T00:00:00"/>
    <d v="2015-04-06T00:00:00"/>
    <n v="-338.18083200000001"/>
    <n v="3"/>
    <x v="1460"/>
    <n v="87383"/>
    <n v="2836.08"/>
  </r>
  <r>
    <n v="5.4"/>
    <n v="7.78"/>
    <n v="2610"/>
    <s v="Tommy Lutz"/>
    <s v="Regular Air"/>
    <s v="Corporate"/>
    <x v="0"/>
    <x v="8"/>
    <s v="Small Box"/>
    <s v="3M Organizer Strips"/>
    <n v="0.37"/>
    <s v="United States"/>
    <s v="West"/>
    <s v="California"/>
    <s v="Davis"/>
    <n v="95616"/>
    <d v="2015-05-16T00:00:00"/>
    <d v="2015-05-17T00:00:00"/>
    <n v="-136.25200000000001"/>
    <n v="9"/>
    <x v="1461"/>
    <n v="86118"/>
    <n v="443.16"/>
  </r>
  <r>
    <n v="50.98"/>
    <n v="13.66"/>
    <n v="2613"/>
    <s v="Anthony Stanley"/>
    <s v="Express Air"/>
    <s v="Corporate"/>
    <x v="0"/>
    <x v="15"/>
    <s v="Small Box"/>
    <s v="Eureka The Boss® Cordless Rechargeable Stick Vac"/>
    <n v="0.57999999999999996"/>
    <s v="United States"/>
    <s v="East"/>
    <s v="New Jersey"/>
    <s v="Fords"/>
    <n v="8863"/>
    <d v="2015-01-24T00:00:00"/>
    <d v="2015-01-24T00:00:00"/>
    <n v="-25.76"/>
    <n v="1"/>
    <x v="1462"/>
    <n v="86119"/>
    <n v="68.45"/>
  </r>
  <r>
    <n v="2.6"/>
    <n v="2.4"/>
    <n v="2616"/>
    <s v="Laurence Hull"/>
    <s v="Regular Air"/>
    <s v="Corporate"/>
    <x v="0"/>
    <x v="0"/>
    <s v="Wrap Bag"/>
    <s v="12 Colored Short Pencils"/>
    <n v="0.57999999999999996"/>
    <s v="United States"/>
    <s v="Central"/>
    <s v="Michigan"/>
    <s v="Portage"/>
    <n v="49002"/>
    <d v="2015-03-11T00:00:00"/>
    <d v="2015-03-13T00:00:00"/>
    <n v="-45.21"/>
    <n v="16"/>
    <x v="1283"/>
    <n v="91495"/>
    <n v="716"/>
  </r>
  <r>
    <n v="3.25"/>
    <n v="49"/>
    <n v="2617"/>
    <s v="Gerald Crabtree"/>
    <s v="Regular Air"/>
    <s v="Corporate"/>
    <x v="0"/>
    <x v="15"/>
    <s v="Large Box"/>
    <s v="Bravo II™ Megaboss® 12-Amp Hard Body Upright, Replacement Belts, 2 Belts per Pack"/>
    <n v="0.56000000000000005"/>
    <s v="United States"/>
    <s v="Central"/>
    <s v="South Dakota"/>
    <s v="Aberdeen"/>
    <n v="57401"/>
    <d v="2015-06-27T00:00:00"/>
    <d v="2015-06-28T00:00:00"/>
    <n v="-286.245"/>
    <n v="6"/>
    <x v="1463"/>
    <n v="91496"/>
    <n v="244.14"/>
  </r>
  <r>
    <n v="7.64"/>
    <n v="1.39"/>
    <n v="2618"/>
    <s v="Amy Hamrick Melvin"/>
    <s v="Regular Air"/>
    <s v="Corporate"/>
    <x v="0"/>
    <x v="4"/>
    <s v="Small Box"/>
    <s v="Security-Tint Envelopes"/>
    <n v="0.36"/>
    <s v="United States"/>
    <s v="East"/>
    <s v="New York"/>
    <s v="New York City"/>
    <n v="10004"/>
    <d v="2015-01-17T00:00:00"/>
    <d v="2015-01-19T00:00:00"/>
    <n v="16.12"/>
    <n v="18"/>
    <x v="1464"/>
    <n v="46884"/>
    <n v="2341.9800000000005"/>
  </r>
  <r>
    <n v="125.99"/>
    <n v="2.5"/>
    <n v="2618"/>
    <s v="Amy Hamrick Melvin"/>
    <s v="Regular Air"/>
    <s v="Corporate"/>
    <x v="2"/>
    <x v="5"/>
    <s v="Small Box"/>
    <n v="6162"/>
    <n v="0.59"/>
    <s v="United States"/>
    <s v="East"/>
    <s v="New York"/>
    <s v="New York City"/>
    <n v="10004"/>
    <d v="2015-01-17T00:00:00"/>
    <d v="2015-01-19T00:00:00"/>
    <n v="-815.9008"/>
    <n v="3"/>
    <x v="1465"/>
    <n v="46884"/>
    <n v="1012.02"/>
  </r>
  <r>
    <n v="11.55"/>
    <n v="2.36"/>
    <n v="2618"/>
    <s v="Amy Hamrick Melvin"/>
    <s v="Regular Air"/>
    <s v="Corporate"/>
    <x v="0"/>
    <x v="0"/>
    <s v="Wrap Bag"/>
    <s v="Newell 309"/>
    <n v="0.55000000000000004"/>
    <s v="United States"/>
    <s v="East"/>
    <s v="New York"/>
    <s v="New York City"/>
    <n v="10004"/>
    <d v="2015-01-17T00:00:00"/>
    <d v="2015-01-18T00:00:00"/>
    <n v="15.808"/>
    <n v="25"/>
    <x v="1466"/>
    <n v="46884"/>
    <n v="7010.75"/>
  </r>
  <r>
    <n v="4.84"/>
    <n v="0.71"/>
    <n v="2618"/>
    <s v="Amy Hamrick Melvin"/>
    <s v="Express Air"/>
    <s v="Corporate"/>
    <x v="0"/>
    <x v="0"/>
    <s v="Wrap Bag"/>
    <s v="*Staples* Highlighting Markers"/>
    <n v="0.52"/>
    <s v="United States"/>
    <s v="East"/>
    <s v="New York"/>
    <s v="New York City"/>
    <n v="10004"/>
    <d v="2015-03-23T00:00:00"/>
    <d v="2015-03-23T00:00:00"/>
    <n v="29.17"/>
    <n v="20"/>
    <x v="1467"/>
    <n v="34017"/>
    <n v="2067.8000000000002"/>
  </r>
  <r>
    <n v="14.98"/>
    <n v="7.69"/>
    <n v="2618"/>
    <s v="Amy Hamrick Melvin"/>
    <s v="Regular Air"/>
    <s v="Corporate"/>
    <x v="0"/>
    <x v="10"/>
    <s v="Small Box"/>
    <s v="Super Decoflex Portable Personal File"/>
    <n v="0.56999999999999995"/>
    <s v="United States"/>
    <s v="East"/>
    <s v="New York"/>
    <s v="New York City"/>
    <n v="10004"/>
    <d v="2015-03-23T00:00:00"/>
    <d v="2015-03-25T00:00:00"/>
    <n v="-48.97"/>
    <n v="28"/>
    <x v="1468"/>
    <n v="34017"/>
    <n v="12190.92"/>
  </r>
  <r>
    <n v="20.27"/>
    <n v="3.99"/>
    <n v="2618"/>
    <s v="Amy Hamrick Melvin"/>
    <s v="Regular Air"/>
    <s v="Corporate"/>
    <x v="0"/>
    <x v="15"/>
    <s v="Small Box"/>
    <s v="Fellowes Mighty 8 Compact Surge Protector"/>
    <n v="0.56999999999999995"/>
    <s v="United States"/>
    <s v="East"/>
    <s v="New York"/>
    <s v="New York City"/>
    <n v="10004"/>
    <d v="2015-03-23T00:00:00"/>
    <d v="2015-03-24T00:00:00"/>
    <n v="84.05"/>
    <n v="53"/>
    <x v="1469"/>
    <n v="53153"/>
    <n v="55730.559999999998"/>
  </r>
  <r>
    <n v="4.84"/>
    <n v="0.71"/>
    <n v="2619"/>
    <s v="Brandon E Shepherd"/>
    <s v="Express Air"/>
    <s v="Corporate"/>
    <x v="0"/>
    <x v="0"/>
    <s v="Wrap Bag"/>
    <s v="*Staples* Highlighting Markers"/>
    <n v="0.52"/>
    <s v="United States"/>
    <s v="Central"/>
    <s v="South Dakota"/>
    <s v="Sioux Falls"/>
    <n v="57103"/>
    <d v="2015-03-23T00:00:00"/>
    <d v="2015-03-23T00:00:00"/>
    <n v="17.836500000000001"/>
    <n v="5"/>
    <x v="1470"/>
    <n v="88014"/>
    <n v="129.25"/>
  </r>
  <r>
    <n v="30.98"/>
    <n v="8.99"/>
    <n v="2619"/>
    <s v="Brandon E Shepherd"/>
    <s v="Regular Air"/>
    <s v="Corporate"/>
    <x v="0"/>
    <x v="0"/>
    <s v="Small Pack"/>
    <s v="Boston School Pro Electric Pencil Sharpener, 1670"/>
    <n v="0.57999999999999996"/>
    <s v="United States"/>
    <s v="Central"/>
    <s v="South Dakota"/>
    <s v="Sioux Falls"/>
    <n v="57103"/>
    <d v="2015-02-09T00:00:00"/>
    <d v="2015-02-11T00:00:00"/>
    <n v="-20.222799999999999"/>
    <n v="4"/>
    <x v="1471"/>
    <n v="88015"/>
    <n v="477.48"/>
  </r>
  <r>
    <n v="20.27"/>
    <n v="3.99"/>
    <n v="2620"/>
    <s v="Phyllis Little"/>
    <s v="Regular Air"/>
    <s v="Corporate"/>
    <x v="0"/>
    <x v="15"/>
    <s v="Small Box"/>
    <s v="Fellowes Mighty 8 Compact Surge Protector"/>
    <n v="0.56999999999999995"/>
    <s v="United States"/>
    <s v="South"/>
    <s v="Tennessee"/>
    <s v="Bartlett"/>
    <n v="38134"/>
    <d v="2015-03-23T00:00:00"/>
    <d v="2015-03-24T00:00:00"/>
    <n v="381.61799999999999"/>
    <n v="13"/>
    <x v="1472"/>
    <n v="88017"/>
    <n v="3352.96"/>
  </r>
  <r>
    <n v="40.97"/>
    <n v="8.99"/>
    <n v="2621"/>
    <s v="Robyn Hayes"/>
    <s v="Express Air"/>
    <s v="Corporate"/>
    <x v="0"/>
    <x v="0"/>
    <s v="Small Pack"/>
    <s v="Sanford 52201 APSCO Electric Pencil Sharpener"/>
    <n v="0.59"/>
    <s v="United States"/>
    <s v="South"/>
    <s v="Tennessee"/>
    <s v="Brentwood"/>
    <n v="37027"/>
    <d v="2015-03-19T00:00:00"/>
    <d v="2015-03-20T00:00:00"/>
    <n v="-177.05799999999999"/>
    <n v="5"/>
    <x v="1473"/>
    <n v="88016"/>
    <n v="1036.0999999999999"/>
  </r>
  <r>
    <n v="41.94"/>
    <n v="2.99"/>
    <n v="2626"/>
    <s v="Lillian Fischer"/>
    <s v="Regular Air"/>
    <s v="Consumer"/>
    <x v="0"/>
    <x v="8"/>
    <s v="Small Box"/>
    <s v="Avery Trapezoid Extra Heavy Duty 4&quot; Binders"/>
    <n v="0.35"/>
    <s v="United States"/>
    <s v="West"/>
    <s v="California"/>
    <s v="Menlo Park"/>
    <n v="94025"/>
    <d v="2015-02-07T00:00:00"/>
    <d v="2015-02-08T00:00:00"/>
    <n v="164.08199999999999"/>
    <n v="6"/>
    <x v="1474"/>
    <n v="90927"/>
    <n v="1426.8000000000002"/>
  </r>
  <r>
    <n v="30.53"/>
    <n v="19.989999999999998"/>
    <n v="2628"/>
    <s v="Danielle P Rao"/>
    <s v="Express Air"/>
    <s v="Corporate"/>
    <x v="0"/>
    <x v="9"/>
    <s v="Small Box"/>
    <s v="Avery 4027 File Folder Labels for Dot Matrix Printers, 5000 Labels per Box, White"/>
    <n v="0.39"/>
    <s v="United States"/>
    <s v="Central"/>
    <s v="Oklahoma"/>
    <s v="Moore"/>
    <n v="73160"/>
    <d v="2015-01-17T00:00:00"/>
    <d v="2015-01-19T00:00:00"/>
    <n v="-54.63"/>
    <n v="14"/>
    <x v="1475"/>
    <n v="85916"/>
    <n v="6278.58"/>
  </r>
  <r>
    <n v="194.3"/>
    <n v="11.54"/>
    <n v="2630"/>
    <s v="Betsy Puckett"/>
    <s v="Regular Air"/>
    <s v="Small Business"/>
    <x v="1"/>
    <x v="2"/>
    <s v="Large Box"/>
    <s v="Electrix Halogen Magnifier Lamp"/>
    <n v="0.59"/>
    <s v="United States"/>
    <s v="Central"/>
    <s v="Oklahoma"/>
    <s v="Norman"/>
    <n v="73071"/>
    <d v="2015-01-05T00:00:00"/>
    <d v="2015-01-07T00:00:00"/>
    <n v="690.17939999999999"/>
    <n v="5"/>
    <x v="1476"/>
    <n v="85914"/>
    <n v="5001.3"/>
  </r>
  <r>
    <n v="209.84"/>
    <n v="21.21"/>
    <n v="2630"/>
    <s v="Betsy Puckett"/>
    <s v="Regular Air"/>
    <s v="Small Business"/>
    <x v="1"/>
    <x v="2"/>
    <s v="Large Box"/>
    <s v="Luxo Professional Fluorescent Magnifier Lamp with Clamp-Mount Base"/>
    <n v="0.59"/>
    <s v="United States"/>
    <s v="Central"/>
    <s v="Oklahoma"/>
    <s v="Norman"/>
    <n v="73071"/>
    <d v="2015-01-05T00:00:00"/>
    <d v="2015-01-06T00:00:00"/>
    <n v="1507.6431"/>
    <n v="10"/>
    <x v="1477"/>
    <n v="85914"/>
    <n v="21849.899999999998"/>
  </r>
  <r>
    <n v="145.44999999999999"/>
    <n v="17.850000000000001"/>
    <n v="2630"/>
    <s v="Betsy Puckett"/>
    <s v="Delivery Truck"/>
    <s v="Small Business"/>
    <x v="2"/>
    <x v="6"/>
    <s v="Jumbo Drum"/>
    <s v="Panasonic KX-P1150 Dot Matrix Printer"/>
    <n v="0.56000000000000005"/>
    <s v="United States"/>
    <s v="Central"/>
    <s v="Oklahoma"/>
    <s v="Norman"/>
    <n v="73071"/>
    <d v="2015-01-05T00:00:00"/>
    <d v="2015-01-07T00:00:00"/>
    <n v="801.74680000000001"/>
    <n v="8"/>
    <x v="1478"/>
    <n v="85914"/>
    <n v="9529.6"/>
  </r>
  <r>
    <n v="65.989999999999995"/>
    <n v="5.99"/>
    <n v="2630"/>
    <s v="Betsy Puckett"/>
    <s v="Regular Air"/>
    <s v="Small Business"/>
    <x v="2"/>
    <x v="5"/>
    <s v="Small Box"/>
    <s v="i1000"/>
    <n v="0.57999999999999996"/>
    <s v="United States"/>
    <s v="Central"/>
    <s v="Oklahoma"/>
    <s v="Norman"/>
    <n v="73071"/>
    <d v="2015-01-07T00:00:00"/>
    <d v="2015-01-08T00:00:00"/>
    <n v="-139.18256"/>
    <n v="3"/>
    <x v="1479"/>
    <n v="85915"/>
    <n v="497.13"/>
  </r>
  <r>
    <n v="100.97"/>
    <n v="7.18"/>
    <n v="2638"/>
    <s v="Alicia Wood Shah"/>
    <s v="Express Air"/>
    <s v="Consumer"/>
    <x v="2"/>
    <x v="13"/>
    <s v="Small Box"/>
    <s v="Gyration Ultra Cordless Optical Suite"/>
    <n v="0.46"/>
    <s v="United States"/>
    <s v="West"/>
    <s v="Idaho"/>
    <s v="Boise"/>
    <n v="83704"/>
    <d v="2015-06-08T00:00:00"/>
    <d v="2015-06-08T00:00:00"/>
    <n v="881.46810000000005"/>
    <n v="13"/>
    <x v="1480"/>
    <n v="90951"/>
    <n v="16607.37"/>
  </r>
  <r>
    <n v="4.9800000000000004"/>
    <n v="0.49"/>
    <n v="2639"/>
    <s v="Marianne Connor"/>
    <s v="Regular Air"/>
    <s v="Consumer"/>
    <x v="0"/>
    <x v="9"/>
    <s v="Small Box"/>
    <s v="Avery White Multi-Purpose Labels"/>
    <n v="0.39"/>
    <s v="United States"/>
    <s v="West"/>
    <s v="New Mexico"/>
    <s v="Roswell"/>
    <n v="88201"/>
    <d v="2015-03-19T00:00:00"/>
    <d v="2015-03-19T00:00:00"/>
    <n v="3.84"/>
    <n v="3"/>
    <x v="1481"/>
    <n v="90952"/>
    <n v="42.599999999999994"/>
  </r>
  <r>
    <n v="10.98"/>
    <n v="3.99"/>
    <n v="2647"/>
    <s v="Teresa Bishop"/>
    <s v="Regular Air"/>
    <s v="Corporate"/>
    <x v="0"/>
    <x v="15"/>
    <s v="Small Box"/>
    <s v="Staples Surge Protector 6 outlet"/>
    <n v="0.57999999999999996"/>
    <s v="United States"/>
    <s v="West"/>
    <s v="California"/>
    <s v="Bakersfield"/>
    <n v="93309"/>
    <d v="2015-03-17T00:00:00"/>
    <d v="2015-03-24T00:00:00"/>
    <n v="-21.03"/>
    <n v="5"/>
    <x v="1482"/>
    <n v="91386"/>
    <n v="261.05"/>
  </r>
  <r>
    <n v="39.979999999999997"/>
    <n v="9.1999999999999993"/>
    <n v="2647"/>
    <s v="Teresa Bishop"/>
    <s v="Regular Air"/>
    <s v="Corporate"/>
    <x v="1"/>
    <x v="2"/>
    <s v="Wrap Bag"/>
    <s v="Eldon Radial Chair Mat for Low to Medium Pile Carpets"/>
    <n v="0.65"/>
    <s v="United States"/>
    <s v="West"/>
    <s v="California"/>
    <s v="Bakersfield"/>
    <n v="93309"/>
    <d v="2015-03-17T00:00:00"/>
    <d v="2015-03-19T00:00:00"/>
    <n v="117.52079999999999"/>
    <n v="4"/>
    <x v="1483"/>
    <n v="91386"/>
    <n v="681.28"/>
  </r>
  <r>
    <n v="39.979999999999997"/>
    <n v="4"/>
    <n v="2649"/>
    <s v="Leo J Olson"/>
    <s v="Regular Air"/>
    <s v="Corporate"/>
    <x v="2"/>
    <x v="13"/>
    <s v="Small Box"/>
    <s v="Microsoft Natural Keyboard Elite"/>
    <n v="0.7"/>
    <s v="United States"/>
    <s v="East"/>
    <s v="Maryland"/>
    <s v="Edgewood"/>
    <n v="21040"/>
    <d v="2015-06-11T00:00:00"/>
    <d v="2015-06-12T00:00:00"/>
    <n v="-30.808"/>
    <n v="5"/>
    <x v="1484"/>
    <n v="88814"/>
    <n v="1016.4499999999999"/>
  </r>
  <r>
    <n v="35.99"/>
    <n v="5.99"/>
    <n v="2650"/>
    <s v="Joanne Chu"/>
    <s v="Regular Air"/>
    <s v="Corporate"/>
    <x v="2"/>
    <x v="5"/>
    <s v="Wrap Bag"/>
    <s v="Accessory41"/>
    <n v="0.38"/>
    <s v="United States"/>
    <s v="East"/>
    <s v="Pennsylvania"/>
    <s v="Baldwin"/>
    <n v="15234"/>
    <d v="2015-05-04T00:00:00"/>
    <d v="2015-05-05T00:00:00"/>
    <n v="524.31719999999996"/>
    <n v="26"/>
    <x v="1485"/>
    <n v="88815"/>
    <n v="19756.88"/>
  </r>
  <r>
    <n v="47.9"/>
    <n v="5.86"/>
    <n v="2652"/>
    <s v="Brenda Ross"/>
    <s v="Regular Air"/>
    <s v="Consumer"/>
    <x v="0"/>
    <x v="7"/>
    <s v="Small Box"/>
    <s v="Xerox 1938"/>
    <n v="0.37"/>
    <s v="United States"/>
    <s v="West"/>
    <s v="California"/>
    <s v="Bakersfield"/>
    <n v="93309"/>
    <d v="2015-05-25T00:00:00"/>
    <d v="2015-05-27T00:00:00"/>
    <n v="21.78"/>
    <n v="2"/>
    <x v="1486"/>
    <n v="89361"/>
    <n v="188.4"/>
  </r>
  <r>
    <n v="4.9800000000000004"/>
    <n v="4.62"/>
    <n v="2653"/>
    <s v="Leo Kane"/>
    <s v="Regular Air"/>
    <s v="Consumer"/>
    <x v="2"/>
    <x v="13"/>
    <s v="Small Pack"/>
    <s v="Imation 3.5&quot;, DISKETTE 44766 HGHLD3.52HD/FM, 10/Pack"/>
    <n v="0.64"/>
    <s v="United States"/>
    <s v="Central"/>
    <s v="Kansas"/>
    <s v="Derby"/>
    <n v="67037"/>
    <d v="2015-02-22T00:00:00"/>
    <d v="2015-02-23T00:00:00"/>
    <n v="-98.35"/>
    <n v="7"/>
    <x v="1487"/>
    <n v="89360"/>
    <n v="240.24"/>
  </r>
  <r>
    <n v="34.229999999999997"/>
    <n v="5.0199999999999996"/>
    <n v="2653"/>
    <s v="Leo Kane"/>
    <s v="Regular Air"/>
    <s v="Consumer"/>
    <x v="1"/>
    <x v="2"/>
    <s v="Small Box"/>
    <s v="Hand-Finished Solid Wood Document Frame"/>
    <n v="0.55000000000000004"/>
    <s v="United States"/>
    <s v="Central"/>
    <s v="Kansas"/>
    <s v="Derby"/>
    <n v="67037"/>
    <d v="2015-02-22T00:00:00"/>
    <d v="2015-02-24T00:00:00"/>
    <n v="270.79050000000001"/>
    <n v="11"/>
    <x v="1488"/>
    <n v="89360"/>
    <n v="4316.95"/>
  </r>
  <r>
    <n v="89.99"/>
    <n v="42"/>
    <n v="2655"/>
    <s v="Benjamin Lam"/>
    <s v="Delivery Truck"/>
    <s v="Consumer"/>
    <x v="1"/>
    <x v="1"/>
    <s v="Jumbo Drum"/>
    <s v="Global Leather Task Chair, Black"/>
    <n v="0.66"/>
    <s v="United States"/>
    <s v="South"/>
    <s v="Georgia"/>
    <s v="Atlanta"/>
    <n v="30318"/>
    <d v="2015-04-18T00:00:00"/>
    <d v="2015-04-18T00:00:00"/>
    <n v="223.416"/>
    <n v="6"/>
    <x v="1489"/>
    <n v="86063"/>
    <n v="3067.5"/>
  </r>
  <r>
    <n v="2.94"/>
    <n v="0.81"/>
    <n v="2655"/>
    <s v="Benjamin Lam"/>
    <s v="Regular Air"/>
    <s v="Corporate"/>
    <x v="0"/>
    <x v="0"/>
    <s v="Wrap Bag"/>
    <s v="Prang Colored Pencils"/>
    <n v="0.4"/>
    <s v="United States"/>
    <s v="South"/>
    <s v="Georgia"/>
    <s v="Atlanta"/>
    <n v="30318"/>
    <d v="2015-04-08T00:00:00"/>
    <d v="2015-04-09T00:00:00"/>
    <n v="-93.927400000000006"/>
    <n v="10"/>
    <x v="1490"/>
    <n v="86064"/>
    <n v="298.8"/>
  </r>
  <r>
    <n v="138.13999999999999"/>
    <n v="35"/>
    <n v="2660"/>
    <s v="Jeffrey Page"/>
    <s v="Regular Air"/>
    <s v="Small Business"/>
    <x v="0"/>
    <x v="10"/>
    <s v="Large Box"/>
    <s v="SAFCO Commercial Wire Shelving, Black"/>
    <m/>
    <s v="United States"/>
    <s v="East"/>
    <s v="Maine"/>
    <s v="Gorham"/>
    <n v="4038"/>
    <d v="2015-02-24T00:00:00"/>
    <d v="2015-02-26T00:00:00"/>
    <n v="-321.51"/>
    <n v="4"/>
    <x v="1491"/>
    <n v="86486"/>
    <n v="2396.12"/>
  </r>
  <r>
    <n v="90.24"/>
    <n v="0.99"/>
    <n v="2667"/>
    <s v="Pat Baker"/>
    <s v="Regular Air"/>
    <s v="Home Office"/>
    <x v="0"/>
    <x v="15"/>
    <s v="Small Box"/>
    <s v="Kensington 6 Outlet MasterPiece® HOMEOFFICE Power Control Center"/>
    <n v="0.56000000000000005"/>
    <s v="United States"/>
    <s v="East"/>
    <s v="Ohio"/>
    <s v="Lakewood"/>
    <n v="44107"/>
    <d v="2015-04-02T00:00:00"/>
    <d v="2015-04-04T00:00:00"/>
    <n v="246.2748"/>
    <n v="4"/>
    <x v="1492"/>
    <n v="87831"/>
    <n v="1427.68"/>
  </r>
  <r>
    <n v="47.9"/>
    <n v="5.86"/>
    <n v="2667"/>
    <s v="Pat Baker"/>
    <s v="Express Air"/>
    <s v="Home Office"/>
    <x v="0"/>
    <x v="7"/>
    <s v="Small Box"/>
    <s v="Xerox 1938"/>
    <n v="0.37"/>
    <s v="United States"/>
    <s v="East"/>
    <s v="Ohio"/>
    <s v="Lakewood"/>
    <n v="44107"/>
    <d v="2015-04-02T00:00:00"/>
    <d v="2015-04-04T00:00:00"/>
    <n v="93.950400000000002"/>
    <n v="3"/>
    <x v="1493"/>
    <n v="87831"/>
    <n v="408.48"/>
  </r>
  <r>
    <n v="10.4"/>
    <n v="5.4"/>
    <n v="2668"/>
    <s v="Carlos Hanson"/>
    <s v="Regular Air"/>
    <s v="Corporate"/>
    <x v="1"/>
    <x v="2"/>
    <s v="Small Pack"/>
    <s v="Executive Impressions 8-1/2&quot; Career Panel/Partition Cubicle Clock"/>
    <n v="0.51"/>
    <s v="United States"/>
    <s v="Central"/>
    <s v="South Dakota"/>
    <s v="Rapid City"/>
    <n v="57701"/>
    <d v="2015-03-28T00:00:00"/>
    <d v="2015-03-29T00:00:00"/>
    <n v="29.98"/>
    <n v="12"/>
    <x v="1494"/>
    <n v="87830"/>
    <n v="1568.88"/>
  </r>
  <r>
    <n v="4.28"/>
    <n v="4.79"/>
    <n v="2668"/>
    <s v="Carlos Hanson"/>
    <s v="Regular Air"/>
    <s v="Corporate"/>
    <x v="0"/>
    <x v="7"/>
    <s v="Small Box"/>
    <s v="Xerox 1962"/>
    <n v="0.4"/>
    <s v="United States"/>
    <s v="Central"/>
    <s v="South Dakota"/>
    <s v="Rapid City"/>
    <n v="57701"/>
    <d v="2015-03-28T00:00:00"/>
    <d v="2015-03-30T00:00:00"/>
    <n v="-121.2"/>
    <n v="12"/>
    <x v="1495"/>
    <n v="87830"/>
    <n v="598.43999999999994"/>
  </r>
  <r>
    <n v="3.93"/>
    <n v="0.99"/>
    <n v="2668"/>
    <s v="Carlos Hanson"/>
    <s v="Regular Air"/>
    <s v="Home Office"/>
    <x v="0"/>
    <x v="3"/>
    <s v="Wrap Bag"/>
    <s v="Staples Vinyl Coated Paper Clips"/>
    <n v="0.39"/>
    <s v="United States"/>
    <s v="Central"/>
    <s v="South Dakota"/>
    <s v="Rapid City"/>
    <n v="57701"/>
    <d v="2015-04-21T00:00:00"/>
    <d v="2015-04-23T00:00:00"/>
    <n v="10.782400000000001"/>
    <n v="6"/>
    <x v="1496"/>
    <n v="87832"/>
    <n v="145.07999999999998"/>
  </r>
  <r>
    <n v="165.2"/>
    <n v="19.989999999999998"/>
    <n v="2670"/>
    <s v="Yvonne Mann"/>
    <s v="Regular Air"/>
    <s v="Home Office"/>
    <x v="0"/>
    <x v="10"/>
    <s v="Small Box"/>
    <s v="Economy Rollaway Files"/>
    <n v="0.59"/>
    <s v="United States"/>
    <s v="West"/>
    <s v="California"/>
    <s v="Los Angeles"/>
    <n v="90049"/>
    <d v="2015-05-29T00:00:00"/>
    <d v="2015-05-29T00:00:00"/>
    <n v="2008.71"/>
    <n v="167"/>
    <x v="1497"/>
    <n v="37924"/>
    <n v="4607120.8499999996"/>
  </r>
  <r>
    <n v="17.989999999999998"/>
    <n v="8.65"/>
    <n v="2670"/>
    <s v="Yvonne Mann"/>
    <s v="Regular Air"/>
    <s v="Home Office"/>
    <x v="0"/>
    <x v="0"/>
    <s v="Small Box"/>
    <s v="Model L Table or Wall-Mount Pencil Sharpener"/>
    <n v="0.56999999999999995"/>
    <s v="United States"/>
    <s v="West"/>
    <s v="California"/>
    <s v="Los Angeles"/>
    <n v="90049"/>
    <d v="2015-05-29T00:00:00"/>
    <d v="2015-05-29T00:00:00"/>
    <n v="-80.53"/>
    <n v="71"/>
    <x v="1498"/>
    <n v="37924"/>
    <n v="84602.18"/>
  </r>
  <r>
    <n v="165.2"/>
    <n v="19.989999999999998"/>
    <n v="2671"/>
    <s v="Lloyd Fuller"/>
    <s v="Regular Air"/>
    <s v="Home Office"/>
    <x v="0"/>
    <x v="10"/>
    <s v="Small Box"/>
    <s v="Economy Rollaway Files"/>
    <n v="0.59"/>
    <s v="United States"/>
    <s v="South"/>
    <s v="Tennessee"/>
    <s v="Brentwood"/>
    <n v="37027"/>
    <d v="2015-05-29T00:00:00"/>
    <d v="2015-05-29T00:00:00"/>
    <n v="-48.957999999999998"/>
    <n v="42"/>
    <x v="1499"/>
    <n v="90551"/>
    <n v="291403.98"/>
  </r>
  <r>
    <n v="41.32"/>
    <n v="58.66"/>
    <n v="2677"/>
    <s v="Geoffrey Rivera"/>
    <s v="Express Air"/>
    <s v="Small Business"/>
    <x v="1"/>
    <x v="2"/>
    <s v="Medium Box"/>
    <s v="Deflect-o EconoMat Studded, No Bevel Mat for Low Pile Carpeting"/>
    <n v="0.76"/>
    <s v="United States"/>
    <s v="South"/>
    <s v="Virginia"/>
    <s v="Winchester"/>
    <n v="22601"/>
    <d v="2015-06-16T00:00:00"/>
    <d v="2015-06-17T00:00:00"/>
    <n v="-32.816000000000003"/>
    <n v="10"/>
    <x v="1500"/>
    <n v="86633"/>
    <n v="4192.7"/>
  </r>
  <r>
    <n v="6.88"/>
    <n v="2"/>
    <n v="2677"/>
    <s v="Geoffrey Rivera"/>
    <s v="Regular Air"/>
    <s v="Small Business"/>
    <x v="0"/>
    <x v="7"/>
    <s v="Wrap Bag"/>
    <s v="Adams Phone Message Book, 200 Message Capacity, 8 1/16” x 11”"/>
    <n v="0.39"/>
    <s v="United States"/>
    <s v="South"/>
    <s v="Virginia"/>
    <s v="Winchester"/>
    <n v="22601"/>
    <d v="2015-06-16T00:00:00"/>
    <d v="2015-06-16T00:00:00"/>
    <n v="-15.61"/>
    <n v="5"/>
    <x v="1501"/>
    <n v="86633"/>
    <n v="180"/>
  </r>
  <r>
    <n v="8.74"/>
    <n v="1.39"/>
    <n v="2684"/>
    <s v="Edna Michael"/>
    <s v="Express Air"/>
    <s v="Small Business"/>
    <x v="0"/>
    <x v="4"/>
    <s v="Small Box"/>
    <s v="#10- 4 1/8&quot; x 9 1/2&quot; Recycled Envelopes"/>
    <n v="0.38"/>
    <s v="United States"/>
    <s v="South"/>
    <s v="Florida"/>
    <s v="Port Charlotte"/>
    <n v="33952"/>
    <d v="2015-02-15T00:00:00"/>
    <d v="2015-02-20T00:00:00"/>
    <n v="23.616"/>
    <n v="1"/>
    <x v="1502"/>
    <n v="89146"/>
    <n v="11.78"/>
  </r>
  <r>
    <n v="18.97"/>
    <n v="9.0299999999999994"/>
    <n v="2684"/>
    <s v="Edna Michael"/>
    <s v="Regular Air"/>
    <s v="Small Business"/>
    <x v="0"/>
    <x v="7"/>
    <s v="Small Box"/>
    <s v="Computer Printout Paper with Letter-Trim Perforations"/>
    <n v="0.37"/>
    <s v="United States"/>
    <s v="South"/>
    <s v="Florida"/>
    <s v="Port Charlotte"/>
    <n v="33952"/>
    <d v="2015-02-15T00:00:00"/>
    <d v="2015-02-20T00:00:00"/>
    <n v="-1748.0119999999999"/>
    <n v="1"/>
    <x v="1503"/>
    <n v="89146"/>
    <n v="20.96"/>
  </r>
  <r>
    <n v="4.97"/>
    <n v="5.71"/>
    <n v="2684"/>
    <s v="Edna Michael"/>
    <s v="Regular Air"/>
    <s v="Small Business"/>
    <x v="1"/>
    <x v="2"/>
    <s v="Medium Box"/>
    <s v="DAX Value U-Channel Document Frames, Easel Back"/>
    <n v="0.54"/>
    <s v="United States"/>
    <s v="South"/>
    <s v="Florida"/>
    <s v="Port Charlotte"/>
    <n v="33952"/>
    <d v="2015-04-10T00:00:00"/>
    <d v="2015-04-15T00:00:00"/>
    <n v="-180.15199999999999"/>
    <n v="5"/>
    <x v="1504"/>
    <n v="89148"/>
    <n v="133.30000000000001"/>
  </r>
  <r>
    <n v="2.62"/>
    <n v="0.8"/>
    <n v="2684"/>
    <s v="Edna Michael"/>
    <s v="Regular Air"/>
    <s v="Small Business"/>
    <x v="0"/>
    <x v="3"/>
    <s v="Wrap Bag"/>
    <s v="Staples Metal Binder Clips"/>
    <n v="0.39"/>
    <s v="United States"/>
    <s v="South"/>
    <s v="Florida"/>
    <s v="Port Charlotte"/>
    <n v="33952"/>
    <d v="2015-04-10T00:00:00"/>
    <d v="2015-04-12T00:00:00"/>
    <n v="8.3879999999999999"/>
    <n v="12"/>
    <x v="1505"/>
    <n v="89148"/>
    <n v="354.6"/>
  </r>
  <r>
    <n v="65.989999999999995"/>
    <n v="8.8000000000000007"/>
    <n v="2684"/>
    <s v="Edna Michael"/>
    <s v="Regular Air"/>
    <s v="Small Business"/>
    <x v="2"/>
    <x v="5"/>
    <s v="Small Box"/>
    <n v="6120"/>
    <n v="0.57999999999999996"/>
    <s v="United States"/>
    <s v="South"/>
    <s v="Florida"/>
    <s v="Port Charlotte"/>
    <n v="33952"/>
    <d v="2015-04-10T00:00:00"/>
    <d v="2015-04-10T00:00:00"/>
    <n v="9.9398999999999997"/>
    <n v="21"/>
    <x v="1506"/>
    <n v="89148"/>
    <n v="25985.4"/>
  </r>
  <r>
    <n v="7.38"/>
    <n v="11.51"/>
    <n v="2685"/>
    <s v="Kathryn Wolfe"/>
    <s v="Regular Air"/>
    <s v="Small Business"/>
    <x v="0"/>
    <x v="8"/>
    <s v="Small Box"/>
    <s v="GBC Plastic Binding Combs"/>
    <n v="0.36"/>
    <s v="United States"/>
    <s v="East"/>
    <s v="New York"/>
    <s v="Plainview"/>
    <n v="11803"/>
    <d v="2015-04-04T00:00:00"/>
    <d v="2015-04-05T00:00:00"/>
    <n v="-66.171000000000006"/>
    <n v="2"/>
    <x v="1507"/>
    <n v="89147"/>
    <n v="35.28"/>
  </r>
  <r>
    <n v="3.75"/>
    <n v="0.5"/>
    <n v="2689"/>
    <s v="Marlene Gray"/>
    <s v="Regular Air"/>
    <s v="Home Office"/>
    <x v="0"/>
    <x v="9"/>
    <s v="Small Box"/>
    <s v="Avery 496"/>
    <n v="0.37"/>
    <s v="United States"/>
    <s v="East"/>
    <s v="New Jersey"/>
    <s v="Clifton"/>
    <n v="7011"/>
    <d v="2015-05-04T00:00:00"/>
    <d v="2015-05-06T00:00:00"/>
    <n v="51.218699999999998"/>
    <n v="21"/>
    <x v="1508"/>
    <n v="90624"/>
    <n v="1558.8300000000002"/>
  </r>
  <r>
    <n v="30.98"/>
    <n v="9.18"/>
    <n v="2693"/>
    <s v="Lloyd Cannon"/>
    <s v="Regular Air"/>
    <s v="Home Office"/>
    <x v="0"/>
    <x v="7"/>
    <s v="Small Box"/>
    <s v="Xerox 1951"/>
    <n v="0.4"/>
    <s v="United States"/>
    <s v="East"/>
    <s v="Vermont"/>
    <s v="Bennington"/>
    <n v="5201"/>
    <d v="2015-05-04T00:00:00"/>
    <d v="2015-05-04T00:00:00"/>
    <n v="380.46800000000002"/>
    <n v="20"/>
    <x v="1509"/>
    <n v="90624"/>
    <n v="12543.800000000001"/>
  </r>
  <r>
    <n v="107.53"/>
    <n v="5.81"/>
    <n v="2696"/>
    <s v="Sally Dunn"/>
    <s v="Regular Air"/>
    <s v="Home Office"/>
    <x v="1"/>
    <x v="2"/>
    <s v="Medium Box"/>
    <s v="Tenex Contemporary Contur Chairmats for Low and Medium Pile Carpet, Computer, 39&quot; x 49&quot;"/>
    <n v="0.65"/>
    <s v="United States"/>
    <s v="South"/>
    <s v="Alabama"/>
    <s v="Tuscaloosa"/>
    <n v="35401"/>
    <d v="2015-03-05T00:00:00"/>
    <d v="2015-03-06T00:00:00"/>
    <n v="-89.418000000000006"/>
    <n v="6"/>
    <x v="1510"/>
    <n v="87676"/>
    <n v="3677.5199999999995"/>
  </r>
  <r>
    <n v="1.74"/>
    <n v="4.08"/>
    <n v="2697"/>
    <s v="Ricky W Clements"/>
    <s v="Regular Air"/>
    <s v="Corporate"/>
    <x v="1"/>
    <x v="2"/>
    <s v="Small Pack"/>
    <s v="Eldon Regeneration Recycled Desk Accessories, Smoke"/>
    <n v="0.53"/>
    <s v="United States"/>
    <s v="South"/>
    <s v="Alabama"/>
    <s v="Vestavia Hills"/>
    <n v="35216"/>
    <d v="2015-02-23T00:00:00"/>
    <d v="2015-02-25T00:00:00"/>
    <n v="9.2520000000000007"/>
    <n v="16"/>
    <x v="1310"/>
    <n v="87678"/>
    <n v="465.28"/>
  </r>
  <r>
    <n v="119.99"/>
    <n v="56.14"/>
    <n v="2697"/>
    <s v="Ricky W Clements"/>
    <s v="Delivery Truck"/>
    <s v="Corporate"/>
    <x v="2"/>
    <x v="6"/>
    <s v="Jumbo Box"/>
    <s v="Hewlett-Packard 2600DN Business Color Inkjet Printer"/>
    <n v="0.39"/>
    <s v="United States"/>
    <s v="South"/>
    <s v="Alabama"/>
    <s v="Vestavia Hills"/>
    <n v="35216"/>
    <d v="2015-02-23T00:00:00"/>
    <d v="2015-02-24T00:00:00"/>
    <n v="-1197.0419999999999"/>
    <n v="21"/>
    <x v="1511"/>
    <n v="87678"/>
    <n v="53960.97"/>
  </r>
  <r>
    <n v="4.9800000000000004"/>
    <n v="4.95"/>
    <n v="2699"/>
    <s v="Marcia Greenberg"/>
    <s v="Regular Air"/>
    <s v="Corporate"/>
    <x v="0"/>
    <x v="8"/>
    <s v="Small Box"/>
    <s v="Cardinal Holdit Business Card Pockets"/>
    <n v="0.37"/>
    <s v="United States"/>
    <s v="West"/>
    <s v="Arizona"/>
    <s v="Bullhead City"/>
    <n v="86442"/>
    <d v="2015-05-22T00:00:00"/>
    <d v="2015-05-24T00:00:00"/>
    <n v="-103.224"/>
    <n v="16"/>
    <x v="1512"/>
    <n v="87677"/>
    <n v="1263.8399999999999"/>
  </r>
  <r>
    <n v="70.98"/>
    <n v="26.74"/>
    <n v="2699"/>
    <s v="Marcia Greenberg"/>
    <s v="Delivery Truck"/>
    <s v="Corporate"/>
    <x v="1"/>
    <x v="14"/>
    <s v="Jumbo Box"/>
    <s v="Hon Metal Bookcases, Black"/>
    <n v="0.6"/>
    <s v="United States"/>
    <s v="West"/>
    <s v="Arizona"/>
    <s v="Bullhead City"/>
    <n v="86442"/>
    <d v="2015-04-08T00:00:00"/>
    <d v="2015-04-10T00:00:00"/>
    <n v="-84.628799999999998"/>
    <n v="19"/>
    <x v="1513"/>
    <n v="87679"/>
    <n v="25561.269999999997"/>
  </r>
  <r>
    <n v="3.6"/>
    <n v="2.2000000000000002"/>
    <n v="2704"/>
    <s v="Juan Gold"/>
    <s v="Regular Air"/>
    <s v="Consumer"/>
    <x v="0"/>
    <x v="7"/>
    <s v="Wrap Bag"/>
    <s v="Telephone Message Books with Fax/Mobile Section, 4 1/4&quot; x 6&quot;"/>
    <n v="0.39"/>
    <s v="United States"/>
    <s v="South"/>
    <s v="Florida"/>
    <s v="Pensacola"/>
    <n v="32503"/>
    <d v="2015-04-30T00:00:00"/>
    <d v="2015-05-02T00:00:00"/>
    <n v="2755.6421999999998"/>
    <n v="4"/>
    <x v="1514"/>
    <n v="91407"/>
    <n v="60.76"/>
  </r>
  <r>
    <n v="13.48"/>
    <n v="4.51"/>
    <n v="2704"/>
    <s v="Juan Gold"/>
    <s v="Express Air"/>
    <s v="Consumer"/>
    <x v="0"/>
    <x v="10"/>
    <s v="Small Box"/>
    <s v="Tenex Personal Project File with Scoop Front Design, Black"/>
    <n v="0.59"/>
    <s v="United States"/>
    <s v="South"/>
    <s v="Florida"/>
    <s v="Pensacola"/>
    <n v="32503"/>
    <d v="2015-04-30T00:00:00"/>
    <d v="2015-05-04T00:00:00"/>
    <n v="-256.01799999999997"/>
    <n v="4"/>
    <x v="1515"/>
    <n v="91408"/>
    <n v="237.96"/>
  </r>
  <r>
    <n v="60.97"/>
    <n v="4.5"/>
    <n v="2709"/>
    <s v="Stanley Steele"/>
    <s v="Regular Air"/>
    <s v="Consumer"/>
    <x v="0"/>
    <x v="15"/>
    <s v="Small Box"/>
    <s v="Tripp Lite Isotel 6 Outlet Surge Protector with Fax/Modem Protection"/>
    <n v="0.56000000000000005"/>
    <s v="United States"/>
    <s v="East"/>
    <s v="Maryland"/>
    <s v="Ellicott City"/>
    <n v="21042"/>
    <d v="2015-05-28T00:00:00"/>
    <d v="2015-05-30T00:00:00"/>
    <n v="-41.77"/>
    <n v="1"/>
    <x v="1516"/>
    <n v="89240"/>
    <n v="57.84"/>
  </r>
  <r>
    <n v="90.98"/>
    <n v="56.2"/>
    <n v="2709"/>
    <s v="Stanley Steele"/>
    <s v="Regular Air"/>
    <s v="Consumer"/>
    <x v="1"/>
    <x v="2"/>
    <s v="Medium Box"/>
    <s v="Eldon ClusterMat Chair Mat with Cordless Antistatic Protection"/>
    <n v="0.74"/>
    <s v="United States"/>
    <s v="East"/>
    <s v="Maryland"/>
    <s v="Ellicott City"/>
    <n v="21042"/>
    <d v="2015-05-28T00:00:00"/>
    <d v="2015-05-30T00:00:00"/>
    <n v="-1014.11"/>
    <n v="15"/>
    <x v="1517"/>
    <n v="89240"/>
    <n v="21385.65"/>
  </r>
  <r>
    <n v="2.88"/>
    <n v="0.5"/>
    <n v="2713"/>
    <s v="Lynda Banks"/>
    <s v="Regular Air"/>
    <s v="Corporate"/>
    <x v="0"/>
    <x v="9"/>
    <s v="Small Box"/>
    <s v="Avery 492"/>
    <n v="0.39"/>
    <s v="United States"/>
    <s v="Central"/>
    <s v="Michigan"/>
    <s v="Kalamazoo"/>
    <n v="49001"/>
    <d v="2015-06-21T00:00:00"/>
    <d v="2015-06-24T00:00:00"/>
    <n v="17.429400000000001"/>
    <n v="9"/>
    <x v="1518"/>
    <n v="88701"/>
    <n v="227.34"/>
  </r>
  <r>
    <n v="348.21"/>
    <n v="40.19"/>
    <n v="2713"/>
    <s v="Lynda Banks"/>
    <s v="Delivery Truck"/>
    <s v="Corporate"/>
    <x v="1"/>
    <x v="11"/>
    <s v="Jumbo Box"/>
    <s v="Bretford CR4500 Series Slim Rectangular Table"/>
    <n v="0.62"/>
    <s v="United States"/>
    <s v="Central"/>
    <s v="Michigan"/>
    <s v="Kalamazoo"/>
    <n v="49001"/>
    <d v="2015-06-21T00:00:00"/>
    <d v="2015-06-22T00:00:00"/>
    <n v="-178.86959999999999"/>
    <n v="2"/>
    <x v="1519"/>
    <n v="88701"/>
    <n v="1472.32"/>
  </r>
  <r>
    <n v="29.89"/>
    <n v="1.99"/>
    <n v="2715"/>
    <s v="Becky Farmer"/>
    <s v="Regular Air"/>
    <s v="Corporate"/>
    <x v="2"/>
    <x v="13"/>
    <s v="Small Pack"/>
    <s v="Verbatim DVD-RAM, 5.2GB, Rewritable, Type 1, DS"/>
    <n v="0.5"/>
    <s v="United States"/>
    <s v="Central"/>
    <s v="Michigan"/>
    <s v="Lansing"/>
    <n v="48911"/>
    <d v="2015-01-12T00:00:00"/>
    <d v="2015-01-16T00:00:00"/>
    <n v="-74.64"/>
    <n v="1"/>
    <x v="1520"/>
    <n v="88702"/>
    <n v="31.96"/>
  </r>
  <r>
    <n v="6.74"/>
    <n v="1.72"/>
    <n v="2718"/>
    <s v="Caroline Stone"/>
    <s v="Regular Air"/>
    <s v="Consumer"/>
    <x v="0"/>
    <x v="7"/>
    <s v="Wrap Bag"/>
    <s v="Memo Book, 100 Message Capacity, 5 3/8” x 11”"/>
    <n v="0.35"/>
    <s v="United States"/>
    <s v="Central"/>
    <s v="Illinois"/>
    <s v="Lansing"/>
    <n v="60438"/>
    <d v="2015-03-01T00:00:00"/>
    <d v="2015-03-03T00:00:00"/>
    <n v="65.41"/>
    <n v="15"/>
    <x v="1521"/>
    <n v="89394"/>
    <n v="1472.55"/>
  </r>
  <r>
    <n v="40.479999999999997"/>
    <n v="19.989999999999998"/>
    <n v="2720"/>
    <s v="Donna Block"/>
    <s v="Regular Air"/>
    <s v="Small Business"/>
    <x v="2"/>
    <x v="13"/>
    <s v="Small Box"/>
    <s v="Keytronic Designer 104- Key Black Keyboard"/>
    <n v="0.77"/>
    <s v="United States"/>
    <s v="South"/>
    <s v="Georgia"/>
    <s v="Dalton"/>
    <n v="30721"/>
    <d v="2015-06-16T00:00:00"/>
    <d v="2015-06-17T00:00:00"/>
    <n v="-25.634"/>
    <n v="6"/>
    <x v="1522"/>
    <n v="88766"/>
    <n v="1589.6999999999998"/>
  </r>
  <r>
    <n v="4.9800000000000004"/>
    <n v="7.44"/>
    <n v="2724"/>
    <s v="Erika Clapp"/>
    <s v="Regular Air"/>
    <s v="Home Office"/>
    <x v="0"/>
    <x v="7"/>
    <s v="Small Box"/>
    <s v="Xerox 1922"/>
    <n v="0.36"/>
    <s v="United States"/>
    <s v="South"/>
    <s v="Tennessee"/>
    <s v="Chattanooga"/>
    <n v="37421"/>
    <d v="2015-05-01T00:00:00"/>
    <d v="2015-05-02T00:00:00"/>
    <n v="-37.561999999999998"/>
    <n v="10"/>
    <x v="1523"/>
    <n v="88959"/>
    <n v="532.1"/>
  </r>
  <r>
    <n v="6.48"/>
    <n v="7.37"/>
    <n v="2724"/>
    <s v="Erika Clapp"/>
    <s v="Regular Air"/>
    <s v="Home Office"/>
    <x v="0"/>
    <x v="7"/>
    <s v="Small Box"/>
    <s v="Xerox 210"/>
    <n v="0.37"/>
    <s v="United States"/>
    <s v="South"/>
    <s v="Tennessee"/>
    <s v="Chattanooga"/>
    <n v="37421"/>
    <d v="2015-05-01T00:00:00"/>
    <d v="2015-05-03T00:00:00"/>
    <n v="-449.69400000000002"/>
    <n v="18"/>
    <x v="1524"/>
    <n v="88959"/>
    <n v="2210.4"/>
  </r>
  <r>
    <n v="28.15"/>
    <n v="6.17"/>
    <n v="2725"/>
    <s v="Katharine Hudson"/>
    <s v="Regular Air"/>
    <s v="Home Office"/>
    <x v="0"/>
    <x v="0"/>
    <s v="Small Pack"/>
    <s v="Boston Model 1800 Electric Pencil Sharpener, Gray"/>
    <n v="0.55000000000000004"/>
    <s v="United States"/>
    <s v="South"/>
    <s v="Tennessee"/>
    <s v="Clarksville"/>
    <n v="37042"/>
    <d v="2015-01-17T00:00:00"/>
    <d v="2015-01-18T00:00:00"/>
    <n v="-66.248000000000005"/>
    <n v="10"/>
    <x v="1525"/>
    <n v="88958"/>
    <n v="2823.8"/>
  </r>
  <r>
    <n v="230.98"/>
    <n v="23.78"/>
    <n v="2729"/>
    <s v="Penny O Caldwell"/>
    <s v="Delivery Truck"/>
    <s v="Consumer"/>
    <x v="1"/>
    <x v="11"/>
    <s v="Jumbo Box"/>
    <s v="Bush® Cubix Conference Tables, Fully Assembled"/>
    <n v="0.6"/>
    <s v="United States"/>
    <s v="West"/>
    <s v="Washington"/>
    <s v="Bellingham"/>
    <n v="98226"/>
    <d v="2015-03-06T00:00:00"/>
    <d v="2015-03-10T00:00:00"/>
    <n v="501.69"/>
    <n v="4"/>
    <x v="1526"/>
    <n v="88114"/>
    <n v="3699.2"/>
  </r>
  <r>
    <n v="100.98"/>
    <n v="7.18"/>
    <n v="2737"/>
    <s v="Rachel Bates"/>
    <s v="Regular Air"/>
    <s v="Small Business"/>
    <x v="2"/>
    <x v="13"/>
    <s v="Small Box"/>
    <s v="Logitech Cordless Elite Duo"/>
    <n v="0.4"/>
    <s v="United States"/>
    <s v="East"/>
    <s v="Vermont"/>
    <s v="Rutland"/>
    <n v="5701"/>
    <d v="2015-04-22T00:00:00"/>
    <d v="2015-04-24T00:00:00"/>
    <n v="566.60730000000001"/>
    <n v="8"/>
    <x v="1527"/>
    <n v="89018"/>
    <n v="6569.36"/>
  </r>
  <r>
    <n v="15.31"/>
    <n v="8.7799999999999994"/>
    <n v="2737"/>
    <s v="Rachel Bates"/>
    <s v="Regular Air"/>
    <s v="Small Business"/>
    <x v="0"/>
    <x v="10"/>
    <s v="Small Box"/>
    <s v="Eldon Jumbo ProFile™ Portable File Boxes Graphite/Black"/>
    <n v="0.56999999999999995"/>
    <s v="United States"/>
    <s v="East"/>
    <s v="Vermont"/>
    <s v="Rutland"/>
    <n v="5701"/>
    <d v="2015-06-01T00:00:00"/>
    <d v="2015-06-02T00:00:00"/>
    <n v="-57.56"/>
    <n v="12"/>
    <x v="1528"/>
    <n v="89019"/>
    <n v="2328.96"/>
  </r>
  <r>
    <n v="33.979999999999997"/>
    <n v="1.99"/>
    <n v="2738"/>
    <s v="Sherri Kramer"/>
    <s v="Regular Air"/>
    <s v="Small Business"/>
    <x v="2"/>
    <x v="13"/>
    <s v="Small Pack"/>
    <s v="Imation Neon 80 Minute CD-R Spindle, 50/Pack"/>
    <n v="0.45"/>
    <s v="United States"/>
    <s v="East"/>
    <s v="Vermont"/>
    <s v="South Burlington"/>
    <n v="5403"/>
    <d v="2015-04-13T00:00:00"/>
    <d v="2015-04-15T00:00:00"/>
    <n v="164.06129999999999"/>
    <n v="7"/>
    <x v="1529"/>
    <n v="89017"/>
    <n v="1664.39"/>
  </r>
  <r>
    <n v="35.99"/>
    <n v="5.99"/>
    <n v="2741"/>
    <s v="Megan York"/>
    <s v="Regular Air"/>
    <s v="Small Business"/>
    <x v="2"/>
    <x v="5"/>
    <s v="Wrap Bag"/>
    <s v="Accessory41"/>
    <n v="0.38"/>
    <s v="United States"/>
    <s v="West"/>
    <s v="Idaho"/>
    <s v="Caldwell"/>
    <n v="83605"/>
    <d v="2015-03-12T00:00:00"/>
    <d v="2015-03-19T00:00:00"/>
    <n v="218.23320000000001"/>
    <n v="10"/>
    <x v="1530"/>
    <n v="89481"/>
    <n v="3162.7999999999997"/>
  </r>
  <r>
    <n v="220.98"/>
    <n v="64.66"/>
    <n v="2745"/>
    <s v="Arnold Gay"/>
    <s v="Delivery Truck"/>
    <s v="Corporate"/>
    <x v="1"/>
    <x v="14"/>
    <s v="Jumbo Box"/>
    <s v="Bush Cubix Collection Bookcases, Fully Assembled"/>
    <n v="0.62"/>
    <s v="United States"/>
    <s v="West"/>
    <s v="Arizona"/>
    <s v="Chandler"/>
    <n v="85224"/>
    <d v="2015-03-18T00:00:00"/>
    <d v="2015-03-19T00:00:00"/>
    <n v="1049.03"/>
    <n v="11"/>
    <x v="1531"/>
    <n v="86184"/>
    <n v="28501.99"/>
  </r>
  <r>
    <n v="9.98"/>
    <n v="12.52"/>
    <n v="2747"/>
    <s v="Brian Grady"/>
    <s v="Regular Air"/>
    <s v="Corporate"/>
    <x v="1"/>
    <x v="2"/>
    <s v="Small Box"/>
    <s v="Eldon® Expressions™ Wood and Plastic Desk Accessories, Oak"/>
    <n v="0.56999999999999995"/>
    <s v="United States"/>
    <s v="East"/>
    <s v="New York"/>
    <s v="New York City"/>
    <n v="10115"/>
    <d v="2015-02-05T00:00:00"/>
    <d v="2015-02-07T00:00:00"/>
    <n v="-102.93"/>
    <n v="15"/>
    <x v="1532"/>
    <n v="35200"/>
    <n v="2253.6000000000004"/>
  </r>
  <r>
    <n v="220.98"/>
    <n v="64.66"/>
    <n v="2747"/>
    <s v="Brian Grady"/>
    <s v="Delivery Truck"/>
    <s v="Corporate"/>
    <x v="1"/>
    <x v="14"/>
    <s v="Jumbo Box"/>
    <s v="Bush Cubix Collection Bookcases, Fully Assembled"/>
    <n v="0.62"/>
    <s v="United States"/>
    <s v="East"/>
    <s v="New York"/>
    <s v="New York City"/>
    <n v="10115"/>
    <d v="2015-03-18T00:00:00"/>
    <d v="2015-03-19T00:00:00"/>
    <n v="1049.03"/>
    <n v="44"/>
    <x v="1533"/>
    <n v="23751"/>
    <n v="456031.84"/>
  </r>
  <r>
    <n v="161.55000000000001"/>
    <n v="19.989999999999998"/>
    <n v="2750"/>
    <s v="Allen Nash"/>
    <s v="Regular Air"/>
    <s v="Small Business"/>
    <x v="0"/>
    <x v="10"/>
    <s v="Small Box"/>
    <s v="Fellowes Super Stor/Drawer® Files"/>
    <n v="0.66"/>
    <s v="United States"/>
    <s v="South"/>
    <s v="Virginia"/>
    <s v="Waynesboro"/>
    <n v="22980"/>
    <d v="2015-03-08T00:00:00"/>
    <d v="2015-03-08T00:00:00"/>
    <n v="664.51800000000003"/>
    <n v="4"/>
    <x v="1534"/>
    <n v="91424"/>
    <n v="2630.44"/>
  </r>
  <r>
    <n v="22.01"/>
    <n v="5.53"/>
    <n v="2760"/>
    <s v="Evan Adkins"/>
    <s v="Regular Air"/>
    <s v="Corporate"/>
    <x v="0"/>
    <x v="0"/>
    <s v="Small Pack"/>
    <s v="Boston 16801 Nautilus™ Battery Pencil Sharpener"/>
    <n v="0.59"/>
    <s v="United States"/>
    <s v="East"/>
    <s v="Connecticut"/>
    <s v="Waterbury"/>
    <n v="6708"/>
    <d v="2015-04-22T00:00:00"/>
    <d v="2015-04-24T00:00:00"/>
    <n v="105.7"/>
    <n v="11"/>
    <x v="1535"/>
    <n v="90724"/>
    <n v="2661.67"/>
  </r>
  <r>
    <n v="29.74"/>
    <n v="6.64"/>
    <n v="2764"/>
    <s v="Arnold Johnson"/>
    <s v="Regular Air"/>
    <s v="Corporate"/>
    <x v="0"/>
    <x v="10"/>
    <s v="Small Box"/>
    <s v="Acco Perma® 2700 Stacking Storage Drawers"/>
    <n v="0.7"/>
    <s v="United States"/>
    <s v="East"/>
    <s v="New Jersey"/>
    <s v="Hackensack"/>
    <n v="7601"/>
    <d v="2015-04-22T00:00:00"/>
    <d v="2015-04-22T00:00:00"/>
    <n v="-21.06"/>
    <n v="4"/>
    <x v="1536"/>
    <n v="90724"/>
    <n v="483.24"/>
  </r>
  <r>
    <n v="5.85"/>
    <n v="2.27"/>
    <n v="2765"/>
    <s v="Tracy Schultz"/>
    <s v="Regular Air"/>
    <s v="Corporate"/>
    <x v="0"/>
    <x v="0"/>
    <s v="Wrap Bag"/>
    <s v="Dixon My First Ticonderoga Pencil, #2"/>
    <n v="0.56000000000000005"/>
    <s v="United States"/>
    <s v="East"/>
    <s v="New Jersey"/>
    <s v="Lindenwold"/>
    <n v="8021"/>
    <d v="2015-05-28T00:00:00"/>
    <d v="2015-05-30T00:00:00"/>
    <n v="-5.08"/>
    <n v="7"/>
    <x v="1537"/>
    <n v="90725"/>
    <n v="289.8"/>
  </r>
  <r>
    <n v="11.55"/>
    <n v="2.36"/>
    <n v="2770"/>
    <s v="Joel Burnette"/>
    <s v="Regular Air"/>
    <s v="Corporate"/>
    <x v="0"/>
    <x v="0"/>
    <s v="Wrap Bag"/>
    <s v="Newell 309"/>
    <n v="0.55000000000000004"/>
    <s v="United States"/>
    <s v="South"/>
    <s v="Georgia"/>
    <s v="Dunwoody"/>
    <n v="30338"/>
    <d v="2015-03-08T00:00:00"/>
    <d v="2015-03-10T00:00:00"/>
    <n v="1289.3820000000001"/>
    <n v="14"/>
    <x v="1538"/>
    <n v="88975"/>
    <n v="2233.42"/>
  </r>
  <r>
    <n v="177.98"/>
    <n v="0.99"/>
    <n v="2771"/>
    <s v="Kevin Wolfe"/>
    <s v="Regular Air"/>
    <s v="Corporate"/>
    <x v="0"/>
    <x v="15"/>
    <s v="Small Box"/>
    <s v="Kensington 7 Outlet MasterPiece Power Center"/>
    <n v="0.56000000000000005"/>
    <s v="United States"/>
    <s v="South"/>
    <s v="Georgia"/>
    <s v="East Point"/>
    <n v="30344"/>
    <d v="2015-06-13T00:00:00"/>
    <d v="2015-06-13T00:00:00"/>
    <n v="-191.548"/>
    <n v="3"/>
    <x v="1539"/>
    <n v="88974"/>
    <n v="1608.87"/>
  </r>
  <r>
    <n v="5.18"/>
    <n v="5.74"/>
    <n v="2773"/>
    <s v="Christina Zhu"/>
    <s v="Regular Air"/>
    <s v="Corporate"/>
    <x v="0"/>
    <x v="8"/>
    <s v="Small Box"/>
    <s v="Wilson Jones Impact Binders"/>
    <n v="0.36"/>
    <s v="United States"/>
    <s v="West"/>
    <s v="California"/>
    <s v="Dublin"/>
    <n v="94568"/>
    <d v="2015-03-26T00:00:00"/>
    <d v="2015-03-28T00:00:00"/>
    <n v="-29.003"/>
    <n v="2"/>
    <x v="1540"/>
    <n v="91584"/>
    <n v="21.92"/>
  </r>
  <r>
    <n v="574.74"/>
    <n v="24.49"/>
    <n v="2775"/>
    <s v="Theodore Rubin"/>
    <s v="Regular Air"/>
    <s v="Consumer"/>
    <x v="2"/>
    <x v="6"/>
    <s v="Large Box"/>
    <s v="Polycom ViaVideo™ Desktop Video Communications Unit"/>
    <n v="0.37"/>
    <s v="United States"/>
    <s v="Central"/>
    <s v="Illinois"/>
    <s v="Franklin Park"/>
    <n v="60131"/>
    <d v="2015-01-30T00:00:00"/>
    <d v="2015-02-04T00:00:00"/>
    <n v="2860.9331999999999"/>
    <n v="8"/>
    <x v="1541"/>
    <n v="91229"/>
    <n v="33170.239999999998"/>
  </r>
  <r>
    <n v="350.98"/>
    <n v="30"/>
    <n v="2776"/>
    <s v="April Henson"/>
    <s v="Delivery Truck"/>
    <s v="Consumer"/>
    <x v="1"/>
    <x v="1"/>
    <s v="Jumbo Drum"/>
    <s v="Office Star - Professional Matrix Back Chair with 2-to-1 Synchro Tilt and Mesh Fabric Seat"/>
    <n v="0.61"/>
    <s v="United States"/>
    <s v="East"/>
    <s v="Maryland"/>
    <s v="Gaithersburg"/>
    <n v="20877"/>
    <d v="2015-01-12T00:00:00"/>
    <d v="2015-01-15T00:00:00"/>
    <n v="2692.4421000000002"/>
    <n v="11"/>
    <x v="1542"/>
    <n v="91228"/>
    <n v="42922.990000000005"/>
  </r>
  <r>
    <n v="1.68"/>
    <n v="1"/>
    <n v="2776"/>
    <s v="April Henson"/>
    <s v="Regular Air"/>
    <s v="Consumer"/>
    <x v="0"/>
    <x v="0"/>
    <s v="Wrap Bag"/>
    <s v="Prang Dustless Chalk Sticks"/>
    <n v="0.35"/>
    <s v="United States"/>
    <s v="East"/>
    <s v="Maryland"/>
    <s v="Gaithersburg"/>
    <n v="20877"/>
    <d v="2015-01-12T00:00:00"/>
    <d v="2015-01-14T00:00:00"/>
    <n v="2.0672000000000001"/>
    <n v="8"/>
    <x v="1543"/>
    <n v="91228"/>
    <n v="113.44"/>
  </r>
  <r>
    <n v="205.99"/>
    <n v="8.99"/>
    <n v="2778"/>
    <s v="Alison Jones"/>
    <s v="Express Air"/>
    <s v="Consumer"/>
    <x v="2"/>
    <x v="5"/>
    <s v="Small Box"/>
    <s v="Talkabout T8097"/>
    <n v="0.57999999999999996"/>
    <s v="United States"/>
    <s v="South"/>
    <s v="North Carolina"/>
    <s v="Wilmington"/>
    <n v="28403"/>
    <d v="2015-02-11T00:00:00"/>
    <d v="2015-02-12T00:00:00"/>
    <n v="111.05249999999999"/>
    <n v="12"/>
    <x v="1544"/>
    <n v="87160"/>
    <n v="25427.879999999997"/>
  </r>
  <r>
    <n v="205.99"/>
    <n v="8.99"/>
    <n v="2778"/>
    <s v="Alison Jones"/>
    <s v="Regular Air"/>
    <s v="Consumer"/>
    <x v="2"/>
    <x v="5"/>
    <s v="Small Box"/>
    <s v="TimeportP7382"/>
    <n v="0.56000000000000005"/>
    <s v="United States"/>
    <s v="South"/>
    <s v="North Carolina"/>
    <s v="Wilmington"/>
    <n v="28403"/>
    <d v="2015-02-11T00:00:00"/>
    <d v="2015-02-12T00:00:00"/>
    <n v="-1963.752"/>
    <n v="5"/>
    <x v="1545"/>
    <n v="87160"/>
    <n v="4188.2"/>
  </r>
  <r>
    <n v="35.99"/>
    <n v="5.99"/>
    <n v="2779"/>
    <s v="Jacob Burgess"/>
    <s v="Regular Air"/>
    <s v="Corporate"/>
    <x v="2"/>
    <x v="5"/>
    <s v="Wrap Bag"/>
    <s v="Accessory41"/>
    <n v="0.38"/>
    <s v="United States"/>
    <s v="South"/>
    <s v="North Carolina"/>
    <s v="Wilson"/>
    <n v="27893"/>
    <d v="2015-06-11T00:00:00"/>
    <d v="2015-06-12T00:00:00"/>
    <n v="-60.704000000000001"/>
    <n v="11"/>
    <x v="1546"/>
    <n v="87161"/>
    <n v="3795.77"/>
  </r>
  <r>
    <n v="2.16"/>
    <n v="6.05"/>
    <n v="2781"/>
    <s v="Kelly Byers"/>
    <s v="Regular Air"/>
    <s v="Consumer"/>
    <x v="0"/>
    <x v="8"/>
    <s v="Small Box"/>
    <s v="Peel &amp; Stick Add-On Corner Pockets"/>
    <n v="0.37"/>
    <s v="United States"/>
    <s v="West"/>
    <s v="Oregon"/>
    <s v="Woodburn"/>
    <n v="97071"/>
    <d v="2015-01-31T00:00:00"/>
    <d v="2015-02-04T00:00:00"/>
    <n v="-37.789000000000001"/>
    <n v="2"/>
    <x v="1547"/>
    <n v="87162"/>
    <n v="10.96"/>
  </r>
  <r>
    <n v="808.49"/>
    <n v="55.3"/>
    <n v="2781"/>
    <s v="Kelly Byers"/>
    <s v="Delivery Truck"/>
    <s v="Consumer"/>
    <x v="2"/>
    <x v="6"/>
    <s v="Jumbo Drum"/>
    <s v="Hewlett-Packard Business Color Inkjet 3000 [N, DTN] Series Printers"/>
    <n v="0.4"/>
    <s v="United States"/>
    <s v="West"/>
    <s v="Oregon"/>
    <s v="Woodburn"/>
    <n v="97071"/>
    <d v="2015-01-31T00:00:00"/>
    <d v="2015-02-07T00:00:00"/>
    <n v="7576.11"/>
    <n v="11"/>
    <x v="1548"/>
    <n v="87162"/>
    <n v="90214.63"/>
  </r>
  <r>
    <n v="6.48"/>
    <n v="8.19"/>
    <n v="2781"/>
    <s v="Kelly Byers"/>
    <s v="Regular Air"/>
    <s v="Consumer"/>
    <x v="0"/>
    <x v="7"/>
    <s v="Small Box"/>
    <s v="Xerox 217"/>
    <n v="0.37"/>
    <s v="United States"/>
    <s v="West"/>
    <s v="Oregon"/>
    <s v="Woodburn"/>
    <n v="97071"/>
    <d v="2015-01-31T00:00:00"/>
    <d v="2015-02-07T00:00:00"/>
    <n v="-43.26"/>
    <n v="3"/>
    <x v="1549"/>
    <n v="87162"/>
    <n v="68.010000000000005"/>
  </r>
  <r>
    <n v="47.98"/>
    <n v="3.61"/>
    <n v="2787"/>
    <s v="Rodney Kearney"/>
    <s v="Express Air"/>
    <s v="Consumer"/>
    <x v="2"/>
    <x v="13"/>
    <s v="Small Pack"/>
    <s v="DS/HD IBM Formatted Diskettes, 200/Pack - Staples"/>
    <n v="0.71"/>
    <s v="United States"/>
    <s v="South"/>
    <s v="Louisiana"/>
    <s v="Metairie"/>
    <n v="70003"/>
    <d v="2015-03-12T00:00:00"/>
    <d v="2015-03-13T00:00:00"/>
    <n v="-44.436"/>
    <n v="8"/>
    <x v="1550"/>
    <n v="91316"/>
    <n v="3151.84"/>
  </r>
  <r>
    <n v="2.88"/>
    <n v="0.7"/>
    <n v="2791"/>
    <s v="Dawn Larson"/>
    <s v="Regular Air"/>
    <s v="Corporate"/>
    <x v="0"/>
    <x v="0"/>
    <s v="Wrap Bag"/>
    <s v="Newell 346"/>
    <n v="0.56000000000000005"/>
    <s v="United States"/>
    <s v="Central"/>
    <s v="Michigan"/>
    <s v="Madison Heights"/>
    <n v="48071"/>
    <d v="2015-01-15T00:00:00"/>
    <d v="2015-01-15T00:00:00"/>
    <n v="4.8499999999999996"/>
    <n v="7"/>
    <x v="1551"/>
    <n v="88758"/>
    <n v="135.03"/>
  </r>
  <r>
    <n v="2.61"/>
    <n v="0.5"/>
    <n v="2794"/>
    <s v="Connie Bunn"/>
    <s v="Regular Air"/>
    <s v="Corporate"/>
    <x v="0"/>
    <x v="9"/>
    <s v="Small Box"/>
    <s v="Avery 479"/>
    <n v="0.39"/>
    <s v="United States"/>
    <s v="Central"/>
    <s v="Iowa"/>
    <s v="Marshalltown"/>
    <n v="50158"/>
    <d v="2015-03-20T00:00:00"/>
    <d v="2015-03-22T00:00:00"/>
    <n v="3.5949"/>
    <n v="2"/>
    <x v="1552"/>
    <n v="87554"/>
    <n v="10.42"/>
  </r>
  <r>
    <n v="4.76"/>
    <n v="0.88"/>
    <n v="2794"/>
    <s v="Connie Bunn"/>
    <s v="Regular Air"/>
    <s v="Corporate"/>
    <x v="0"/>
    <x v="7"/>
    <s v="Wrap Bag"/>
    <s v="Wirebound Voice Message Log Book"/>
    <n v="0.39"/>
    <s v="United States"/>
    <s v="Central"/>
    <s v="Iowa"/>
    <s v="Marshalltown"/>
    <n v="50158"/>
    <d v="2015-06-07T00:00:00"/>
    <d v="2015-06-07T00:00:00"/>
    <n v="15.8148"/>
    <n v="5"/>
    <x v="1553"/>
    <n v="87555"/>
    <n v="114.60000000000001"/>
  </r>
  <r>
    <n v="3.57"/>
    <n v="4.17"/>
    <n v="2795"/>
    <s v="Harry Burns"/>
    <s v="Regular Air"/>
    <s v="Corporate"/>
    <x v="0"/>
    <x v="0"/>
    <s v="Small Pack"/>
    <s v="Barrel Sharpener"/>
    <n v="0.59"/>
    <s v="United States"/>
    <s v="Central"/>
    <s v="Iowa"/>
    <s v="Mason City"/>
    <n v="50401"/>
    <d v="2015-01-26T00:00:00"/>
    <d v="2015-01-28T00:00:00"/>
    <n v="-69.91"/>
    <n v="8"/>
    <x v="1554"/>
    <n v="87556"/>
    <n v="247.2"/>
  </r>
  <r>
    <n v="200.99"/>
    <n v="4.2"/>
    <n v="2795"/>
    <s v="Harry Burns"/>
    <s v="Regular Air"/>
    <s v="Corporate"/>
    <x v="2"/>
    <x v="5"/>
    <s v="Small Box"/>
    <s v="2160i"/>
    <n v="0.59"/>
    <s v="United States"/>
    <s v="Central"/>
    <s v="Iowa"/>
    <s v="Mason City"/>
    <n v="50401"/>
    <d v="2015-01-26T00:00:00"/>
    <d v="2015-01-30T00:00:00"/>
    <n v="1630.5252"/>
    <n v="14"/>
    <x v="1555"/>
    <n v="87556"/>
    <n v="33083.119999999995"/>
  </r>
  <r>
    <n v="195.99"/>
    <n v="8.99"/>
    <n v="2795"/>
    <s v="Harry Burns"/>
    <s v="Regular Air"/>
    <s v="Corporate"/>
    <x v="2"/>
    <x v="5"/>
    <s v="Small Box"/>
    <s v="A1228"/>
    <n v="0.57999999999999996"/>
    <s v="United States"/>
    <s v="Central"/>
    <s v="Iowa"/>
    <s v="Mason City"/>
    <n v="50401"/>
    <d v="2015-01-26T00:00:00"/>
    <d v="2015-01-26T00:00:00"/>
    <n v="-457.16"/>
    <n v="2"/>
    <x v="1556"/>
    <n v="87556"/>
    <n v="656.9"/>
  </r>
  <r>
    <n v="30.44"/>
    <n v="1.49"/>
    <n v="2796"/>
    <s v="Cindy McLeod"/>
    <s v="Regular Air"/>
    <s v="Corporate"/>
    <x v="0"/>
    <x v="8"/>
    <s v="Small Box"/>
    <s v="Premier Elliptical Ring Binder, Black"/>
    <n v="0.37"/>
    <s v="United States"/>
    <s v="Central"/>
    <s v="Iowa"/>
    <s v="Sioux City"/>
    <n v="51106"/>
    <d v="2015-01-21T00:00:00"/>
    <d v="2015-01-23T00:00:00"/>
    <n v="266.76089999999999"/>
    <n v="12"/>
    <x v="1557"/>
    <n v="87553"/>
    <n v="4639.32"/>
  </r>
  <r>
    <n v="5.0199999999999996"/>
    <n v="5.14"/>
    <n v="2797"/>
    <s v="Cameron Kendall"/>
    <s v="Regular Air"/>
    <s v="Consumer"/>
    <x v="2"/>
    <x v="13"/>
    <s v="Small Pack"/>
    <s v="Imation 3.5, DISKETTE 44766 HGHLD3.52HD/FM, 10/Pack"/>
    <n v="0.79"/>
    <s v="United States"/>
    <s v="East"/>
    <s v="Pennsylvania"/>
    <s v="Pittsburgh"/>
    <n v="15122"/>
    <d v="2015-01-10T00:00:00"/>
    <d v="2015-01-11T00:00:00"/>
    <n v="-159.30279999999999"/>
    <n v="8"/>
    <x v="1558"/>
    <n v="87552"/>
    <n v="351.52"/>
  </r>
  <r>
    <n v="4.91"/>
    <n v="0.5"/>
    <n v="2797"/>
    <s v="Cameron Kendall"/>
    <s v="Regular Air"/>
    <s v="Corporate"/>
    <x v="0"/>
    <x v="9"/>
    <s v="Small Box"/>
    <s v="Avery 508"/>
    <n v="0.36"/>
    <s v="United States"/>
    <s v="East"/>
    <s v="Pennsylvania"/>
    <s v="Pittsburgh"/>
    <n v="15122"/>
    <d v="2015-01-21T00:00:00"/>
    <d v="2015-01-22T00:00:00"/>
    <n v="29.883900000000001"/>
    <n v="9"/>
    <x v="1559"/>
    <n v="87553"/>
    <n v="389.79"/>
  </r>
  <r>
    <n v="17.52"/>
    <n v="8.17"/>
    <n v="2801"/>
    <s v="Jimmy Wang"/>
    <s v="Regular Air"/>
    <s v="Home Office"/>
    <x v="0"/>
    <x v="15"/>
    <s v="Medium Box"/>
    <s v="Bionaire 99.97% HEPA Air Cleaner"/>
    <n v="0.5"/>
    <s v="United States"/>
    <s v="West"/>
    <s v="Arizona"/>
    <s v="Chandler"/>
    <n v="85224"/>
    <d v="2015-06-28T00:00:00"/>
    <d v="2015-07-03T00:00:00"/>
    <n v="52.764000000000003"/>
    <n v="15"/>
    <x v="1560"/>
    <n v="91049"/>
    <n v="4265.0999999999995"/>
  </r>
  <r>
    <n v="500.98"/>
    <n v="28.14"/>
    <n v="2803"/>
    <s v="Catherine Dorsey Burnett"/>
    <s v="Delivery Truck"/>
    <s v="Small Business"/>
    <x v="2"/>
    <x v="6"/>
    <s v="Jumbo Drum"/>
    <s v="Hewlett-Packard cp1700 [D, PS] Series Color Inkjet Printers"/>
    <n v="0.38"/>
    <s v="United States"/>
    <s v="West"/>
    <s v="California"/>
    <s v="East Los Angeles"/>
    <n v="90022"/>
    <d v="2015-02-05T00:00:00"/>
    <d v="2015-02-06T00:00:00"/>
    <n v="2699.9838"/>
    <n v="10"/>
    <x v="1561"/>
    <n v="86227"/>
    <n v="39130.199999999997"/>
  </r>
  <r>
    <n v="178.47"/>
    <n v="19.989999999999998"/>
    <n v="2803"/>
    <s v="Catherine Dorsey Burnett"/>
    <s v="Regular Air"/>
    <s v="Small Business"/>
    <x v="0"/>
    <x v="10"/>
    <s v="Small Box"/>
    <s v="Hot File® 7-Pocket, Floor Stand"/>
    <n v="0.55000000000000004"/>
    <s v="United States"/>
    <s v="West"/>
    <s v="California"/>
    <s v="East Los Angeles"/>
    <n v="90022"/>
    <d v="2015-02-05T00:00:00"/>
    <d v="2015-02-07T00:00:00"/>
    <n v="-170.98"/>
    <n v="1"/>
    <x v="1562"/>
    <n v="86227"/>
    <n v="180.14"/>
  </r>
  <r>
    <n v="30.56"/>
    <n v="2.99"/>
    <n v="2813"/>
    <s v="Marjorie Burnette"/>
    <s v="Regular Air"/>
    <s v="Corporate"/>
    <x v="0"/>
    <x v="8"/>
    <s v="Small Box"/>
    <s v="Surelock™ Post Binders"/>
    <n v="0.35"/>
    <s v="United States"/>
    <s v="South"/>
    <s v="Tennessee"/>
    <s v="Cleveland"/>
    <n v="37311"/>
    <d v="2015-02-07T00:00:00"/>
    <d v="2015-02-07T00:00:00"/>
    <n v="-95.618600000000001"/>
    <n v="12"/>
    <x v="1563"/>
    <n v="88819"/>
    <n v="4379.04"/>
  </r>
  <r>
    <n v="4.71"/>
    <n v="0.7"/>
    <n v="2817"/>
    <s v="Paul W French"/>
    <s v="Express Air"/>
    <s v="Corporate"/>
    <x v="0"/>
    <x v="3"/>
    <s v="Wrap Bag"/>
    <s v="Plymouth Boxed Rubber Bands by Plymouth"/>
    <n v="0.8"/>
    <s v="United States"/>
    <s v="East"/>
    <s v="Ohio"/>
    <s v="Newark"/>
    <n v="43055"/>
    <d v="2015-06-01T00:00:00"/>
    <d v="2015-06-02T00:00:00"/>
    <n v="-2.3759999999999999"/>
    <n v="2"/>
    <x v="1564"/>
    <n v="89743"/>
    <n v="24.32"/>
  </r>
  <r>
    <n v="55.99"/>
    <n v="1.25"/>
    <n v="2817"/>
    <s v="Paul W French"/>
    <s v="Express Air"/>
    <s v="Corporate"/>
    <x v="2"/>
    <x v="5"/>
    <s v="Small Pack"/>
    <s v="Accessory32"/>
    <n v="0.35"/>
    <s v="United States"/>
    <s v="East"/>
    <s v="Ohio"/>
    <s v="Newark"/>
    <n v="43055"/>
    <d v="2015-06-01T00:00:00"/>
    <d v="2015-06-02T00:00:00"/>
    <n v="-18.3216"/>
    <n v="3"/>
    <x v="1565"/>
    <n v="89743"/>
    <n v="442.68"/>
  </r>
  <r>
    <n v="6.48"/>
    <n v="2.74"/>
    <n v="2820"/>
    <s v="Laurence Simon"/>
    <s v="Regular Air"/>
    <s v="Home Office"/>
    <x v="2"/>
    <x v="13"/>
    <s v="Small Pack"/>
    <s v="Sony MFD2HD Formatted Diskettes, 10/Pack"/>
    <n v="0.71"/>
    <s v="United States"/>
    <s v="Central"/>
    <s v="Missouri"/>
    <s v="Oakville"/>
    <n v="63129"/>
    <d v="2015-05-10T00:00:00"/>
    <d v="2015-05-12T00:00:00"/>
    <n v="-82.64"/>
    <n v="18"/>
    <x v="1566"/>
    <n v="87899"/>
    <n v="2046.2400000000002"/>
  </r>
  <r>
    <n v="22.01"/>
    <n v="5.53"/>
    <n v="2820"/>
    <s v="Laurence Simon"/>
    <s v="Regular Air"/>
    <s v="Home Office"/>
    <x v="0"/>
    <x v="0"/>
    <s v="Small Pack"/>
    <s v="Boston 16801 Nautilus™ Battery Pencil Sharpener"/>
    <n v="0.59"/>
    <s v="United States"/>
    <s v="Central"/>
    <s v="Missouri"/>
    <s v="Oakville"/>
    <n v="63129"/>
    <d v="2015-01-14T00:00:00"/>
    <d v="2015-01-15T00:00:00"/>
    <n v="31.59"/>
    <n v="14"/>
    <x v="1567"/>
    <n v="87900"/>
    <n v="3944.5"/>
  </r>
  <r>
    <n v="21.98"/>
    <n v="2.87"/>
    <n v="2823"/>
    <s v="Max Hurley"/>
    <s v="Regular Air"/>
    <s v="Corporate"/>
    <x v="0"/>
    <x v="0"/>
    <s v="Small Pack"/>
    <s v="Panasonic KP-310 Heavy-Duty Electric Pencil Sharpener"/>
    <n v="0.55000000000000004"/>
    <s v="United States"/>
    <s v="West"/>
    <s v="Nevada"/>
    <s v="North Las Vegas"/>
    <n v="89031"/>
    <d v="2015-04-30T00:00:00"/>
    <d v="2015-05-02T00:00:00"/>
    <n v="165.6345"/>
    <n v="11"/>
    <x v="1568"/>
    <n v="87240"/>
    <n v="2640.55"/>
  </r>
  <r>
    <n v="27.48"/>
    <n v="4"/>
    <n v="2825"/>
    <s v="Carole Rosen"/>
    <s v="Regular Air"/>
    <s v="Consumer"/>
    <x v="2"/>
    <x v="13"/>
    <s v="Small Box"/>
    <s v="Belkin MediaBoard 104- Keyboard"/>
    <n v="0.75"/>
    <s v="United States"/>
    <s v="West"/>
    <s v="Idaho"/>
    <s v="Boise"/>
    <n v="83701"/>
    <d v="2015-05-20T00:00:00"/>
    <d v="2015-05-27T00:00:00"/>
    <n v="19.308"/>
    <n v="3"/>
    <x v="1569"/>
    <n v="89497"/>
    <n v="261.63"/>
  </r>
  <r>
    <n v="10.06"/>
    <n v="2.06"/>
    <n v="2825"/>
    <s v="Carole Rosen"/>
    <s v="Regular Air"/>
    <s v="Consumer"/>
    <x v="0"/>
    <x v="7"/>
    <s v="Wrap Bag"/>
    <s v="Riverleaf Stik-Withit® Designer Note Cubes®"/>
    <n v="0.39"/>
    <s v="United States"/>
    <s v="West"/>
    <s v="Idaho"/>
    <s v="Boise"/>
    <n v="83701"/>
    <d v="2015-05-20T00:00:00"/>
    <d v="2015-05-24T00:00:00"/>
    <n v="0.33"/>
    <n v="4"/>
    <x v="1570"/>
    <n v="89497"/>
    <n v="160.6"/>
  </r>
  <r>
    <n v="11.29"/>
    <n v="5.03"/>
    <n v="2828"/>
    <s v="Monica Howard"/>
    <s v="Regular Air"/>
    <s v="Corporate"/>
    <x v="0"/>
    <x v="10"/>
    <s v="Small Box"/>
    <s v="X-Rack™ File for Hanging Folders"/>
    <n v="0.59"/>
    <s v="United States"/>
    <s v="West"/>
    <s v="California"/>
    <s v="El Centro"/>
    <n v="92243"/>
    <d v="2015-02-19T00:00:00"/>
    <d v="2015-02-21T00:00:00"/>
    <n v="-35.26"/>
    <n v="8"/>
    <x v="1571"/>
    <n v="87720"/>
    <n v="723.68"/>
  </r>
  <r>
    <n v="39.479999999999997"/>
    <n v="1.99"/>
    <n v="2828"/>
    <s v="Monica Howard"/>
    <s v="Regular Air"/>
    <s v="Corporate"/>
    <x v="2"/>
    <x v="13"/>
    <s v="Small Pack"/>
    <s v="80 Minute CD-R Spindle, 100/Pack - Staples"/>
    <n v="0.54"/>
    <s v="United States"/>
    <s v="West"/>
    <s v="California"/>
    <s v="El Centro"/>
    <n v="92243"/>
    <d v="2015-06-01T00:00:00"/>
    <d v="2015-06-02T00:00:00"/>
    <n v="322.25069999999999"/>
    <n v="12"/>
    <x v="1572"/>
    <n v="87721"/>
    <n v="5604.36"/>
  </r>
  <r>
    <n v="140.97999999999999"/>
    <n v="36.090000000000003"/>
    <n v="2833"/>
    <s v="Tim Connolly"/>
    <s v="Delivery Truck"/>
    <s v="Small Business"/>
    <x v="1"/>
    <x v="14"/>
    <s v="Jumbo Box"/>
    <s v="Sauder Forest Hills Library, Woodland Oak Finish"/>
    <n v="0.77"/>
    <s v="United States"/>
    <s v="Central"/>
    <s v="Minnesota"/>
    <s v="Inver Grove Heights"/>
    <n v="55076"/>
    <d v="2015-03-25T00:00:00"/>
    <d v="2015-03-27T00:00:00"/>
    <n v="-221.5"/>
    <n v="4"/>
    <x v="1573"/>
    <n v="91030"/>
    <n v="2435.2399999999998"/>
  </r>
  <r>
    <n v="65.989999999999995"/>
    <n v="8.99"/>
    <n v="2833"/>
    <s v="Tim Connolly"/>
    <s v="Regular Air"/>
    <s v="Small Business"/>
    <x v="2"/>
    <x v="5"/>
    <s v="Small Box"/>
    <s v="Talkabout T8367"/>
    <n v="0.56000000000000005"/>
    <s v="United States"/>
    <s v="Central"/>
    <s v="Minnesota"/>
    <s v="Inver Grove Heights"/>
    <n v="55076"/>
    <d v="2015-03-25T00:00:00"/>
    <d v="2015-03-26T00:00:00"/>
    <n v="206.352"/>
    <n v="15"/>
    <x v="1574"/>
    <n v="91030"/>
    <n v="12129.15"/>
  </r>
  <r>
    <n v="51.98"/>
    <n v="10.17"/>
    <n v="2837"/>
    <s v="Leslie Hawley"/>
    <s v="Regular Air"/>
    <s v="Home Office"/>
    <x v="2"/>
    <x v="6"/>
    <s v="Medium Box"/>
    <s v="Canon MP25DIII Desktop Whisper-Quiet Printing Calculator"/>
    <n v="0.37"/>
    <s v="United States"/>
    <s v="Central"/>
    <s v="Oklahoma"/>
    <s v="Tulsa"/>
    <n v="74133"/>
    <d v="2015-03-08T00:00:00"/>
    <d v="2015-03-10T00:00:00"/>
    <n v="439.78530000000001"/>
    <n v="13"/>
    <x v="1575"/>
    <n v="89801"/>
    <n v="8285.81"/>
  </r>
  <r>
    <n v="80.97"/>
    <n v="33.6"/>
    <n v="2837"/>
    <s v="Leslie Hawley"/>
    <s v="Delivery Truck"/>
    <s v="Home Office"/>
    <x v="2"/>
    <x v="6"/>
    <s v="Jumbo Drum"/>
    <s v="Lexmark Z25 Color Inkjet Printer"/>
    <n v="0.37"/>
    <s v="United States"/>
    <s v="Central"/>
    <s v="Oklahoma"/>
    <s v="Tulsa"/>
    <n v="74133"/>
    <d v="2015-03-08T00:00:00"/>
    <d v="2015-03-11T00:00:00"/>
    <n v="-149.4573"/>
    <n v="3"/>
    <x v="1576"/>
    <n v="89801"/>
    <n v="696.48"/>
  </r>
  <r>
    <n v="21.98"/>
    <n v="2.87"/>
    <n v="2840"/>
    <s v="Bob Berg"/>
    <s v="Regular Air"/>
    <s v="Corporate"/>
    <x v="0"/>
    <x v="0"/>
    <s v="Small Pack"/>
    <s v="Panasonic KP-310 Heavy-Duty Electric Pencil Sharpener"/>
    <n v="0.55000000000000004"/>
    <s v="United States"/>
    <s v="South"/>
    <s v="Florida"/>
    <s v="North Miami"/>
    <n v="33161"/>
    <d v="2015-03-19T00:00:00"/>
    <d v="2015-03-20T00:00:00"/>
    <n v="21.096"/>
    <n v="16"/>
    <x v="1577"/>
    <n v="87884"/>
    <n v="5760.48"/>
  </r>
  <r>
    <n v="15.68"/>
    <n v="3.73"/>
    <n v="2840"/>
    <s v="Bob Berg"/>
    <s v="Regular Air"/>
    <s v="Corporate"/>
    <x v="1"/>
    <x v="2"/>
    <s v="Small Pack"/>
    <s v="Artistic Insta-Plaque"/>
    <n v="0.46"/>
    <s v="United States"/>
    <s v="South"/>
    <s v="Florida"/>
    <s v="North Miami"/>
    <n v="33161"/>
    <d v="2015-06-11T00:00:00"/>
    <d v="2015-06-13T00:00:00"/>
    <n v="1166.6279999999999"/>
    <n v="17"/>
    <x v="1578"/>
    <n v="87885"/>
    <n v="4420.17"/>
  </r>
  <r>
    <n v="14.98"/>
    <n v="8.99"/>
    <n v="2840"/>
    <s v="Bob Berg"/>
    <s v="Regular Air"/>
    <s v="Corporate"/>
    <x v="1"/>
    <x v="2"/>
    <s v="Small Pack"/>
    <s v="GE 4 Foot Flourescent Tube, 40 Watt"/>
    <n v="0.39"/>
    <s v="United States"/>
    <s v="South"/>
    <s v="Florida"/>
    <s v="North Miami"/>
    <n v="33161"/>
    <d v="2015-06-11T00:00:00"/>
    <d v="2015-06-12T00:00:00"/>
    <n v="-40.604199999999999"/>
    <n v="18"/>
    <x v="1579"/>
    <n v="87885"/>
    <n v="4928.22"/>
  </r>
  <r>
    <n v="38.76"/>
    <n v="13.26"/>
    <n v="2840"/>
    <s v="Bob Berg"/>
    <s v="Regular Air"/>
    <s v="Corporate"/>
    <x v="0"/>
    <x v="7"/>
    <s v="Small Box"/>
    <s v="Xerox 1892"/>
    <n v="0.36"/>
    <s v="United States"/>
    <s v="South"/>
    <s v="Florida"/>
    <s v="North Miami"/>
    <n v="33161"/>
    <d v="2015-06-11T00:00:00"/>
    <d v="2015-06-12T00:00:00"/>
    <n v="-294.084"/>
    <n v="1"/>
    <x v="1580"/>
    <n v="87885"/>
    <n v="44.62"/>
  </r>
  <r>
    <n v="90.48"/>
    <n v="19.989999999999998"/>
    <n v="2847"/>
    <s v="Vanessa Day"/>
    <s v="Regular Air"/>
    <s v="Corporate"/>
    <x v="0"/>
    <x v="4"/>
    <s v="Small Box"/>
    <s v="Tyvek® Side-Opening Peel &amp; Seel® Expanding Envelopes"/>
    <n v="0.4"/>
    <s v="United States"/>
    <s v="South"/>
    <s v="Tennessee"/>
    <s v="Collierville"/>
    <n v="38017"/>
    <d v="2015-04-09T00:00:00"/>
    <d v="2015-04-11T00:00:00"/>
    <n v="55.555199999999999"/>
    <n v="3"/>
    <x v="1581"/>
    <n v="85928"/>
    <n v="805.92"/>
  </r>
  <r>
    <n v="9.77"/>
    <n v="6.02"/>
    <n v="2847"/>
    <s v="Vanessa Day"/>
    <s v="Regular Air"/>
    <s v="Corporate"/>
    <x v="1"/>
    <x v="2"/>
    <s v="Medium Box"/>
    <s v="DAX Solid Wood Frames"/>
    <n v="0.48"/>
    <s v="United States"/>
    <s v="South"/>
    <s v="Tennessee"/>
    <s v="Collierville"/>
    <n v="38017"/>
    <d v="2015-04-09T00:00:00"/>
    <d v="2015-04-10T00:00:00"/>
    <n v="-535.33199999999999"/>
    <n v="9"/>
    <x v="1582"/>
    <n v="85928"/>
    <n v="789.12000000000012"/>
  </r>
  <r>
    <n v="34.99"/>
    <n v="7.73"/>
    <n v="2847"/>
    <s v="Vanessa Day"/>
    <s v="Regular Air"/>
    <s v="Corporate"/>
    <x v="0"/>
    <x v="0"/>
    <s v="Small Box"/>
    <s v="Hunt Boston® Vacuum Mount KS Pencil Sharpener"/>
    <n v="0.59"/>
    <s v="United States"/>
    <s v="South"/>
    <s v="Tennessee"/>
    <s v="Collierville"/>
    <n v="38017"/>
    <d v="2015-04-09T00:00:00"/>
    <d v="2015-04-11T00:00:00"/>
    <n v="-208.72040000000001"/>
    <n v="1"/>
    <x v="1583"/>
    <n v="85928"/>
    <n v="37.619999999999997"/>
  </r>
  <r>
    <n v="49.99"/>
    <n v="19.989999999999998"/>
    <n v="2848"/>
    <s v="Eileen Dalton"/>
    <s v="Regular Air"/>
    <s v="Corporate"/>
    <x v="2"/>
    <x v="13"/>
    <s v="Small Box"/>
    <s v="Zoom V.92 USB External Faxmodem"/>
    <n v="0.41"/>
    <s v="United States"/>
    <s v="South"/>
    <s v="Tennessee"/>
    <s v="Columbia"/>
    <n v="38401"/>
    <d v="2015-06-06T00:00:00"/>
    <d v="2015-06-08T00:00:00"/>
    <n v="38.886000000000003"/>
    <n v="16"/>
    <x v="1584"/>
    <n v="85929"/>
    <n v="13327.52"/>
  </r>
  <r>
    <n v="115.99"/>
    <n v="8.99"/>
    <n v="2851"/>
    <s v="Annie Sherrill"/>
    <s v="Regular Air"/>
    <s v="Consumer"/>
    <x v="2"/>
    <x v="5"/>
    <s v="Small Box"/>
    <n v="5185"/>
    <n v="0.57999999999999996"/>
    <s v="United States"/>
    <s v="Central"/>
    <s v="Texas"/>
    <s v="Odessa"/>
    <n v="79762"/>
    <d v="2015-04-09T00:00:00"/>
    <d v="2015-04-13T00:00:00"/>
    <n v="719.35260000000005"/>
    <n v="11"/>
    <x v="1585"/>
    <n v="86454"/>
    <n v="11467.939999999999"/>
  </r>
  <r>
    <n v="7.84"/>
    <n v="4.71"/>
    <n v="2855"/>
    <s v="Vicki Womble"/>
    <s v="Regular Air"/>
    <s v="Corporate"/>
    <x v="0"/>
    <x v="8"/>
    <s v="Small Box"/>
    <s v="XtraLife® ClearVue™ Slant-D® Ring Binders by Cardinal"/>
    <n v="0.35"/>
    <s v="United States"/>
    <s v="West"/>
    <s v="Washington"/>
    <s v="Des Moines"/>
    <n v="98198"/>
    <d v="2015-01-21T00:00:00"/>
    <d v="2015-01-22T00:00:00"/>
    <n v="-12.87678"/>
    <n v="10"/>
    <x v="1586"/>
    <n v="87316"/>
    <n v="761.59999999999991"/>
  </r>
  <r>
    <n v="105.34"/>
    <n v="24.49"/>
    <n v="2855"/>
    <s v="Vicki Womble"/>
    <s v="Regular Air"/>
    <s v="Corporate"/>
    <x v="1"/>
    <x v="2"/>
    <s v="Large Box"/>
    <s v="Deflect-o DuraMat Antistatic Studded Beveled Mat for Medium Pile Carpeting"/>
    <n v="0.61"/>
    <s v="United States"/>
    <s v="West"/>
    <s v="Washington"/>
    <s v="Des Moines"/>
    <n v="98198"/>
    <d v="2015-01-21T00:00:00"/>
    <d v="2015-01-22T00:00:00"/>
    <n v="618.13080000000002"/>
    <n v="10"/>
    <x v="1587"/>
    <n v="87316"/>
    <n v="10381.400000000001"/>
  </r>
  <r>
    <n v="6783.02"/>
    <n v="24.49"/>
    <n v="2855"/>
    <s v="Vicki Womble"/>
    <s v="Regular Air"/>
    <s v="Consumer"/>
    <x v="2"/>
    <x v="6"/>
    <s v="Large Box"/>
    <s v="Polycom ViewStation™ ISDN Videoconferencing Unit"/>
    <n v="0.39"/>
    <s v="United States"/>
    <s v="West"/>
    <s v="Washington"/>
    <s v="Des Moines"/>
    <n v="98198"/>
    <d v="2015-03-10T00:00:00"/>
    <d v="2015-03-14T00:00:00"/>
    <n v="-14140.7016"/>
    <n v="1"/>
    <x v="1588"/>
    <n v="87317"/>
    <n v="6296"/>
  </r>
  <r>
    <n v="2.94"/>
    <n v="0.96"/>
    <n v="2858"/>
    <s v="Jerry Webster"/>
    <s v="Regular Air"/>
    <s v="Corporate"/>
    <x v="0"/>
    <x v="0"/>
    <s v="Wrap Bag"/>
    <s v="Newell 343"/>
    <n v="0.57999999999999996"/>
    <s v="United States"/>
    <s v="South"/>
    <s v="Florida"/>
    <s v="Fruit Cove"/>
    <n v="32259"/>
    <d v="2015-05-17T00:00:00"/>
    <d v="2015-05-18T00:00:00"/>
    <n v="-8.8759999999999994"/>
    <n v="3"/>
    <x v="1589"/>
    <n v="88279"/>
    <n v="26.369999999999997"/>
  </r>
  <r>
    <n v="67.28"/>
    <n v="19.989999999999998"/>
    <n v="2858"/>
    <s v="Jerry Webster"/>
    <s v="Regular Air"/>
    <s v="Corporate"/>
    <x v="0"/>
    <x v="8"/>
    <s v="Small Box"/>
    <s v="Catalog Binders with Expanding Posts"/>
    <n v="0.4"/>
    <s v="United States"/>
    <s v="South"/>
    <s v="Florida"/>
    <s v="Fruit Cove"/>
    <n v="32259"/>
    <d v="2015-05-23T00:00:00"/>
    <d v="2015-05-28T00:00:00"/>
    <n v="14.754"/>
    <n v="30"/>
    <x v="1590"/>
    <n v="88282"/>
    <n v="61550.399999999994"/>
  </r>
  <r>
    <n v="130.97999999999999"/>
    <n v="54.74"/>
    <n v="2858"/>
    <s v="Jerry Webster"/>
    <s v="Delivery Truck"/>
    <s v="Corporate"/>
    <x v="1"/>
    <x v="14"/>
    <s v="Jumbo Box"/>
    <s v="O'Sullivan Elevations Bookcase, Cherry Finish"/>
    <n v="0.69"/>
    <s v="United States"/>
    <s v="South"/>
    <s v="Florida"/>
    <s v="Fruit Cove"/>
    <n v="32259"/>
    <d v="2015-05-23T00:00:00"/>
    <d v="2015-05-23T00:00:00"/>
    <n v="669.61199999999997"/>
    <n v="42"/>
    <x v="1591"/>
    <n v="88282"/>
    <n v="222391.25999999998"/>
  </r>
  <r>
    <n v="2.78"/>
    <n v="1.25"/>
    <n v="2858"/>
    <s v="Jerry Webster"/>
    <s v="Regular Air"/>
    <s v="Corporate"/>
    <x v="0"/>
    <x v="0"/>
    <s v="Wrap Bag"/>
    <s v="Newell 318"/>
    <n v="0.59"/>
    <s v="United States"/>
    <s v="South"/>
    <s v="Florida"/>
    <s v="Fruit Cove"/>
    <n v="32259"/>
    <d v="2015-05-23T00:00:00"/>
    <d v="2015-05-23T00:00:00"/>
    <n v="213"/>
    <n v="28"/>
    <x v="1592"/>
    <n v="88282"/>
    <n v="2247.56"/>
  </r>
  <r>
    <n v="142.86000000000001"/>
    <n v="19.989999999999998"/>
    <n v="2859"/>
    <s v="Brad H Blake"/>
    <s v="Regular Air"/>
    <s v="Corporate"/>
    <x v="0"/>
    <x v="10"/>
    <s v="Small Box"/>
    <s v="Letter Size Cart"/>
    <n v="0.56000000000000005"/>
    <s v="United States"/>
    <s v="South"/>
    <s v="Florida"/>
    <s v="Gainesville"/>
    <n v="32601"/>
    <d v="2015-04-01T00:00:00"/>
    <d v="2015-04-03T00:00:00"/>
    <n v="-8.3880999999999997"/>
    <n v="23"/>
    <x v="1593"/>
    <n v="88281"/>
    <n v="75716.460000000006"/>
  </r>
  <r>
    <n v="20.99"/>
    <n v="4.8099999999999996"/>
    <n v="2861"/>
    <s v="Dwight Robinson"/>
    <s v="Regular Air"/>
    <s v="Corporate"/>
    <x v="2"/>
    <x v="5"/>
    <s v="Medium Box"/>
    <s v="1726 Digital Answering Machine"/>
    <n v="0.57999999999999996"/>
    <s v="United States"/>
    <s v="Central"/>
    <s v="Kansas"/>
    <s v="Hays"/>
    <n v="67601"/>
    <d v="2015-02-28T00:00:00"/>
    <d v="2015-02-28T00:00:00"/>
    <n v="4.9017600000000003"/>
    <n v="11"/>
    <x v="1594"/>
    <n v="88280"/>
    <n v="2193.73"/>
  </r>
  <r>
    <n v="12.22"/>
    <n v="2.85"/>
    <n v="2862"/>
    <s v="Carrie High"/>
    <s v="Regular Air"/>
    <s v="Corporate"/>
    <x v="1"/>
    <x v="2"/>
    <s v="Small Pack"/>
    <s v="Aluminum Document Frame"/>
    <n v="0.55000000000000004"/>
    <s v="United States"/>
    <s v="Central"/>
    <s v="Nebraska"/>
    <s v="La Vista"/>
    <n v="68128"/>
    <d v="2015-04-11T00:00:00"/>
    <d v="2015-04-12T00:00:00"/>
    <n v="76.389899999999997"/>
    <n v="9"/>
    <x v="1595"/>
    <n v="88278"/>
    <n v="996.39"/>
  </r>
  <r>
    <n v="13.79"/>
    <n v="8.7799999999999994"/>
    <n v="2865"/>
    <s v="Roberta Mitchell"/>
    <s v="Regular Air"/>
    <s v="Corporate"/>
    <x v="1"/>
    <x v="2"/>
    <s v="Small Box"/>
    <s v="9-3/4 Diameter Round Wall Clock"/>
    <n v="0.43"/>
    <s v="United States"/>
    <s v="Central"/>
    <s v="Texas"/>
    <s v="Paris"/>
    <n v="75460"/>
    <d v="2015-02-23T00:00:00"/>
    <d v="2015-02-25T00:00:00"/>
    <n v="-36.770000000000003"/>
    <n v="4"/>
    <x v="1596"/>
    <n v="90871"/>
    <n v="226.72"/>
  </r>
  <r>
    <n v="33.29"/>
    <n v="8.74"/>
    <n v="2865"/>
    <s v="Roberta Mitchell"/>
    <s v="Regular Air"/>
    <s v="Corporate"/>
    <x v="0"/>
    <x v="10"/>
    <s v="Small Box"/>
    <s v="Fellowes Bases and Tops For Staxonsteel®/High-Stak® Systems"/>
    <n v="0.61"/>
    <s v="United States"/>
    <s v="Central"/>
    <s v="Texas"/>
    <s v="Paris"/>
    <n v="75460"/>
    <d v="2015-02-23T00:00:00"/>
    <d v="2015-02-24T00:00:00"/>
    <n v="87.03"/>
    <n v="8"/>
    <x v="1597"/>
    <n v="90871"/>
    <n v="2186.7199999999998"/>
  </r>
  <r>
    <n v="125.99"/>
    <n v="8.99"/>
    <n v="2867"/>
    <s v="Dana Teague"/>
    <s v="Regular Air"/>
    <s v="Corporate"/>
    <x v="2"/>
    <x v="5"/>
    <s v="Small Box"/>
    <s v="M70"/>
    <n v="0.59"/>
    <s v="United States"/>
    <s v="East"/>
    <s v="District of Columbia"/>
    <s v="Washington"/>
    <n v="20016"/>
    <d v="2015-04-17T00:00:00"/>
    <d v="2015-04-18T00:00:00"/>
    <n v="-582.64800000000002"/>
    <n v="2"/>
    <x v="1598"/>
    <n v="11013"/>
    <n v="453.76"/>
  </r>
  <r>
    <n v="896.99"/>
    <n v="19.989999999999998"/>
    <n v="2868"/>
    <s v="Eugene Clayton"/>
    <s v="Regular Air"/>
    <s v="Corporate"/>
    <x v="0"/>
    <x v="8"/>
    <s v="Small Box"/>
    <s v="GBC DocuBind TL300 Electric Binding System"/>
    <n v="0.38"/>
    <s v="United States"/>
    <s v="West"/>
    <s v="Washington"/>
    <s v="Edmonds"/>
    <n v="98026"/>
    <d v="2015-01-08T00:00:00"/>
    <d v="2015-01-10T00:00:00"/>
    <n v="3602.1311999999998"/>
    <n v="6"/>
    <x v="1599"/>
    <n v="85826"/>
    <n v="31322.879999999997"/>
  </r>
  <r>
    <n v="125.99"/>
    <n v="8.99"/>
    <n v="2868"/>
    <s v="Eugene Clayton"/>
    <s v="Regular Air"/>
    <s v="Corporate"/>
    <x v="2"/>
    <x v="5"/>
    <s v="Small Box"/>
    <s v="M70"/>
    <n v="0.59"/>
    <s v="United States"/>
    <s v="West"/>
    <s v="Washington"/>
    <s v="Edmonds"/>
    <n v="98026"/>
    <d v="2015-04-17T00:00:00"/>
    <d v="2015-04-18T00:00:00"/>
    <n v="-582.64800000000002"/>
    <n v="1"/>
    <x v="1600"/>
    <n v="85827"/>
    <n v="113.44"/>
  </r>
  <r>
    <n v="15.99"/>
    <n v="13.18"/>
    <n v="2868"/>
    <s v="Eugene Clayton"/>
    <s v="Express Air"/>
    <s v="Corporate"/>
    <x v="0"/>
    <x v="8"/>
    <s v="Small Box"/>
    <s v="GBC Pre-Punched Binding Paper, Plastic, White, 8-1/2&quot; x 11&quot;"/>
    <n v="0.37"/>
    <s v="United States"/>
    <s v="West"/>
    <s v="Washington"/>
    <s v="Edmonds"/>
    <n v="98026"/>
    <d v="2015-05-25T00:00:00"/>
    <d v="2015-05-27T00:00:00"/>
    <n v="-66.584999999999994"/>
    <n v="4"/>
    <x v="1601"/>
    <n v="85828"/>
    <n v="264.08"/>
  </r>
  <r>
    <n v="2.89"/>
    <n v="0.5"/>
    <n v="2873"/>
    <s v="Benjamin Gunter"/>
    <s v="Regular Air"/>
    <s v="Small Business"/>
    <x v="0"/>
    <x v="9"/>
    <s v="Small Box"/>
    <s v="Avery 498"/>
    <n v="0.38"/>
    <s v="United States"/>
    <s v="South"/>
    <s v="Florida"/>
    <s v="Hialeah"/>
    <n v="33012"/>
    <d v="2015-01-22T00:00:00"/>
    <d v="2015-01-24T00:00:00"/>
    <n v="441.59399999999999"/>
    <n v="12"/>
    <x v="1602"/>
    <n v="89872"/>
    <n v="396.24"/>
  </r>
  <r>
    <n v="217.85"/>
    <n v="29.1"/>
    <n v="2873"/>
    <s v="Benjamin Gunter"/>
    <s v="Delivery Truck"/>
    <s v="Small Business"/>
    <x v="1"/>
    <x v="11"/>
    <s v="Jumbo Box"/>
    <s v="Chromcraft Bull-Nose Wood Round Conference Table Top, Wood Base"/>
    <n v="0.68"/>
    <s v="United States"/>
    <s v="South"/>
    <s v="Florida"/>
    <s v="Hialeah"/>
    <n v="33012"/>
    <d v="2015-01-22T00:00:00"/>
    <d v="2015-01-23T00:00:00"/>
    <n v="394.17"/>
    <n v="10"/>
    <x v="1603"/>
    <n v="89872"/>
    <n v="22731"/>
  </r>
  <r>
    <n v="4.84"/>
    <n v="0.71"/>
    <n v="2874"/>
    <s v="Marian Willis"/>
    <s v="Regular Air"/>
    <s v="Home Office"/>
    <x v="0"/>
    <x v="0"/>
    <s v="Wrap Bag"/>
    <s v="*Staples* Highlighting Markers"/>
    <n v="0.52"/>
    <s v="United States"/>
    <s v="Central"/>
    <s v="Nebraska"/>
    <s v="La Vista"/>
    <n v="68128"/>
    <d v="2015-04-06T00:00:00"/>
    <d v="2015-04-15T00:00:00"/>
    <n v="13.4481"/>
    <n v="4"/>
    <x v="1604"/>
    <n v="89873"/>
    <n v="77.959999999999994"/>
  </r>
  <r>
    <n v="304.99"/>
    <n v="19.989999999999998"/>
    <n v="2874"/>
    <s v="Marian Willis"/>
    <s v="Regular Air"/>
    <s v="Home Office"/>
    <x v="0"/>
    <x v="8"/>
    <s v="Small Box"/>
    <s v="Ibico Hi-Tech Manual Binding System"/>
    <n v="0.4"/>
    <s v="United States"/>
    <s v="Central"/>
    <s v="Nebraska"/>
    <s v="La Vista"/>
    <n v="68128"/>
    <d v="2015-06-22T00:00:00"/>
    <d v="2015-06-24T00:00:00"/>
    <n v="4033.6089000000002"/>
    <n v="19"/>
    <x v="1605"/>
    <n v="89874"/>
    <n v="111070.39000000001"/>
  </r>
  <r>
    <n v="65.989999999999995"/>
    <n v="8.99"/>
    <n v="2874"/>
    <s v="Marian Willis"/>
    <s v="Regular Air"/>
    <s v="Home Office"/>
    <x v="2"/>
    <x v="5"/>
    <s v="Small Box"/>
    <s v="V 3600 Series"/>
    <n v="0.57999999999999996"/>
    <s v="United States"/>
    <s v="Central"/>
    <s v="Nebraska"/>
    <s v="La Vista"/>
    <n v="68128"/>
    <d v="2015-06-22T00:00:00"/>
    <d v="2015-06-24T00:00:00"/>
    <n v="141.7824"/>
    <n v="12"/>
    <x v="1606"/>
    <n v="89874"/>
    <n v="7606.2000000000007"/>
  </r>
  <r>
    <n v="8.33"/>
    <n v="1.99"/>
    <n v="2877"/>
    <s v="Shannon Aldridge"/>
    <s v="Express Air"/>
    <s v="Consumer"/>
    <x v="2"/>
    <x v="13"/>
    <s v="Small Pack"/>
    <s v="80 Minute Slim Jewel Case CD-R , 10/Pack - Staples"/>
    <n v="0.52"/>
    <s v="United States"/>
    <s v="East"/>
    <s v="Ohio"/>
    <s v="North Olmsted"/>
    <n v="44070"/>
    <d v="2015-03-02T00:00:00"/>
    <d v="2015-03-04T00:00:00"/>
    <n v="74.181899999999999"/>
    <n v="12"/>
    <x v="1607"/>
    <n v="91492"/>
    <n v="1290.1200000000001"/>
  </r>
  <r>
    <n v="8.33"/>
    <n v="1.99"/>
    <n v="2878"/>
    <s v="Susan Carroll Berman"/>
    <s v="Express Air"/>
    <s v="Consumer"/>
    <x v="2"/>
    <x v="13"/>
    <s v="Small Pack"/>
    <s v="80 Minute Slim Jewel Case CD-R , 10/Pack - Staples"/>
    <n v="0.52"/>
    <s v="United States"/>
    <s v="West"/>
    <s v="Washington"/>
    <s v="Seattle"/>
    <n v="98107"/>
    <d v="2015-03-02T00:00:00"/>
    <d v="2015-03-04T00:00:00"/>
    <n v="82.31"/>
    <n v="47"/>
    <x v="1608"/>
    <n v="54369"/>
    <n v="19790.759999999998"/>
  </r>
  <r>
    <n v="6.68"/>
    <n v="6.93"/>
    <n v="2880"/>
    <s v="Grace Black"/>
    <s v="Regular Air"/>
    <s v="Small Business"/>
    <x v="0"/>
    <x v="7"/>
    <s v="Small Box"/>
    <s v="HP Office Paper (20Lb. and 87 Bright)"/>
    <n v="0.37"/>
    <s v="United States"/>
    <s v="South"/>
    <s v="Florida"/>
    <s v="North Miami Beach"/>
    <n v="33160"/>
    <d v="2015-03-28T00:00:00"/>
    <d v="2015-03-29T00:00:00"/>
    <n v="-2.3519999999999999"/>
    <n v="11"/>
    <x v="1609"/>
    <n v="88626"/>
    <n v="849.2"/>
  </r>
  <r>
    <n v="243.98"/>
    <n v="43.32"/>
    <n v="2880"/>
    <s v="Grace Black"/>
    <s v="Delivery Truck"/>
    <s v="Small Business"/>
    <x v="1"/>
    <x v="1"/>
    <s v="Jumbo Drum"/>
    <s v="Hon Deluxe Fabric Upholstered Stacking Chairs, Rounded Back"/>
    <n v="0.55000000000000004"/>
    <s v="United States"/>
    <s v="South"/>
    <s v="Florida"/>
    <s v="North Miami Beach"/>
    <n v="33160"/>
    <d v="2015-05-08T00:00:00"/>
    <d v="2015-05-13T00:00:00"/>
    <n v="1059.288"/>
    <n v="25"/>
    <x v="1610"/>
    <n v="88627"/>
    <n v="139697.25"/>
  </r>
  <r>
    <n v="4.0599999999999996"/>
    <n v="6.89"/>
    <n v="2882"/>
    <s v="Andrew Gonzalez"/>
    <s v="Regular Air"/>
    <s v="Consumer"/>
    <x v="0"/>
    <x v="15"/>
    <s v="Small Box"/>
    <s v="Eureka Disposable Bags for Sanitaire® Vibra Groomer I® Upright Vac"/>
    <n v="0.6"/>
    <s v="United States"/>
    <s v="South"/>
    <s v="North Carolina"/>
    <s v="Charlotte"/>
    <n v="28206"/>
    <d v="2015-02-20T00:00:00"/>
    <d v="2015-02-22T00:00:00"/>
    <n v="-246.27610000000001"/>
    <n v="37"/>
    <x v="1611"/>
    <n v="55300"/>
    <n v="5915.9299999999994"/>
  </r>
  <r>
    <n v="3.75"/>
    <n v="0.5"/>
    <n v="2882"/>
    <s v="Andrew Gonzalez"/>
    <s v="Regular Air"/>
    <s v="Consumer"/>
    <x v="0"/>
    <x v="9"/>
    <s v="Small Box"/>
    <s v="Avery 510"/>
    <n v="0.37"/>
    <s v="United States"/>
    <s v="South"/>
    <s v="North Carolina"/>
    <s v="Charlotte"/>
    <n v="28206"/>
    <d v="2015-02-20T00:00:00"/>
    <d v="2015-02-21T00:00:00"/>
    <n v="55.194600000000001"/>
    <n v="48"/>
    <x v="1612"/>
    <n v="55300"/>
    <n v="8663.0399999999991"/>
  </r>
  <r>
    <n v="10.68"/>
    <n v="13.04"/>
    <n v="2882"/>
    <s v="Andrew Gonzalez"/>
    <s v="Regular Air"/>
    <s v="Consumer"/>
    <x v="1"/>
    <x v="2"/>
    <s v="Large Box"/>
    <s v="Dana Swing-Arm Lamps"/>
    <n v="0.6"/>
    <s v="United States"/>
    <s v="South"/>
    <s v="North Carolina"/>
    <s v="Charlotte"/>
    <n v="28206"/>
    <d v="2015-02-20T00:00:00"/>
    <d v="2015-02-22T00:00:00"/>
    <n v="-307.29649999999998"/>
    <n v="31"/>
    <x v="1613"/>
    <n v="55300"/>
    <n v="10864.880000000001"/>
  </r>
  <r>
    <n v="28.99"/>
    <n v="8.59"/>
    <n v="2882"/>
    <s v="Andrew Gonzalez"/>
    <s v="Regular Air"/>
    <s v="Consumer"/>
    <x v="2"/>
    <x v="5"/>
    <s v="Medium Box"/>
    <s v="SouthWestern Bell FA970 Digital Answering Machine with Time/Day Stamp"/>
    <n v="0.56000000000000005"/>
    <s v="United States"/>
    <s v="South"/>
    <s v="North Carolina"/>
    <s v="Charlotte"/>
    <n v="28206"/>
    <d v="2015-03-19T00:00:00"/>
    <d v="2015-03-19T00:00:00"/>
    <n v="-16.063739999999999"/>
    <n v="39"/>
    <x v="1614"/>
    <n v="16676"/>
    <n v="36535.199999999997"/>
  </r>
  <r>
    <n v="6.48"/>
    <n v="8.73"/>
    <n v="2882"/>
    <s v="Andrew Gonzalez"/>
    <s v="Regular Air"/>
    <s v="Consumer"/>
    <x v="0"/>
    <x v="7"/>
    <s v="Small Box"/>
    <s v="Xerox 227"/>
    <n v="0.37"/>
    <s v="United States"/>
    <s v="South"/>
    <s v="North Carolina"/>
    <s v="Charlotte"/>
    <n v="28206"/>
    <d v="2015-05-09T00:00:00"/>
    <d v="2015-05-09T00:00:00"/>
    <n v="-160.38470000000001"/>
    <n v="35"/>
    <x v="1615"/>
    <n v="4839"/>
    <n v="8137.5"/>
  </r>
  <r>
    <n v="363.25"/>
    <n v="19.989999999999998"/>
    <n v="2882"/>
    <s v="Andrew Gonzalez"/>
    <s v="Regular Air"/>
    <s v="Consumer"/>
    <x v="0"/>
    <x v="15"/>
    <s v="Small Box"/>
    <s v="Hoover WindTunnel™ Plus Canister Vacuum"/>
    <n v="0.56999999999999995"/>
    <s v="United States"/>
    <s v="South"/>
    <s v="North Carolina"/>
    <s v="Charlotte"/>
    <n v="28206"/>
    <d v="2015-06-05T00:00:00"/>
    <d v="2015-06-06T00:00:00"/>
    <n v="732.26980000000003"/>
    <n v="21"/>
    <x v="1616"/>
    <n v="21958"/>
    <n v="157438.05000000002"/>
  </r>
  <r>
    <n v="63.94"/>
    <n v="14.48"/>
    <n v="2882"/>
    <s v="Andrew Gonzalez"/>
    <s v="Express Air"/>
    <s v="Consumer"/>
    <x v="1"/>
    <x v="2"/>
    <s v="Small Box"/>
    <s v="Howard Miller 16&quot; Diameter Gallery Wall Clock"/>
    <n v="0.46"/>
    <s v="United States"/>
    <s v="South"/>
    <s v="North Carolina"/>
    <s v="Charlotte"/>
    <n v="28206"/>
    <d v="2015-06-30T00:00:00"/>
    <d v="2015-07-07T00:00:00"/>
    <n v="270.87430000000001"/>
    <n v="21"/>
    <x v="1617"/>
    <n v="40224"/>
    <n v="28063.35"/>
  </r>
  <r>
    <n v="43.98"/>
    <n v="1.99"/>
    <n v="2882"/>
    <s v="Andrew Gonzalez"/>
    <s v="Regular Air"/>
    <s v="Consumer"/>
    <x v="2"/>
    <x v="13"/>
    <s v="Small Pack"/>
    <s v="Memorex 80 Minute CD-R Spindle, 100/Pack"/>
    <n v="0.44"/>
    <s v="United States"/>
    <s v="South"/>
    <s v="North Carolina"/>
    <s v="Charlotte"/>
    <n v="28206"/>
    <d v="2015-01-21T00:00:00"/>
    <d v="2015-01-25T00:00:00"/>
    <n v="333.76049999999998"/>
    <n v="40"/>
    <x v="1618"/>
    <n v="50917"/>
    <n v="68960.399999999994"/>
  </r>
  <r>
    <n v="6.48"/>
    <n v="8.73"/>
    <n v="2883"/>
    <s v="Stuart Sharma"/>
    <s v="Regular Air"/>
    <s v="Consumer"/>
    <x v="0"/>
    <x v="7"/>
    <s v="Small Box"/>
    <s v="Xerox 227"/>
    <n v="0.37"/>
    <s v="United States"/>
    <s v="East"/>
    <s v="Ohio"/>
    <s v="North Olmsted"/>
    <n v="44070"/>
    <d v="2015-05-09T00:00:00"/>
    <d v="2015-05-09T00:00:00"/>
    <n v="-120.59"/>
    <n v="9"/>
    <x v="1619"/>
    <n v="87632"/>
    <n v="538.11"/>
  </r>
  <r>
    <n v="28.99"/>
    <n v="8.59"/>
    <n v="2884"/>
    <s v="Stuart C Robinson"/>
    <s v="Regular Air"/>
    <s v="Consumer"/>
    <x v="2"/>
    <x v="5"/>
    <s v="Medium Box"/>
    <s v="SouthWestern Bell FA970 Digital Answering Machine with Time/Day Stamp"/>
    <n v="0.56000000000000005"/>
    <s v="United States"/>
    <s v="East"/>
    <s v="Ohio"/>
    <s v="North Ridgeville"/>
    <n v="44039"/>
    <d v="2015-03-19T00:00:00"/>
    <d v="2015-03-19T00:00:00"/>
    <n v="-12.077999999999999"/>
    <n v="10"/>
    <x v="1620"/>
    <n v="87631"/>
    <n v="2402.1"/>
  </r>
  <r>
    <n v="363.25"/>
    <n v="19.989999999999998"/>
    <n v="2884"/>
    <s v="Stuart C Robinson"/>
    <s v="Regular Air"/>
    <s v="Consumer"/>
    <x v="0"/>
    <x v="15"/>
    <s v="Small Box"/>
    <s v="Hoover WindTunnel™ Plus Canister Vacuum"/>
    <n v="0.56999999999999995"/>
    <s v="United States"/>
    <s v="East"/>
    <s v="Ohio"/>
    <s v="North Ridgeville"/>
    <n v="44039"/>
    <d v="2015-06-05T00:00:00"/>
    <d v="2015-06-06T00:00:00"/>
    <n v="1231.6569"/>
    <n v="5"/>
    <x v="1621"/>
    <n v="87633"/>
    <n v="8925.0499999999993"/>
  </r>
  <r>
    <n v="63.94"/>
    <n v="14.48"/>
    <n v="2885"/>
    <s v="Gary Frazier"/>
    <s v="Express Air"/>
    <s v="Consumer"/>
    <x v="1"/>
    <x v="2"/>
    <s v="Small Box"/>
    <s v="Howard Miller 16&quot; Diameter Gallery Wall Clock"/>
    <n v="0.46"/>
    <s v="United States"/>
    <s v="East"/>
    <s v="Ohio"/>
    <s v="North Royalton"/>
    <n v="44133"/>
    <d v="2015-06-30T00:00:00"/>
    <d v="2015-07-07T00:00:00"/>
    <n v="219.54419999999999"/>
    <n v="5"/>
    <x v="1622"/>
    <n v="87634"/>
    <n v="1590.9"/>
  </r>
  <r>
    <n v="4.0599999999999996"/>
    <n v="6.89"/>
    <n v="2886"/>
    <s v="Gretchen McKinney"/>
    <s v="Regular Air"/>
    <s v="Consumer"/>
    <x v="0"/>
    <x v="15"/>
    <s v="Small Box"/>
    <s v="Eureka Disposable Bags for Sanitaire® Vibra Groomer I® Upright Vac"/>
    <n v="0.6"/>
    <s v="United States"/>
    <s v="East"/>
    <s v="Ohio"/>
    <s v="Parma"/>
    <n v="44134"/>
    <d v="2015-02-20T00:00:00"/>
    <d v="2015-02-22T00:00:00"/>
    <n v="-185.17"/>
    <n v="9"/>
    <x v="1623"/>
    <n v="87630"/>
    <n v="350.01"/>
  </r>
  <r>
    <n v="3.75"/>
    <n v="0.5"/>
    <n v="2886"/>
    <s v="Gretchen McKinney"/>
    <s v="Regular Air"/>
    <s v="Consumer"/>
    <x v="0"/>
    <x v="9"/>
    <s v="Small Box"/>
    <s v="Avery 510"/>
    <n v="0.37"/>
    <s v="United States"/>
    <s v="East"/>
    <s v="Ohio"/>
    <s v="Parma"/>
    <n v="44134"/>
    <d v="2015-02-20T00:00:00"/>
    <d v="2015-02-21T00:00:00"/>
    <n v="31.1328"/>
    <n v="12"/>
    <x v="1624"/>
    <n v="87630"/>
    <n v="541.43999999999994"/>
  </r>
  <r>
    <n v="10.68"/>
    <n v="13.04"/>
    <n v="2886"/>
    <s v="Gretchen McKinney"/>
    <s v="Regular Air"/>
    <s v="Consumer"/>
    <x v="1"/>
    <x v="2"/>
    <s v="Large Box"/>
    <s v="Dana Swing-Arm Lamps"/>
    <n v="0.6"/>
    <s v="United States"/>
    <s v="East"/>
    <s v="Ohio"/>
    <s v="Parma"/>
    <n v="44134"/>
    <d v="2015-02-20T00:00:00"/>
    <d v="2015-02-22T00:00:00"/>
    <n v="-231.05"/>
    <n v="8"/>
    <x v="1625"/>
    <n v="87630"/>
    <n v="723.6"/>
  </r>
  <r>
    <n v="209.37"/>
    <n v="69"/>
    <n v="2892"/>
    <s v="Benjamin Porter"/>
    <s v="Regular Air"/>
    <s v="Consumer"/>
    <x v="1"/>
    <x v="11"/>
    <s v="Large Box"/>
    <s v="Hon 2111 Invitation™ Series Corner Table"/>
    <n v="0.79"/>
    <s v="United States"/>
    <s v="Central"/>
    <s v="Michigan"/>
    <s v="Livonia"/>
    <n v="48154"/>
    <d v="2015-02-23T00:00:00"/>
    <d v="2015-02-25T00:00:00"/>
    <n v="-165.59492040000001"/>
    <n v="11"/>
    <x v="1626"/>
    <n v="90011"/>
    <n v="23376.32"/>
  </r>
  <r>
    <n v="4.9800000000000004"/>
    <n v="4.7"/>
    <n v="2893"/>
    <s v="Kathryn Tate"/>
    <s v="Regular Air"/>
    <s v="Consumer"/>
    <x v="0"/>
    <x v="7"/>
    <s v="Small Box"/>
    <s v="Staples Copy Paper (20Lb. and 84 Bright)"/>
    <n v="0.38"/>
    <s v="United States"/>
    <s v="Central"/>
    <s v="Michigan"/>
    <s v="Madison Heights"/>
    <n v="48071"/>
    <d v="2015-02-23T00:00:00"/>
    <d v="2015-02-24T00:00:00"/>
    <n v="-21.684000000000001"/>
    <n v="9"/>
    <x v="1627"/>
    <n v="90011"/>
    <n v="405.45"/>
  </r>
  <r>
    <n v="880.98"/>
    <n v="44.55"/>
    <n v="2896"/>
    <s v="Anna Ellis"/>
    <s v="Delivery Truck"/>
    <s v="Home Office"/>
    <x v="1"/>
    <x v="14"/>
    <s v="Jumbo Box"/>
    <s v="Riverside Palais Royal Lawyers Bookcase, Royale Cherry Finish"/>
    <n v="0.62"/>
    <s v="United States"/>
    <s v="Central"/>
    <s v="Minnesota"/>
    <s v="Mankato"/>
    <n v="56001"/>
    <d v="2015-01-22T00:00:00"/>
    <d v="2015-01-26T00:00:00"/>
    <n v="4861.0637999999999"/>
    <n v="8"/>
    <x v="1628"/>
    <n v="86925"/>
    <n v="56360.160000000003"/>
  </r>
  <r>
    <n v="22.84"/>
    <n v="16.920000000000002"/>
    <n v="2896"/>
    <s v="Anna Ellis"/>
    <s v="Regular Air"/>
    <s v="Home Office"/>
    <x v="0"/>
    <x v="7"/>
    <s v="Small Box"/>
    <s v="Xerox 1973"/>
    <n v="0.39"/>
    <s v="United States"/>
    <s v="Central"/>
    <s v="Minnesota"/>
    <s v="Mankato"/>
    <n v="56001"/>
    <d v="2015-03-12T00:00:00"/>
    <d v="2015-03-14T00:00:00"/>
    <n v="-83.75"/>
    <n v="15"/>
    <x v="1629"/>
    <n v="86927"/>
    <n v="5559.3"/>
  </r>
  <r>
    <n v="80.97"/>
    <n v="30.06"/>
    <n v="2897"/>
    <s v="Betty Giles"/>
    <s v="Delivery Truck"/>
    <s v="Home Office"/>
    <x v="2"/>
    <x v="6"/>
    <s v="Jumbo Box"/>
    <s v="Hewlett-Packard Deskjet 940 REFURBISHED Color Inkjet Printer"/>
    <n v="0.4"/>
    <s v="United States"/>
    <s v="Central"/>
    <s v="Minnesota"/>
    <s v="Maple Grove"/>
    <n v="55369"/>
    <d v="2015-02-13T00:00:00"/>
    <d v="2015-02-14T00:00:00"/>
    <n v="565.17999999999995"/>
    <n v="11"/>
    <x v="1630"/>
    <n v="86926"/>
    <n v="9946.75"/>
  </r>
  <r>
    <n v="6.48"/>
    <n v="10.050000000000001"/>
    <n v="2897"/>
    <s v="Betty Giles"/>
    <s v="Regular Air"/>
    <s v="Home Office"/>
    <x v="0"/>
    <x v="7"/>
    <s v="Small Box"/>
    <s v="Xerox 1997"/>
    <n v="0.37"/>
    <s v="United States"/>
    <s v="Central"/>
    <s v="Minnesota"/>
    <s v="Maple Grove"/>
    <n v="55369"/>
    <d v="2015-02-13T00:00:00"/>
    <d v="2015-02-15T00:00:00"/>
    <n v="-38.72"/>
    <n v="2"/>
    <x v="1631"/>
    <n v="86926"/>
    <n v="32.619999999999997"/>
  </r>
  <r>
    <n v="70.89"/>
    <n v="89.3"/>
    <n v="2903"/>
    <s v="Frances Powers"/>
    <s v="Delivery Truck"/>
    <s v="Small Business"/>
    <x v="1"/>
    <x v="11"/>
    <s v="Jumbo Box"/>
    <s v="KI Conference Tables"/>
    <n v="0.72"/>
    <s v="United States"/>
    <s v="East"/>
    <s v="Ohio"/>
    <s v="Reynoldsburg"/>
    <n v="43068"/>
    <d v="2015-06-25T00:00:00"/>
    <d v="2015-06-25T00:00:00"/>
    <n v="65.077020000000005"/>
    <n v="6"/>
    <x v="1632"/>
    <n v="87374"/>
    <n v="2185.56"/>
  </r>
  <r>
    <n v="4.13"/>
    <n v="0.99"/>
    <n v="2908"/>
    <s v="Robyn Lyon"/>
    <s v="Regular Air"/>
    <s v="Home Office"/>
    <x v="0"/>
    <x v="9"/>
    <s v="Small Box"/>
    <s v="Avery 491"/>
    <n v="0.39"/>
    <s v="United States"/>
    <s v="East"/>
    <s v="Ohio"/>
    <s v="Garfield Heights"/>
    <n v="44125"/>
    <d v="2015-01-08T00:00:00"/>
    <d v="2015-01-08T00:00:00"/>
    <n v="10.959199999999999"/>
    <n v="4"/>
    <x v="1633"/>
    <n v="88156"/>
    <n v="64.28"/>
  </r>
  <r>
    <n v="22.72"/>
    <n v="8.99"/>
    <n v="2908"/>
    <s v="Robyn Lyon"/>
    <s v="Regular Air"/>
    <s v="Home Office"/>
    <x v="1"/>
    <x v="2"/>
    <s v="Small Pack"/>
    <s v="Executive Impressions 14&quot; Two-Color Numerals Wall Clock"/>
    <n v="0.44"/>
    <s v="United States"/>
    <s v="East"/>
    <s v="Ohio"/>
    <s v="Garfield Heights"/>
    <n v="44125"/>
    <d v="2015-01-08T00:00:00"/>
    <d v="2015-01-08T00:00:00"/>
    <n v="17.429400000000001"/>
    <n v="1"/>
    <x v="1518"/>
    <n v="88156"/>
    <n v="25.26"/>
  </r>
  <r>
    <n v="34.979999999999997"/>
    <n v="7.53"/>
    <n v="2908"/>
    <s v="Robyn Lyon"/>
    <s v="Express Air"/>
    <s v="Home Office"/>
    <x v="2"/>
    <x v="13"/>
    <s v="Small Box"/>
    <s v="Fellowes EZ Multi-Media Keyboard"/>
    <n v="0.76"/>
    <s v="United States"/>
    <s v="East"/>
    <s v="Ohio"/>
    <s v="Garfield Heights"/>
    <n v="44125"/>
    <d v="2015-02-28T00:00:00"/>
    <d v="2015-03-03T00:00:00"/>
    <n v="-32.666400000000003"/>
    <n v="16"/>
    <x v="1634"/>
    <n v="88157"/>
    <n v="9297.2800000000007"/>
  </r>
  <r>
    <n v="3.14"/>
    <n v="1.92"/>
    <n v="2908"/>
    <s v="Robyn Lyon"/>
    <s v="Regular Air"/>
    <s v="Home Office"/>
    <x v="0"/>
    <x v="12"/>
    <s v="Wrap Bag"/>
    <s v="Serrated Blade or Curved Handle Hand Letter Openers"/>
    <n v="0.84"/>
    <s v="United States"/>
    <s v="East"/>
    <s v="Ohio"/>
    <s v="Garfield Heights"/>
    <n v="44125"/>
    <d v="2015-02-28T00:00:00"/>
    <d v="2015-03-02T00:00:00"/>
    <n v="-13.135199999999999"/>
    <n v="8"/>
    <x v="1635"/>
    <n v="88157"/>
    <n v="220.24"/>
  </r>
  <r>
    <n v="4.13"/>
    <n v="0.99"/>
    <n v="2912"/>
    <s v="Hannah Carver"/>
    <s v="Express Air"/>
    <s v="Home Office"/>
    <x v="0"/>
    <x v="9"/>
    <s v="Small Box"/>
    <s v="Avery 491"/>
    <n v="0.39"/>
    <s v="United States"/>
    <s v="Central"/>
    <s v="North Dakota"/>
    <s v="Grand Forks"/>
    <n v="58201"/>
    <d v="2015-04-28T00:00:00"/>
    <d v="2015-04-30T00:00:00"/>
    <n v="22.307700000000001"/>
    <n v="7"/>
    <x v="1636"/>
    <n v="87396"/>
    <n v="226.31"/>
  </r>
  <r>
    <n v="55.48"/>
    <n v="14.3"/>
    <n v="2912"/>
    <s v="Hannah Carver"/>
    <s v="Regular Air"/>
    <s v="Home Office"/>
    <x v="0"/>
    <x v="7"/>
    <s v="Small Box"/>
    <s v="Xerox 194"/>
    <n v="0.37"/>
    <s v="United States"/>
    <s v="Central"/>
    <s v="North Dakota"/>
    <s v="Grand Forks"/>
    <n v="58201"/>
    <d v="2015-04-28T00:00:00"/>
    <d v="2015-04-30T00:00:00"/>
    <n v="443.02140000000003"/>
    <n v="12"/>
    <x v="1637"/>
    <n v="87396"/>
    <n v="7704.7199999999993"/>
  </r>
  <r>
    <n v="535.64"/>
    <n v="14.7"/>
    <n v="2920"/>
    <s v="Ernest Peele"/>
    <s v="Delivery Truck"/>
    <s v="Home Office"/>
    <x v="2"/>
    <x v="6"/>
    <s v="Jumbo Drum"/>
    <s v="Epson LQ-870 Dot Matrix Printer"/>
    <n v="0.59"/>
    <s v="United States"/>
    <s v="Central"/>
    <s v="Illinois"/>
    <s v="Chicago"/>
    <n v="60603"/>
    <d v="2015-06-07T00:00:00"/>
    <d v="2015-06-09T00:00:00"/>
    <n v="-1220.9145000000001"/>
    <n v="2"/>
    <x v="1638"/>
    <n v="59365"/>
    <n v="2137.1999999999998"/>
  </r>
  <r>
    <n v="6.37"/>
    <n v="5.19"/>
    <n v="2923"/>
    <s v="Lynne Griffith"/>
    <s v="Regular Air"/>
    <s v="Consumer"/>
    <x v="0"/>
    <x v="8"/>
    <s v="Small Box"/>
    <s v="C-Line Peel &amp; Stick Add-On Filing Pockets, 8-3/4 x 5-1/8, 10/Pack"/>
    <n v="0.38"/>
    <s v="United States"/>
    <s v="East"/>
    <s v="Maryland"/>
    <s v="Hagerstown"/>
    <n v="21740"/>
    <d v="2015-02-28T00:00:00"/>
    <d v="2015-03-02T00:00:00"/>
    <n v="-27.1492"/>
    <n v="15"/>
    <x v="1223"/>
    <n v="86592"/>
    <n v="1496.25"/>
  </r>
  <r>
    <n v="110.98"/>
    <n v="13.99"/>
    <n v="2924"/>
    <s v="Courtney Nelson"/>
    <s v="Regular Air"/>
    <s v="Consumer"/>
    <x v="1"/>
    <x v="2"/>
    <s v="Medium Box"/>
    <s v="Rubbermaid ClusterMat Chairmats, Mat Size- 66&quot; x 60&quot;, Lip 20&quot; x 11&quot; -90 Degree Angle"/>
    <n v="0.69"/>
    <s v="United States"/>
    <s v="East"/>
    <s v="Maryland"/>
    <s v="Laurel"/>
    <n v="20707"/>
    <d v="2015-01-16T00:00:00"/>
    <d v="2015-01-18T00:00:00"/>
    <n v="-106.3424"/>
    <n v="2"/>
    <x v="1639"/>
    <n v="86591"/>
    <n v="453.06"/>
  </r>
  <r>
    <n v="8.01"/>
    <n v="2.87"/>
    <n v="2924"/>
    <s v="Courtney Nelson"/>
    <s v="Regular Air"/>
    <s v="Consumer"/>
    <x v="0"/>
    <x v="7"/>
    <s v="Wrap Bag"/>
    <s v="TOPS Money Receipt Book, Consecutively Numbered in Red,"/>
    <n v="0.4"/>
    <s v="United States"/>
    <s v="East"/>
    <s v="Maryland"/>
    <s v="Laurel"/>
    <n v="20707"/>
    <d v="2015-01-16T00:00:00"/>
    <d v="2015-01-18T00:00:00"/>
    <n v="44.976799999999997"/>
    <n v="8"/>
    <x v="1640"/>
    <n v="86591"/>
    <n v="549.20000000000005"/>
  </r>
  <r>
    <n v="5.58"/>
    <n v="2.99"/>
    <n v="2928"/>
    <s v="Leslie Woodard"/>
    <s v="Regular Air"/>
    <s v="Consumer"/>
    <x v="0"/>
    <x v="8"/>
    <s v="Small Box"/>
    <s v="Avery Heavy-Duty EZD ™ Binder With Locking Rings"/>
    <n v="0.37"/>
    <s v="United States"/>
    <s v="South"/>
    <s v="South Carolina"/>
    <s v="Charleston"/>
    <n v="29418"/>
    <d v="2015-05-26T00:00:00"/>
    <d v="2015-05-28T00:00:00"/>
    <n v="689.32799999999997"/>
    <n v="42"/>
    <x v="1641"/>
    <n v="90218"/>
    <n v="9946.86"/>
  </r>
  <r>
    <n v="54.1"/>
    <n v="19.989999999999998"/>
    <n v="2928"/>
    <s v="Leslie Woodard"/>
    <s v="Regular Air"/>
    <s v="Consumer"/>
    <x v="0"/>
    <x v="10"/>
    <s v="Small Box"/>
    <s v="Desktop 3-Pocket Hot File®"/>
    <n v="0.59"/>
    <s v="United States"/>
    <s v="South"/>
    <s v="South Carolina"/>
    <s v="Charleston"/>
    <n v="29418"/>
    <d v="2015-05-26T00:00:00"/>
    <d v="2015-05-27T00:00:00"/>
    <n v="-33.585999999999999"/>
    <n v="36"/>
    <x v="1642"/>
    <n v="90218"/>
    <n v="70015.319999999992"/>
  </r>
  <r>
    <n v="11.55"/>
    <n v="2.36"/>
    <n v="2931"/>
    <s v="Faye Hanna"/>
    <s v="Regular Air"/>
    <s v="Small Business"/>
    <x v="0"/>
    <x v="0"/>
    <s v="Wrap Bag"/>
    <s v="Newell 309"/>
    <n v="0.55000000000000004"/>
    <s v="United States"/>
    <s v="West"/>
    <s v="California"/>
    <s v="El Dorado Hills"/>
    <n v="95630"/>
    <d v="2015-02-28T00:00:00"/>
    <d v="2015-02-28T00:00:00"/>
    <n v="69.767200000000003"/>
    <n v="12"/>
    <x v="1643"/>
    <n v="87619"/>
    <n v="1629.2400000000002"/>
  </r>
  <r>
    <n v="35.44"/>
    <n v="19.989999999999998"/>
    <n v="2932"/>
    <s v="Phyllis Hull"/>
    <s v="Regular Air"/>
    <s v="Small Business"/>
    <x v="0"/>
    <x v="7"/>
    <s v="Small Box"/>
    <s v="Xerox 1880"/>
    <n v="0.38"/>
    <s v="United States"/>
    <s v="East"/>
    <s v="Connecticut"/>
    <s v="Stratford"/>
    <n v="6614"/>
    <d v="2015-04-22T00:00:00"/>
    <d v="2015-04-23T00:00:00"/>
    <n v="-52.822800000000001"/>
    <n v="1"/>
    <x v="1644"/>
    <n v="87620"/>
    <n v="55.43"/>
  </r>
  <r>
    <n v="3.8"/>
    <n v="1.49"/>
    <n v="2935"/>
    <s v="Shirley Riley"/>
    <s v="Regular Air"/>
    <s v="Small Business"/>
    <x v="0"/>
    <x v="8"/>
    <s v="Small Box"/>
    <s v="Durable Pressboard Binders"/>
    <n v="0.38"/>
    <s v="United States"/>
    <s v="East"/>
    <s v="Massachusetts"/>
    <s v="Boston"/>
    <n v="2215"/>
    <d v="2015-05-11T00:00:00"/>
    <d v="2015-05-15T00:00:00"/>
    <n v="7.31"/>
    <n v="5"/>
    <x v="1645"/>
    <n v="87617"/>
    <n v="102.30000000000001"/>
  </r>
  <r>
    <n v="47.9"/>
    <n v="5.86"/>
    <n v="2938"/>
    <s v="Laurie Case Daniel"/>
    <s v="Regular Air"/>
    <s v="Small Business"/>
    <x v="0"/>
    <x v="7"/>
    <s v="Small Box"/>
    <s v="Xerox 1938"/>
    <n v="0.37"/>
    <s v="United States"/>
    <s v="East"/>
    <s v="Massachusetts"/>
    <s v="Stoneham"/>
    <n v="2180"/>
    <d v="2015-04-22T00:00:00"/>
    <d v="2015-04-25T00:00:00"/>
    <n v="642.99030000000005"/>
    <n v="20"/>
    <x v="1646"/>
    <n v="87620"/>
    <n v="18637.400000000001"/>
  </r>
  <r>
    <n v="2.62"/>
    <n v="0.8"/>
    <n v="2941"/>
    <s v="Leah Pollock"/>
    <s v="Regular Air"/>
    <s v="Small Business"/>
    <x v="0"/>
    <x v="3"/>
    <s v="Wrap Bag"/>
    <s v="Staples Metal Binder Clips"/>
    <n v="0.39"/>
    <s v="United States"/>
    <s v="East"/>
    <s v="New Jersey"/>
    <s v="Morristown"/>
    <n v="7960"/>
    <d v="2015-05-26T00:00:00"/>
    <d v="2015-05-27T00:00:00"/>
    <n v="12.71"/>
    <n v="8"/>
    <x v="1647"/>
    <n v="87618"/>
    <n v="171.28"/>
  </r>
  <r>
    <n v="4.55"/>
    <n v="1.49"/>
    <n v="2944"/>
    <s v="Elsie Lane"/>
    <s v="Regular Air"/>
    <s v="Corporate"/>
    <x v="0"/>
    <x v="8"/>
    <s v="Small Box"/>
    <s v="Presstex Flexible Ring Binders"/>
    <n v="0.35"/>
    <s v="United States"/>
    <s v="Central"/>
    <s v="Michigan"/>
    <s v="Midland"/>
    <n v="48640"/>
    <d v="2015-03-05T00:00:00"/>
    <d v="2015-03-07T00:00:00"/>
    <n v="28.288"/>
    <n v="13"/>
    <x v="1648"/>
    <n v="90309"/>
    <n v="776.75"/>
  </r>
  <r>
    <n v="7.64"/>
    <n v="1.39"/>
    <n v="2947"/>
    <s v="Kathy Turner"/>
    <s v="Regular Air"/>
    <s v="Consumer"/>
    <x v="0"/>
    <x v="4"/>
    <s v="Small Box"/>
    <s v="Security-Tint Envelopes"/>
    <n v="0.36"/>
    <s v="United States"/>
    <s v="East"/>
    <s v="New York"/>
    <s v="Depew"/>
    <n v="14043"/>
    <d v="2015-02-04T00:00:00"/>
    <d v="2015-02-07T00:00:00"/>
    <n v="112.1181"/>
    <n v="20"/>
    <x v="1649"/>
    <n v="87511"/>
    <n v="3249.8"/>
  </r>
  <r>
    <n v="42.98"/>
    <n v="4.62"/>
    <n v="2951"/>
    <s v="Jordan Womble"/>
    <s v="Express Air"/>
    <s v="Corporate"/>
    <x v="0"/>
    <x v="15"/>
    <s v="Small Box"/>
    <s v="Belkin F9M820V08 8 Outlet Surge"/>
    <n v="0.56000000000000005"/>
    <s v="United States"/>
    <s v="Central"/>
    <s v="Kansas"/>
    <s v="Hays"/>
    <n v="67601"/>
    <d v="2015-02-15T00:00:00"/>
    <d v="2015-02-17T00:00:00"/>
    <n v="565.38599999999997"/>
    <n v="19"/>
    <x v="1650"/>
    <n v="91397"/>
    <n v="15568.6"/>
  </r>
  <r>
    <n v="89.99"/>
    <n v="42"/>
    <n v="2951"/>
    <s v="Jordan Womble"/>
    <s v="Delivery Truck"/>
    <s v="Corporate"/>
    <x v="1"/>
    <x v="1"/>
    <s v="Jumbo Drum"/>
    <s v="Global Leather Task Chair, Black"/>
    <n v="0.66"/>
    <s v="United States"/>
    <s v="Central"/>
    <s v="Kansas"/>
    <s v="Hays"/>
    <n v="67601"/>
    <d v="2015-02-15T00:00:00"/>
    <d v="2015-02-18T00:00:00"/>
    <n v="-230.9528"/>
    <n v="19"/>
    <x v="1651"/>
    <n v="91397"/>
    <n v="34385.25"/>
  </r>
  <r>
    <n v="5.74"/>
    <n v="5.01"/>
    <n v="2952"/>
    <s v="Thelma Murray"/>
    <s v="Express Air"/>
    <s v="Corporate"/>
    <x v="0"/>
    <x v="8"/>
    <s v="Small Box"/>
    <s v="Binder Posts"/>
    <n v="0.39"/>
    <s v="United States"/>
    <s v="East"/>
    <s v="Ohio"/>
    <s v="Grove City"/>
    <n v="43123"/>
    <d v="2015-04-15T00:00:00"/>
    <d v="2015-04-17T00:00:00"/>
    <n v="-61.628039999999999"/>
    <n v="12"/>
    <x v="1652"/>
    <n v="91398"/>
    <n v="840.36"/>
  </r>
  <r>
    <n v="12.22"/>
    <n v="2.85"/>
    <n v="2954"/>
    <s v="William Sharma"/>
    <s v="Regular Air"/>
    <s v="Consumer"/>
    <x v="1"/>
    <x v="2"/>
    <s v="Small Pack"/>
    <s v="Aluminum Document Frame"/>
    <n v="0.55000000000000004"/>
    <s v="United States"/>
    <s v="Central"/>
    <s v="Minnesota"/>
    <s v="Maplewood"/>
    <n v="55119"/>
    <d v="2015-06-18T00:00:00"/>
    <d v="2015-06-25T00:00:00"/>
    <n v="70.676699999999997"/>
    <n v="9"/>
    <x v="1653"/>
    <n v="86427"/>
    <n v="921.87000000000012"/>
  </r>
  <r>
    <n v="37.94"/>
    <n v="5.08"/>
    <n v="2957"/>
    <s v="Francis I Davis"/>
    <s v="Express Air"/>
    <s v="Corporate"/>
    <x v="0"/>
    <x v="7"/>
    <s v="Wrap Bag"/>
    <s v="Snap-A-Way® Black Print Carbonless Ruled Speed Letter, Triplicate"/>
    <n v="0.38"/>
    <s v="United States"/>
    <s v="Central"/>
    <s v="Wisconsin"/>
    <s v="Milwaukee"/>
    <n v="53209"/>
    <d v="2015-04-02T00:00:00"/>
    <d v="2015-04-04T00:00:00"/>
    <n v="95.054400000000001"/>
    <n v="4"/>
    <x v="1654"/>
    <n v="90264"/>
    <n v="551.04"/>
  </r>
  <r>
    <n v="20.99"/>
    <n v="0.99"/>
    <n v="2958"/>
    <s v="Ellen Sparks"/>
    <s v="Regular Air"/>
    <s v="Corporate"/>
    <x v="2"/>
    <x v="5"/>
    <s v="Wrap Bag"/>
    <s v="Accessory21"/>
    <n v="0.37"/>
    <s v="United States"/>
    <s v="Central"/>
    <s v="Wisconsin"/>
    <s v="Neenah"/>
    <n v="54956"/>
    <d v="2015-03-23T00:00:00"/>
    <d v="2015-03-28T00:00:00"/>
    <n v="224.9607"/>
    <n v="18"/>
    <x v="1655"/>
    <n v="90265"/>
    <n v="5868.5399999999991"/>
  </r>
  <r>
    <n v="36.549999999999997"/>
    <n v="13.89"/>
    <n v="2960"/>
    <s v="Allan Dickinson"/>
    <s v="Regular Air"/>
    <s v="Corporate"/>
    <x v="0"/>
    <x v="0"/>
    <s v="Wrap Bag"/>
    <s v="Dixon Ticonderoga Core-Lock Colored Pencils, 48-Color Set"/>
    <n v="0.41"/>
    <s v="United States"/>
    <s v="South"/>
    <s v="Arkansas"/>
    <s v="Van Buren"/>
    <n v="72956"/>
    <d v="2015-04-05T00:00:00"/>
    <d v="2015-04-07T00:00:00"/>
    <n v="-89.572000000000003"/>
    <n v="11"/>
    <x v="1656"/>
    <n v="90646"/>
    <n v="4176.92"/>
  </r>
  <r>
    <n v="4.76"/>
    <n v="0.88"/>
    <n v="2962"/>
    <s v="Leonard Strauss"/>
    <s v="Express Air"/>
    <s v="Consumer"/>
    <x v="0"/>
    <x v="7"/>
    <s v="Wrap Bag"/>
    <s v="Wirebound Voice Message Log Book"/>
    <n v="0.39"/>
    <s v="United States"/>
    <s v="West"/>
    <s v="Colorado"/>
    <s v="Louisville"/>
    <n v="80027"/>
    <d v="2015-05-07T00:00:00"/>
    <d v="2015-05-09T00:00:00"/>
    <n v="33.347700000000003"/>
    <n v="10"/>
    <x v="1657"/>
    <n v="88611"/>
    <n v="483.29999999999995"/>
  </r>
  <r>
    <n v="7.98"/>
    <n v="6.5"/>
    <n v="2963"/>
    <s v="Frances Johnson"/>
    <s v="Regular Air"/>
    <s v="Consumer"/>
    <x v="0"/>
    <x v="10"/>
    <s v="Medium Box"/>
    <s v="Iris Project Case"/>
    <n v="0.59"/>
    <s v="United States"/>
    <s v="East"/>
    <s v="Maryland"/>
    <s v="Middle River"/>
    <n v="21220"/>
    <d v="2015-06-22T00:00:00"/>
    <d v="2015-06-23T00:00:00"/>
    <n v="-34.591999999999999"/>
    <n v="4"/>
    <x v="1658"/>
    <n v="88612"/>
    <n v="139.63999999999999"/>
  </r>
  <r>
    <n v="42.98"/>
    <n v="4.62"/>
    <n v="2964"/>
    <s v="Kathy Hinton"/>
    <s v="Regular Air"/>
    <s v="Consumer"/>
    <x v="0"/>
    <x v="15"/>
    <s v="Small Box"/>
    <s v="Belkin F9M820V08 8 Outlet Surge"/>
    <n v="0.56000000000000005"/>
    <s v="United States"/>
    <s v="East"/>
    <s v="Ohio"/>
    <s v="Mount Vernon"/>
    <n v="43050"/>
    <d v="2015-04-21T00:00:00"/>
    <d v="2015-04-23T00:00:00"/>
    <n v="-24.63"/>
    <n v="1"/>
    <x v="1659"/>
    <n v="88610"/>
    <n v="47.04"/>
  </r>
  <r>
    <n v="9.68"/>
    <n v="2.0299999999999998"/>
    <n v="2968"/>
    <s v="Miriam Bowman"/>
    <s v="Regular Air"/>
    <s v="Small Business"/>
    <x v="0"/>
    <x v="7"/>
    <s v="Wrap Bag"/>
    <s v="Wirebound Service Call Books, 5 1/2&quot; x 4&quot;"/>
    <n v="0.37"/>
    <s v="United States"/>
    <s v="South"/>
    <s v="Florida"/>
    <s v="Hollywood"/>
    <n v="33021"/>
    <d v="2015-02-22T00:00:00"/>
    <d v="2015-02-24T00:00:00"/>
    <n v="-536.24199999999996"/>
    <n v="1"/>
    <x v="1660"/>
    <n v="86085"/>
    <n v="10.94"/>
  </r>
  <r>
    <n v="150.97999999999999"/>
    <n v="16.010000000000002"/>
    <n v="2968"/>
    <s v="Miriam Bowman"/>
    <s v="Delivery Truck"/>
    <s v="Small Business"/>
    <x v="1"/>
    <x v="11"/>
    <s v="Jumbo Box"/>
    <s v="Iceberg OfficeWorks 42&quot; Round Tables"/>
    <n v="0.7"/>
    <s v="United States"/>
    <s v="South"/>
    <s v="Florida"/>
    <s v="Hollywood"/>
    <n v="33021"/>
    <d v="2015-02-22T00:00:00"/>
    <d v="2015-02-23T00:00:00"/>
    <n v="-125.86"/>
    <n v="5"/>
    <x v="1661"/>
    <n v="86085"/>
    <n v="3656.9"/>
  </r>
  <r>
    <n v="363.25"/>
    <n v="19.989999999999998"/>
    <n v="2968"/>
    <s v="Miriam Bowman"/>
    <s v="Regular Air"/>
    <s v="Small Business"/>
    <x v="0"/>
    <x v="15"/>
    <s v="Small Box"/>
    <s v="Hoover WindTunnel™ Plus Canister Vacuum"/>
    <n v="0.56999999999999995"/>
    <s v="United States"/>
    <s v="South"/>
    <s v="Florida"/>
    <s v="Hollywood"/>
    <n v="33021"/>
    <d v="2015-03-28T00:00:00"/>
    <d v="2015-03-30T00:00:00"/>
    <n v="36.164099999999998"/>
    <n v="1"/>
    <x v="1662"/>
    <n v="86086"/>
    <n v="344.87"/>
  </r>
  <r>
    <n v="30.97"/>
    <n v="4"/>
    <n v="2973"/>
    <s v="Sally Liu"/>
    <s v="Regular Air"/>
    <s v="Home Office"/>
    <x v="2"/>
    <x v="13"/>
    <s v="Small Box"/>
    <s v="Microsoft Multimedia Keyboard"/>
    <n v="0.74"/>
    <s v="United States"/>
    <s v="Central"/>
    <s v="Wisconsin"/>
    <s v="New Berlin"/>
    <n v="53151"/>
    <d v="2015-04-13T00:00:00"/>
    <d v="2015-04-15T00:00:00"/>
    <n v="17.102799999999998"/>
    <n v="17"/>
    <x v="1663"/>
    <n v="87186"/>
    <n v="8892.0199999999986"/>
  </r>
  <r>
    <n v="125.99"/>
    <n v="7.69"/>
    <n v="2973"/>
    <s v="Sally Liu"/>
    <s v="Regular Air"/>
    <s v="Home Office"/>
    <x v="2"/>
    <x v="5"/>
    <s v="Small Box"/>
    <s v="Timeport L7089"/>
    <n v="0.57999999999999996"/>
    <s v="United States"/>
    <s v="Central"/>
    <s v="Wisconsin"/>
    <s v="New Berlin"/>
    <n v="53151"/>
    <d v="2015-04-13T00:00:00"/>
    <d v="2015-04-15T00:00:00"/>
    <n v="1269.3819599999999"/>
    <n v="23"/>
    <x v="1664"/>
    <n v="87186"/>
    <n v="55767.64"/>
  </r>
  <r>
    <n v="442.14"/>
    <n v="14.7"/>
    <n v="2973"/>
    <s v="Sally Liu"/>
    <s v="Delivery Truck"/>
    <s v="Home Office"/>
    <x v="2"/>
    <x v="6"/>
    <s v="Jumbo Drum"/>
    <s v="Okidata ML390 Turbo Dot Matrix Printers"/>
    <n v="0.56000000000000005"/>
    <s v="United States"/>
    <s v="Central"/>
    <s v="Wisconsin"/>
    <s v="New Berlin"/>
    <n v="53151"/>
    <d v="2015-05-20T00:00:00"/>
    <d v="2015-05-21T00:00:00"/>
    <n v="137.68794"/>
    <n v="6"/>
    <x v="1665"/>
    <n v="87187"/>
    <n v="14468.579999999998"/>
  </r>
  <r>
    <n v="35.99"/>
    <n v="0.99"/>
    <n v="2976"/>
    <s v="Fred Barber"/>
    <s v="Regular Air"/>
    <s v="Small Business"/>
    <x v="2"/>
    <x v="5"/>
    <s v="Small Pack"/>
    <s v="Accessory31"/>
    <n v="0.35"/>
    <s v="United States"/>
    <s v="Central"/>
    <s v="Wisconsin"/>
    <s v="Oak Creek"/>
    <n v="53154"/>
    <d v="2015-05-22T00:00:00"/>
    <d v="2015-05-23T00:00:00"/>
    <n v="882.48239999999998"/>
    <n v="41"/>
    <x v="1666"/>
    <n v="89047"/>
    <n v="52437.36"/>
  </r>
  <r>
    <n v="2.94"/>
    <n v="0.7"/>
    <n v="2979"/>
    <s v="Lloyd Dolan"/>
    <s v="Regular Air"/>
    <s v="Corporate"/>
    <x v="0"/>
    <x v="0"/>
    <s v="Wrap Bag"/>
    <s v="Newell 338"/>
    <n v="0.57999999999999996"/>
    <s v="United States"/>
    <s v="Central"/>
    <s v="North Dakota"/>
    <s v="Dickinson"/>
    <n v="58601"/>
    <d v="2015-01-27T00:00:00"/>
    <d v="2015-01-28T00:00:00"/>
    <n v="6.3840000000000003"/>
    <n v="9"/>
    <x v="1667"/>
    <n v="86544"/>
    <n v="226.98"/>
  </r>
  <r>
    <n v="5.34"/>
    <n v="2.99"/>
    <n v="2979"/>
    <s v="Lloyd Dolan"/>
    <s v="Regular Air"/>
    <s v="Corporate"/>
    <x v="0"/>
    <x v="8"/>
    <s v="Small Box"/>
    <s v="Wilson Jones 14 Line Acrylic Coated Pressboard Data Binders"/>
    <n v="0.38"/>
    <s v="United States"/>
    <s v="Central"/>
    <s v="North Dakota"/>
    <s v="Dickinson"/>
    <n v="58601"/>
    <d v="2015-02-26T00:00:00"/>
    <d v="2015-02-28T00:00:00"/>
    <n v="5.2954999999999997"/>
    <n v="6"/>
    <x v="1668"/>
    <n v="86545"/>
    <n v="208.38"/>
  </r>
  <r>
    <n v="40.98"/>
    <n v="7.47"/>
    <n v="2979"/>
    <s v="Lloyd Dolan"/>
    <s v="Regular Air"/>
    <s v="Corporate"/>
    <x v="0"/>
    <x v="8"/>
    <s v="Small Box"/>
    <s v="Wilson Jones Ledger-Size, Piano-Hinge Binder, 2&quot;, Blue"/>
    <n v="0.37"/>
    <s v="United States"/>
    <s v="Central"/>
    <s v="North Dakota"/>
    <s v="Dickinson"/>
    <n v="58601"/>
    <d v="2015-02-26T00:00:00"/>
    <d v="2015-02-27T00:00:00"/>
    <n v="170.79570000000001"/>
    <n v="6"/>
    <x v="1669"/>
    <n v="86545"/>
    <n v="1485.18"/>
  </r>
  <r>
    <n v="5.84"/>
    <n v="0.83"/>
    <n v="2979"/>
    <s v="Lloyd Dolan"/>
    <s v="Regular Air"/>
    <s v="Corporate"/>
    <x v="0"/>
    <x v="0"/>
    <s v="Wrap Bag"/>
    <s v="Avery Hi-Liter® Smear-Safe Highlighters"/>
    <n v="0.49"/>
    <s v="United States"/>
    <s v="Central"/>
    <s v="North Dakota"/>
    <s v="Dickinson"/>
    <n v="58601"/>
    <d v="2015-06-14T00:00:00"/>
    <d v="2015-06-16T00:00:00"/>
    <n v="16.091999999999999"/>
    <n v="4"/>
    <x v="1670"/>
    <n v="86546"/>
    <n v="95.56"/>
  </r>
  <r>
    <n v="43.98"/>
    <n v="8.99"/>
    <n v="2980"/>
    <s v="Joanna Kenney"/>
    <s v="Regular Air"/>
    <s v="Corporate"/>
    <x v="0"/>
    <x v="0"/>
    <s v="Small Pack"/>
    <s v="Boston 1645 Deluxe Heavier-Duty Electric Pencil Sharpener"/>
    <n v="0.57999999999999996"/>
    <s v="United States"/>
    <s v="East"/>
    <s v="Ohio"/>
    <s v="Sandusky"/>
    <n v="44870"/>
    <d v="2015-01-27T00:00:00"/>
    <d v="2015-01-29T00:00:00"/>
    <n v="274.0788"/>
    <n v="10"/>
    <x v="1671"/>
    <n v="86544"/>
    <n v="4544"/>
  </r>
  <r>
    <n v="1.1399999999999999"/>
    <n v="0.7"/>
    <n v="2980"/>
    <s v="Joanna Kenney"/>
    <s v="Regular Air"/>
    <s v="Corporate"/>
    <x v="0"/>
    <x v="3"/>
    <s v="Wrap Bag"/>
    <s v="OIC Thumb-Tacks"/>
    <n v="0.38"/>
    <s v="United States"/>
    <s v="East"/>
    <s v="Ohio"/>
    <s v="Sandusky"/>
    <n v="44870"/>
    <d v="2015-01-27T00:00:00"/>
    <d v="2015-01-30T00:00:00"/>
    <n v="-3.782"/>
    <n v="13"/>
    <x v="869"/>
    <n v="86544"/>
    <n v="188.89"/>
  </r>
  <r>
    <n v="2.61"/>
    <n v="0.5"/>
    <n v="2980"/>
    <s v="Joanna Kenney"/>
    <s v="Regular Air"/>
    <s v="Corporate"/>
    <x v="0"/>
    <x v="9"/>
    <s v="Small Box"/>
    <s v="Avery 494"/>
    <n v="0.39"/>
    <s v="United States"/>
    <s v="East"/>
    <s v="Ohio"/>
    <s v="Sandusky"/>
    <n v="44870"/>
    <d v="2015-02-25T00:00:00"/>
    <d v="2015-02-27T00:00:00"/>
    <n v="10.798500000000001"/>
    <n v="6"/>
    <x v="1672"/>
    <n v="86547"/>
    <n v="93.9"/>
  </r>
  <r>
    <n v="2.88"/>
    <n v="1.01"/>
    <n v="2980"/>
    <s v="Joanna Kenney"/>
    <s v="Regular Air"/>
    <s v="Corporate"/>
    <x v="0"/>
    <x v="0"/>
    <s v="Wrap Bag"/>
    <s v="Sanford Colorific Colored Pencils, 12/Box"/>
    <n v="0.55000000000000004"/>
    <s v="United States"/>
    <s v="East"/>
    <s v="Ohio"/>
    <s v="Sandusky"/>
    <n v="44870"/>
    <d v="2015-05-30T00:00:00"/>
    <d v="2015-06-04T00:00:00"/>
    <n v="15.246"/>
    <n v="39"/>
    <x v="1673"/>
    <n v="86548"/>
    <n v="4364.88"/>
  </r>
  <r>
    <n v="100.98"/>
    <n v="35.840000000000003"/>
    <n v="2987"/>
    <s v="Natalie Watts"/>
    <s v="Delivery Truck"/>
    <s v="Home Office"/>
    <x v="1"/>
    <x v="14"/>
    <s v="Jumbo Box"/>
    <s v="Bush Westfield Collection Bookcases, Fully Assembled"/>
    <n v="0.62"/>
    <s v="United States"/>
    <s v="Central"/>
    <s v="Iowa"/>
    <s v="West Des Moines"/>
    <n v="50265"/>
    <d v="2015-06-28T00:00:00"/>
    <d v="2015-06-28T00:00:00"/>
    <n v="-103.624"/>
    <n v="17"/>
    <x v="1674"/>
    <n v="91180"/>
    <n v="28906.460000000003"/>
  </r>
  <r>
    <n v="5.78"/>
    <n v="7.96"/>
    <n v="2987"/>
    <s v="Natalie Watts"/>
    <s v="Regular Air"/>
    <s v="Home Office"/>
    <x v="0"/>
    <x v="7"/>
    <s v="Small Box"/>
    <s v="Xerox 196"/>
    <n v="0.36"/>
    <s v="United States"/>
    <s v="Central"/>
    <s v="Iowa"/>
    <s v="West Des Moines"/>
    <n v="50265"/>
    <d v="2015-06-28T00:00:00"/>
    <d v="2015-06-28T00:00:00"/>
    <n v="-57.823999999999998"/>
    <n v="6"/>
    <x v="1675"/>
    <n v="91180"/>
    <n v="215.76"/>
  </r>
  <r>
    <n v="70.97"/>
    <n v="3.5"/>
    <n v="2991"/>
    <s v="Sean Herbert"/>
    <s v="Regular Air"/>
    <s v="Home Office"/>
    <x v="0"/>
    <x v="15"/>
    <s v="Small Box"/>
    <s v="Tripp Lite Isotel 8 Ultra 8 Outlet Metal Surge"/>
    <n v="0.59"/>
    <s v="United States"/>
    <s v="Central"/>
    <s v="Wisconsin"/>
    <s v="Racine"/>
    <n v="53402"/>
    <d v="2015-05-08T00:00:00"/>
    <d v="2015-05-13T00:00:00"/>
    <n v="18.218"/>
    <n v="2"/>
    <x v="1676"/>
    <n v="91466"/>
    <n v="283.18"/>
  </r>
  <r>
    <n v="5.28"/>
    <n v="6.26"/>
    <n v="2992"/>
    <s v="Lindsay Webb"/>
    <s v="Regular Air"/>
    <s v="Home Office"/>
    <x v="0"/>
    <x v="7"/>
    <s v="Small Box"/>
    <s v="Xerox 1928"/>
    <n v="0.4"/>
    <s v="United States"/>
    <s v="Central"/>
    <s v="Wisconsin"/>
    <s v="Sheboygan"/>
    <n v="53081"/>
    <d v="2015-05-08T00:00:00"/>
    <d v="2015-05-15T00:00:00"/>
    <n v="25.058"/>
    <n v="36"/>
    <x v="1677"/>
    <n v="91466"/>
    <n v="7309.8"/>
  </r>
  <r>
    <n v="10.98"/>
    <n v="3.37"/>
    <n v="2999"/>
    <s v="Kim McCarthy"/>
    <s v="Regular Air"/>
    <s v="Consumer"/>
    <x v="0"/>
    <x v="12"/>
    <s v="Small Pack"/>
    <s v="Fiskars® Softgrip Scissors"/>
    <n v="0.56999999999999995"/>
    <s v="United States"/>
    <s v="Central"/>
    <s v="Michigan"/>
    <s v="Oak Park"/>
    <n v="48237"/>
    <d v="2015-04-10T00:00:00"/>
    <d v="2015-04-11T00:00:00"/>
    <n v="11.82"/>
    <n v="5"/>
    <x v="1678"/>
    <n v="87041"/>
    <n v="280.95"/>
  </r>
  <r>
    <n v="10.14"/>
    <n v="2.27"/>
    <n v="3000"/>
    <s v="Priscilla Allen"/>
    <s v="Regular Air"/>
    <s v="Consumer"/>
    <x v="0"/>
    <x v="7"/>
    <s v="Wrap Bag"/>
    <s v="Staples Wirebound Steno Books, 6&quot; x 9&quot;, 12/Pack"/>
    <n v="0.36"/>
    <s v="United States"/>
    <s v="Central"/>
    <s v="Michigan"/>
    <s v="Pontiac"/>
    <n v="48342"/>
    <d v="2015-01-26T00:00:00"/>
    <d v="2015-01-28T00:00:00"/>
    <n v="28.152000000000001"/>
    <n v="4"/>
    <x v="1679"/>
    <n v="87042"/>
    <n v="163.19999999999999"/>
  </r>
  <r>
    <n v="5.4"/>
    <n v="7.78"/>
    <n v="3001"/>
    <s v="Anthony Foley"/>
    <s v="Regular Air"/>
    <s v="Consumer"/>
    <x v="0"/>
    <x v="8"/>
    <s v="Small Box"/>
    <s v="3M Organizer Strips"/>
    <n v="0.37"/>
    <s v="United States"/>
    <s v="Central"/>
    <s v="Michigan"/>
    <s v="Port Huron"/>
    <n v="48060"/>
    <d v="2015-03-17T00:00:00"/>
    <d v="2015-03-19T00:00:00"/>
    <n v="-237.54400000000001"/>
    <n v="21"/>
    <x v="1680"/>
    <n v="87043"/>
    <n v="2475.27"/>
  </r>
  <r>
    <n v="85.99"/>
    <n v="0.99"/>
    <n v="3003"/>
    <s v="Roy Rouse"/>
    <s v="Regular Air"/>
    <s v="Home Office"/>
    <x v="2"/>
    <x v="5"/>
    <s v="Wrap Bag"/>
    <s v="Accessory34"/>
    <n v="0.55000000000000004"/>
    <s v="United States"/>
    <s v="West"/>
    <s v="Idaho"/>
    <s v="Coeur D Alene"/>
    <n v="83814"/>
    <d v="2015-03-05T00:00:00"/>
    <d v="2015-03-06T00:00:00"/>
    <n v="1037.1044999999999"/>
    <n v="20"/>
    <x v="1681"/>
    <n v="91586"/>
    <n v="30061"/>
  </r>
  <r>
    <n v="6.48"/>
    <n v="6.81"/>
    <n v="3004"/>
    <s v="Maurice Everett"/>
    <s v="Regular Air"/>
    <s v="Corporate"/>
    <x v="0"/>
    <x v="7"/>
    <s v="Small Box"/>
    <s v="Xerox 1930"/>
    <n v="0.36"/>
    <s v="United States"/>
    <s v="West"/>
    <s v="California"/>
    <s v="Los Angeles"/>
    <n v="90049"/>
    <d v="2015-02-10T00:00:00"/>
    <d v="2015-02-15T00:00:00"/>
    <n v="-94.59"/>
    <n v="58"/>
    <x v="1682"/>
    <n v="54949"/>
    <n v="22175.14"/>
  </r>
  <r>
    <n v="20.98"/>
    <n v="53.03"/>
    <n v="3004"/>
    <s v="Maurice Everett"/>
    <s v="Delivery Truck"/>
    <s v="Corporate"/>
    <x v="0"/>
    <x v="10"/>
    <s v="Jumbo Drum"/>
    <s v="Tennsco Lockers, Gray"/>
    <n v="0.78"/>
    <s v="United States"/>
    <s v="West"/>
    <s v="California"/>
    <s v="Los Angeles"/>
    <n v="90049"/>
    <d v="2015-02-10T00:00:00"/>
    <d v="2015-02-17T00:00:00"/>
    <n v="-293.74"/>
    <n v="13"/>
    <x v="1683"/>
    <n v="54949"/>
    <n v="4635.93"/>
  </r>
  <r>
    <n v="122.99"/>
    <n v="19.989999999999998"/>
    <n v="3005"/>
    <s v="Teresa Watts"/>
    <s v="Express Air"/>
    <s v="Corporate"/>
    <x v="0"/>
    <x v="8"/>
    <s v="Small Box"/>
    <s v="GBC Therma-A-Bind 250T Electric Binding System"/>
    <n v="0.37"/>
    <s v="United States"/>
    <s v="West"/>
    <s v="Idaho"/>
    <s v="Coeur D Alene"/>
    <n v="83814"/>
    <d v="2015-06-08T00:00:00"/>
    <d v="2015-06-11T00:00:00"/>
    <n v="1039.7541000000001"/>
    <n v="12"/>
    <x v="1684"/>
    <n v="91389"/>
    <n v="18082.68"/>
  </r>
  <r>
    <n v="6.48"/>
    <n v="6.81"/>
    <n v="3006"/>
    <s v="Thomas Spence"/>
    <s v="Regular Air"/>
    <s v="Corporate"/>
    <x v="0"/>
    <x v="7"/>
    <s v="Small Box"/>
    <s v="Xerox 1930"/>
    <n v="0.36"/>
    <s v="United States"/>
    <s v="West"/>
    <s v="Idaho"/>
    <s v="Idaho Falls"/>
    <n v="83402"/>
    <d v="2015-02-10T00:00:00"/>
    <d v="2015-02-15T00:00:00"/>
    <n v="-49.186799999999998"/>
    <n v="14"/>
    <x v="1685"/>
    <n v="91388"/>
    <n v="1292.0600000000002"/>
  </r>
  <r>
    <n v="20.98"/>
    <n v="53.03"/>
    <n v="3006"/>
    <s v="Thomas Spence"/>
    <s v="Delivery Truck"/>
    <s v="Corporate"/>
    <x v="0"/>
    <x v="10"/>
    <s v="Jumbo Drum"/>
    <s v="Tennsco Lockers, Gray"/>
    <n v="0.78"/>
    <s v="United States"/>
    <s v="West"/>
    <s v="Idaho"/>
    <s v="Idaho Falls"/>
    <n v="83402"/>
    <d v="2015-02-10T00:00:00"/>
    <d v="2015-02-17T00:00:00"/>
    <n v="-152.7448"/>
    <n v="3"/>
    <x v="1686"/>
    <n v="91388"/>
    <n v="246.87"/>
  </r>
  <r>
    <n v="9.99"/>
    <n v="4.78"/>
    <n v="3008"/>
    <s v="Penny Rich"/>
    <s v="Regular Air"/>
    <s v="Home Office"/>
    <x v="0"/>
    <x v="7"/>
    <s v="Small Box"/>
    <s v="Xerox 1896"/>
    <n v="0.4"/>
    <s v="United States"/>
    <s v="Central"/>
    <s v="Minnesota"/>
    <s v="Minnetonka Mills"/>
    <n v="55343"/>
    <d v="2015-03-06T00:00:00"/>
    <d v="2015-03-07T00:00:00"/>
    <n v="41.3"/>
    <n v="20"/>
    <x v="1687"/>
    <n v="89414"/>
    <n v="4067.4"/>
  </r>
  <r>
    <n v="12.28"/>
    <n v="6.47"/>
    <n v="3008"/>
    <s v="Penny Rich"/>
    <s v="Regular Air"/>
    <s v="Home Office"/>
    <x v="0"/>
    <x v="7"/>
    <s v="Small Box"/>
    <s v="Xerox 1881"/>
    <n v="0.38"/>
    <s v="United States"/>
    <s v="Central"/>
    <s v="Minnesota"/>
    <s v="Minnetonka Mills"/>
    <n v="55343"/>
    <d v="2015-06-11T00:00:00"/>
    <d v="2015-06-12T00:00:00"/>
    <n v="47.61"/>
    <n v="12"/>
    <x v="1688"/>
    <n v="89415"/>
    <n v="1927.92"/>
  </r>
  <r>
    <n v="5.98"/>
    <n v="5.35"/>
    <n v="3011"/>
    <s v="Tammy Raynor"/>
    <s v="Regular Air"/>
    <s v="Corporate"/>
    <x v="0"/>
    <x v="7"/>
    <s v="Small Box"/>
    <s v="Xerox 1947"/>
    <n v="0.4"/>
    <s v="United States"/>
    <s v="East"/>
    <s v="Massachusetts"/>
    <s v="Boston"/>
    <n v="2113"/>
    <d v="2015-05-28T00:00:00"/>
    <d v="2015-05-29T00:00:00"/>
    <n v="-23.5"/>
    <n v="16"/>
    <x v="1689"/>
    <n v="56486"/>
    <n v="1713.28"/>
  </r>
  <r>
    <n v="300.64999999999998"/>
    <n v="24.49"/>
    <n v="3011"/>
    <s v="Tammy Raynor"/>
    <s v="Regular Air"/>
    <s v="Corporate"/>
    <x v="0"/>
    <x v="15"/>
    <s v="Large Box"/>
    <s v="Honeywell Enviracaire Portable HEPA Air Cleaner for 17' x 22' Room"/>
    <n v="0.52"/>
    <s v="United States"/>
    <s v="East"/>
    <s v="Massachusetts"/>
    <s v="Boston"/>
    <n v="2113"/>
    <d v="2015-04-28T00:00:00"/>
    <d v="2015-04-30T00:00:00"/>
    <n v="1282.4960000000001"/>
    <n v="32"/>
    <x v="1690"/>
    <n v="7623"/>
    <n v="310574.71999999997"/>
  </r>
  <r>
    <n v="49.99"/>
    <n v="19.989999999999998"/>
    <n v="3011"/>
    <s v="Tammy Raynor"/>
    <s v="Regular Air"/>
    <s v="Corporate"/>
    <x v="2"/>
    <x v="13"/>
    <s v="Small Box"/>
    <s v="US Robotics 56K V.92 Internal PCI Faxmodem"/>
    <n v="0.45"/>
    <s v="United States"/>
    <s v="East"/>
    <s v="Massachusetts"/>
    <s v="Boston"/>
    <n v="2113"/>
    <d v="2015-04-28T00:00:00"/>
    <d v="2015-04-30T00:00:00"/>
    <n v="17.2"/>
    <n v="67"/>
    <x v="1691"/>
    <n v="7623"/>
    <n v="217585.18"/>
  </r>
  <r>
    <n v="104.85"/>
    <n v="4.6500000000000004"/>
    <n v="3011"/>
    <s v="Tammy Raynor"/>
    <s v="Regular Air"/>
    <s v="Corporate"/>
    <x v="0"/>
    <x v="7"/>
    <s v="Small Box"/>
    <s v="Xerox 1941"/>
    <n v="0.37"/>
    <s v="United States"/>
    <s v="East"/>
    <s v="Massachusetts"/>
    <s v="Boston"/>
    <n v="2113"/>
    <d v="2015-04-28T00:00:00"/>
    <d v="2015-04-29T00:00:00"/>
    <n v="1184.1199999999999"/>
    <n v="58"/>
    <x v="1692"/>
    <n v="7623"/>
    <n v="323792.53999999998"/>
  </r>
  <r>
    <n v="300.64999999999998"/>
    <n v="24.49"/>
    <n v="3012"/>
    <s v="Annie Livingston"/>
    <s v="Regular Air"/>
    <s v="Corporate"/>
    <x v="0"/>
    <x v="15"/>
    <s v="Large Box"/>
    <s v="Honeywell Enviracaire Portable HEPA Air Cleaner for 17' x 22' Room"/>
    <n v="0.52"/>
    <s v="United States"/>
    <s v="East"/>
    <s v="New York"/>
    <s v="Rochester"/>
    <n v="14609"/>
    <d v="2015-04-28T00:00:00"/>
    <d v="2015-04-30T00:00:00"/>
    <n v="1474.8704"/>
    <n v="8"/>
    <x v="1693"/>
    <n v="86346"/>
    <n v="19410.88"/>
  </r>
  <r>
    <n v="49.99"/>
    <n v="19.989999999999998"/>
    <n v="3012"/>
    <s v="Annie Livingston"/>
    <s v="Regular Air"/>
    <s v="Corporate"/>
    <x v="2"/>
    <x v="13"/>
    <s v="Small Box"/>
    <s v="US Robotics 56K V.92 Internal PCI Faxmodem"/>
    <n v="0.45"/>
    <s v="United States"/>
    <s v="East"/>
    <s v="New York"/>
    <s v="Rochester"/>
    <n v="14609"/>
    <d v="2015-04-28T00:00:00"/>
    <d v="2015-04-30T00:00:00"/>
    <n v="19.78"/>
    <n v="17"/>
    <x v="1694"/>
    <n v="86346"/>
    <n v="14008"/>
  </r>
  <r>
    <n v="104.85"/>
    <n v="4.6500000000000004"/>
    <n v="3012"/>
    <s v="Annie Livingston"/>
    <s v="Regular Air"/>
    <s v="Corporate"/>
    <x v="0"/>
    <x v="7"/>
    <s v="Small Box"/>
    <s v="Xerox 1941"/>
    <n v="0.37"/>
    <s v="United States"/>
    <s v="East"/>
    <s v="New York"/>
    <s v="Rochester"/>
    <n v="14609"/>
    <d v="2015-04-28T00:00:00"/>
    <d v="2015-04-29T00:00:00"/>
    <n v="929.79570000000001"/>
    <n v="14"/>
    <x v="1695"/>
    <n v="86346"/>
    <n v="18865.419999999998"/>
  </r>
  <r>
    <n v="5.58"/>
    <n v="5.3"/>
    <n v="3017"/>
    <s v="Melvin Benton"/>
    <s v="Regular Air"/>
    <s v="Corporate"/>
    <x v="0"/>
    <x v="4"/>
    <s v="Small Box"/>
    <s v="Staples Brown Kraft Recycled Clasp Envelopes"/>
    <n v="0.35"/>
    <s v="United States"/>
    <s v="West"/>
    <s v="California"/>
    <s v="Encinitas"/>
    <n v="92024"/>
    <d v="2015-01-09T00:00:00"/>
    <d v="2015-01-10T00:00:00"/>
    <n v="-7.25"/>
    <n v="1"/>
    <x v="1696"/>
    <n v="89071"/>
    <n v="11.16"/>
  </r>
  <r>
    <n v="3.98"/>
    <n v="0.7"/>
    <n v="3017"/>
    <s v="Melvin Benton"/>
    <s v="Regular Air"/>
    <s v="Corporate"/>
    <x v="0"/>
    <x v="0"/>
    <s v="Wrap Bag"/>
    <s v="4009® Highlighters by Sanford"/>
    <n v="0.52"/>
    <s v="United States"/>
    <s v="West"/>
    <s v="California"/>
    <s v="Encinitas"/>
    <n v="92024"/>
    <d v="2015-01-09T00:00:00"/>
    <d v="2015-01-10T00:00:00"/>
    <n v="31.201799999999999"/>
    <n v="11"/>
    <x v="1697"/>
    <n v="89071"/>
    <n v="497.41999999999996"/>
  </r>
  <r>
    <n v="4.9800000000000004"/>
    <n v="4.75"/>
    <n v="3035"/>
    <s v="Tina Evans"/>
    <s v="Regular Air"/>
    <s v="Home Office"/>
    <x v="0"/>
    <x v="7"/>
    <s v="Small Box"/>
    <s v="Hammermill CopyPlus Copy Paper (20Lb. and 84 Bright)"/>
    <n v="0.36"/>
    <s v="United States"/>
    <s v="Central"/>
    <s v="Illinois"/>
    <s v="Lombard"/>
    <n v="60148"/>
    <d v="2015-01-15T00:00:00"/>
    <d v="2015-01-20T00:00:00"/>
    <n v="-75.900400000000005"/>
    <n v="10"/>
    <x v="264"/>
    <n v="89128"/>
    <n v="529.29999999999995"/>
  </r>
  <r>
    <n v="6.35"/>
    <n v="1.02"/>
    <n v="3035"/>
    <s v="Tina Evans"/>
    <s v="Regular Air"/>
    <s v="Home Office"/>
    <x v="0"/>
    <x v="7"/>
    <s v="Wrap Bag"/>
    <s v="Telephone Message Books with Fax/Mobile Section, 5 1/2&quot; x 3 3/16&quot;"/>
    <n v="0.39"/>
    <s v="United States"/>
    <s v="Central"/>
    <s v="Illinois"/>
    <s v="Lombard"/>
    <n v="60148"/>
    <d v="2015-01-15T00:00:00"/>
    <d v="2015-01-20T00:00:00"/>
    <n v="52.170900000000003"/>
    <n v="12"/>
    <x v="1698"/>
    <n v="89128"/>
    <n v="907.31999999999994"/>
  </r>
  <r>
    <n v="12.99"/>
    <n v="14.37"/>
    <n v="3036"/>
    <s v="Edith Reynolds"/>
    <s v="Regular Air"/>
    <s v="Home Office"/>
    <x v="1"/>
    <x v="2"/>
    <s v="Large Box"/>
    <s v="Tensor &quot;Hersey Kiss&quot; Styled Floor Lamp"/>
    <n v="0.73"/>
    <s v="United States"/>
    <s v="Central"/>
    <s v="North Dakota"/>
    <s v="Mandan"/>
    <n v="58554"/>
    <d v="2015-01-16T00:00:00"/>
    <d v="2015-01-18T00:00:00"/>
    <n v="-159.86000000000001"/>
    <n v="5"/>
    <x v="1699"/>
    <n v="89129"/>
    <n v="338.2"/>
  </r>
  <r>
    <n v="35.44"/>
    <n v="7.5"/>
    <n v="3036"/>
    <s v="Edith Reynolds"/>
    <s v="Regular Air"/>
    <s v="Home Office"/>
    <x v="0"/>
    <x v="7"/>
    <s v="Small Box"/>
    <s v="Xerox 1906"/>
    <n v="0.38"/>
    <s v="United States"/>
    <s v="Central"/>
    <s v="North Dakota"/>
    <s v="Mandan"/>
    <n v="58554"/>
    <d v="2015-01-16T00:00:00"/>
    <d v="2015-01-18T00:00:00"/>
    <n v="165.88980000000001"/>
    <n v="7"/>
    <x v="1700"/>
    <n v="89129"/>
    <n v="1682.9399999999998"/>
  </r>
  <r>
    <n v="12.98"/>
    <n v="3.14"/>
    <n v="3036"/>
    <s v="Edith Reynolds"/>
    <s v="Regular Air"/>
    <s v="Home Office"/>
    <x v="0"/>
    <x v="12"/>
    <s v="Small Pack"/>
    <s v="Acme® 8&quot; Straight Scissors"/>
    <n v="0.6"/>
    <s v="United States"/>
    <s v="Central"/>
    <s v="North Dakota"/>
    <s v="Mandan"/>
    <n v="58554"/>
    <d v="2015-01-16T00:00:00"/>
    <d v="2015-01-19T00:00:00"/>
    <n v="75.010000000000005"/>
    <n v="14"/>
    <x v="1701"/>
    <n v="89129"/>
    <n v="2581.6"/>
  </r>
  <r>
    <n v="178.47"/>
    <n v="19.989999999999998"/>
    <n v="3036"/>
    <s v="Edith Reynolds"/>
    <s v="Regular Air"/>
    <s v="Home Office"/>
    <x v="0"/>
    <x v="10"/>
    <s v="Small Box"/>
    <s v="Hot File® 7-Pocket, Floor Stand"/>
    <n v="0.55000000000000004"/>
    <s v="United States"/>
    <s v="Central"/>
    <s v="North Dakota"/>
    <s v="Mandan"/>
    <n v="58554"/>
    <d v="2015-03-13T00:00:00"/>
    <d v="2015-03-16T00:00:00"/>
    <n v="2267.2199999999998"/>
    <n v="22"/>
    <x v="1702"/>
    <n v="89130"/>
    <n v="83644.22"/>
  </r>
  <r>
    <n v="73.98"/>
    <n v="4"/>
    <n v="3041"/>
    <s v="Carrie Duke"/>
    <s v="Regular Air"/>
    <s v="Corporate"/>
    <x v="2"/>
    <x v="13"/>
    <s v="Small Box"/>
    <s v="Keytronic 105-Key Spanish Keyboard"/>
    <n v="0.77"/>
    <s v="United States"/>
    <s v="Central"/>
    <s v="Kansas"/>
    <s v="Garden City"/>
    <n v="67846"/>
    <d v="2015-05-15T00:00:00"/>
    <d v="2015-05-18T00:00:00"/>
    <n v="97.16"/>
    <n v="17"/>
    <x v="1703"/>
    <n v="86102"/>
    <n v="20088.39"/>
  </r>
  <r>
    <n v="3.68"/>
    <n v="1.32"/>
    <n v="3041"/>
    <s v="Carrie Duke"/>
    <s v="Regular Air"/>
    <s v="Corporate"/>
    <x v="0"/>
    <x v="12"/>
    <s v="Wrap Bag"/>
    <s v="*Staples* vLetter Openers, 2/Pack"/>
    <n v="0.83"/>
    <s v="United States"/>
    <s v="Central"/>
    <s v="Kansas"/>
    <s v="Garden City"/>
    <n v="67846"/>
    <d v="2015-05-15T00:00:00"/>
    <d v="2015-05-17T00:00:00"/>
    <n v="-20.65"/>
    <n v="8"/>
    <x v="1704"/>
    <n v="86102"/>
    <n v="239.44"/>
  </r>
  <r>
    <n v="14.48"/>
    <n v="6.46"/>
    <n v="3042"/>
    <s v="Tara Gold"/>
    <s v="Regular Air"/>
    <s v="Small Business"/>
    <x v="0"/>
    <x v="8"/>
    <s v="Small Box"/>
    <s v="GBC White Gloss Covers, Plain Front"/>
    <n v="0.38"/>
    <s v="United States"/>
    <s v="Central"/>
    <s v="Kansas"/>
    <s v="Hutchinson"/>
    <n v="67501"/>
    <d v="2015-02-04T00:00:00"/>
    <d v="2015-02-05T00:00:00"/>
    <n v="67.864000000000004"/>
    <n v="12"/>
    <x v="1705"/>
    <n v="86101"/>
    <n v="2055.96"/>
  </r>
  <r>
    <n v="6.48"/>
    <n v="5.19"/>
    <n v="3045"/>
    <s v="Jordan Beard"/>
    <s v="Regular Air"/>
    <s v="Small Business"/>
    <x v="0"/>
    <x v="7"/>
    <s v="Small Box"/>
    <s v="Xerox 1995"/>
    <n v="0.37"/>
    <s v="United States"/>
    <s v="Central"/>
    <s v="Kansas"/>
    <s v="Leavenworth"/>
    <n v="66048"/>
    <d v="2015-06-06T00:00:00"/>
    <d v="2015-06-07T00:00:00"/>
    <n v="-14.074999999999999"/>
    <n v="12"/>
    <x v="1706"/>
    <n v="86104"/>
    <n v="1008.48"/>
  </r>
  <r>
    <n v="120.98"/>
    <n v="30"/>
    <n v="3046"/>
    <s v="Andrew Pearce"/>
    <s v="Delivery Truck"/>
    <s v="Small Business"/>
    <x v="1"/>
    <x v="1"/>
    <s v="Jumbo Drum"/>
    <s v="Hon Every-Day® Chair Series Swivel Task Chairs"/>
    <n v="0.64"/>
    <s v="United States"/>
    <s v="Central"/>
    <s v="Kansas"/>
    <s v="Leawood"/>
    <n v="66209"/>
    <d v="2015-02-12T00:00:00"/>
    <d v="2015-02-14T00:00:00"/>
    <n v="-78.759200000000007"/>
    <n v="2"/>
    <x v="1707"/>
    <n v="86103"/>
    <n v="502.12"/>
  </r>
  <r>
    <n v="276.2"/>
    <n v="24.49"/>
    <n v="3048"/>
    <s v="Tracy G Starr"/>
    <s v="Express Air"/>
    <s v="Corporate"/>
    <x v="1"/>
    <x v="1"/>
    <s v="Large Box"/>
    <s v="SAFCO Arco Folding Chair"/>
    <m/>
    <s v="United States"/>
    <s v="West"/>
    <s v="California"/>
    <s v="Berkeley"/>
    <n v="94704"/>
    <d v="2015-03-05T00:00:00"/>
    <d v="2015-03-07T00:00:00"/>
    <n v="1167.3800000000001"/>
    <n v="10"/>
    <x v="1708"/>
    <n v="89789"/>
    <n v="26105.599999999999"/>
  </r>
  <r>
    <n v="125.99"/>
    <n v="2.5"/>
    <n v="3053"/>
    <s v="Robin Tyler"/>
    <s v="Regular Air"/>
    <s v="Corporate"/>
    <x v="2"/>
    <x v="5"/>
    <s v="Small Box"/>
    <s v="i2000"/>
    <n v="0.6"/>
    <s v="United States"/>
    <s v="South"/>
    <s v="Kentucky"/>
    <s v="Murray"/>
    <n v="42071"/>
    <d v="2015-02-03T00:00:00"/>
    <d v="2015-02-05T00:00:00"/>
    <n v="402.06599999999997"/>
    <n v="11"/>
    <x v="1709"/>
    <n v="86662"/>
    <n v="12911.36"/>
  </r>
  <r>
    <n v="8.33"/>
    <n v="1.99"/>
    <n v="3063"/>
    <s v="Ann Steele"/>
    <s v="Regular Air"/>
    <s v="Consumer"/>
    <x v="2"/>
    <x v="13"/>
    <s v="Small Pack"/>
    <s v="80 Minute Slim Jewel Case CD-R , 10/Pack - Staples"/>
    <n v="0.52"/>
    <s v="United States"/>
    <s v="West"/>
    <s v="Washington"/>
    <s v="Kirkland"/>
    <n v="98034"/>
    <d v="2015-02-26T00:00:00"/>
    <d v="2015-02-28T00:00:00"/>
    <n v="11.95"/>
    <n v="6"/>
    <x v="1710"/>
    <n v="88447"/>
    <n v="301.68"/>
  </r>
  <r>
    <n v="499.99"/>
    <n v="24.49"/>
    <n v="3063"/>
    <s v="Ann Steele"/>
    <s v="Regular Air"/>
    <s v="Consumer"/>
    <x v="2"/>
    <x v="16"/>
    <s v="Large Box"/>
    <s v="Sharp AL-1530CS Digital Copier"/>
    <n v="0.36"/>
    <s v="United States"/>
    <s v="West"/>
    <s v="Washington"/>
    <s v="Kirkland"/>
    <n v="98034"/>
    <d v="2015-02-26T00:00:00"/>
    <d v="2015-02-27T00:00:00"/>
    <n v="1773.6105"/>
    <n v="5"/>
    <x v="1711"/>
    <n v="88447"/>
    <n v="12852.25"/>
  </r>
  <r>
    <n v="20.99"/>
    <n v="0.99"/>
    <n v="3063"/>
    <s v="Ann Steele"/>
    <s v="Regular Air"/>
    <s v="Consumer"/>
    <x v="2"/>
    <x v="5"/>
    <s v="Wrap Bag"/>
    <s v="Accessory25"/>
    <n v="0.56999999999999995"/>
    <s v="United States"/>
    <s v="West"/>
    <s v="Washington"/>
    <s v="Kirkland"/>
    <n v="98034"/>
    <d v="2015-05-24T00:00:00"/>
    <d v="2015-05-26T00:00:00"/>
    <n v="4.1821999999999999"/>
    <n v="9"/>
    <x v="1712"/>
    <n v="88449"/>
    <n v="1429.83"/>
  </r>
  <r>
    <n v="6.45"/>
    <n v="1.34"/>
    <n v="3064"/>
    <s v="Clarence Crowder"/>
    <s v="Regular Air"/>
    <s v="Consumer"/>
    <x v="0"/>
    <x v="7"/>
    <s v="Wrap Bag"/>
    <s v="Wirebound Four 2-3/4 x 5 Forms per Page, 400 Sets per Book"/>
    <n v="0.36"/>
    <s v="United States"/>
    <s v="West"/>
    <s v="Washington"/>
    <s v="Lacey"/>
    <n v="98503"/>
    <d v="2015-01-14T00:00:00"/>
    <d v="2015-01-19T00:00:00"/>
    <n v="39.129899999999999"/>
    <n v="9"/>
    <x v="1713"/>
    <n v="88448"/>
    <n v="510.39"/>
  </r>
  <r>
    <n v="355.98"/>
    <n v="58.92"/>
    <n v="3067"/>
    <s v="Carole Miller"/>
    <s v="Delivery Truck"/>
    <s v="Consumer"/>
    <x v="1"/>
    <x v="1"/>
    <s v="Jumbo Drum"/>
    <s v="Hon 4700 Series Mobuis™ Mid-Back Task Chairs with Adjustable Arms"/>
    <n v="0.64"/>
    <s v="United States"/>
    <s v="East"/>
    <s v="Ohio"/>
    <s v="Austintown"/>
    <n v="44515"/>
    <d v="2015-03-02T00:00:00"/>
    <d v="2015-03-03T00:00:00"/>
    <n v="1660.92"/>
    <n v="14"/>
    <x v="1714"/>
    <n v="91376"/>
    <n v="71205.119999999995"/>
  </r>
  <r>
    <n v="120.98"/>
    <n v="30"/>
    <n v="3069"/>
    <s v="Tiffany Merrill"/>
    <s v="Delivery Truck"/>
    <s v="Consumer"/>
    <x v="1"/>
    <x v="1"/>
    <s v="Jumbo Drum"/>
    <s v="Hon Every-Day® Chair Series Swivel Task Chairs"/>
    <n v="0.64"/>
    <s v="United States"/>
    <s v="Central"/>
    <s v="Minnesota"/>
    <s v="Oakdale"/>
    <n v="55128"/>
    <d v="2015-06-01T00:00:00"/>
    <d v="2015-06-03T00:00:00"/>
    <n v="638.02800000000002"/>
    <n v="15"/>
    <x v="1715"/>
    <n v="88191"/>
    <n v="28416.75"/>
  </r>
  <r>
    <n v="15.68"/>
    <n v="3.73"/>
    <n v="3069"/>
    <s v="Tiffany Merrill"/>
    <s v="Regular Air"/>
    <s v="Consumer"/>
    <x v="1"/>
    <x v="2"/>
    <s v="Small Pack"/>
    <s v="Artistic Insta-Plaque"/>
    <n v="0.46"/>
    <s v="United States"/>
    <s v="Central"/>
    <s v="Minnesota"/>
    <s v="Oakdale"/>
    <n v="55128"/>
    <d v="2015-06-01T00:00:00"/>
    <d v="2015-06-03T00:00:00"/>
    <n v="138.49680000000001"/>
    <n v="12"/>
    <x v="1716"/>
    <n v="88191"/>
    <n v="2408.64"/>
  </r>
  <r>
    <n v="1.82"/>
    <n v="0.83"/>
    <n v="3069"/>
    <s v="Tiffany Merrill"/>
    <s v="Regular Air"/>
    <s v="Consumer"/>
    <x v="0"/>
    <x v="0"/>
    <s v="Wrap Bag"/>
    <s v="Newell 307"/>
    <n v="0.56999999999999995"/>
    <s v="United States"/>
    <s v="Central"/>
    <s v="Minnesota"/>
    <s v="Oakdale"/>
    <n v="55128"/>
    <d v="2015-02-14T00:00:00"/>
    <d v="2015-02-15T00:00:00"/>
    <n v="-6.734"/>
    <n v="22"/>
    <x v="1717"/>
    <n v="88192"/>
    <n v="810.04"/>
  </r>
  <r>
    <n v="19.23"/>
    <n v="6.15"/>
    <n v="3075"/>
    <s v="Gordon Brandt"/>
    <s v="Regular Air"/>
    <s v="Corporate"/>
    <x v="1"/>
    <x v="2"/>
    <s v="Small Pack"/>
    <s v="Executive Impressions 13&quot; Clairmont Wall Clock"/>
    <n v="0.44"/>
    <s v="United States"/>
    <s v="West"/>
    <s v="California"/>
    <s v="Los Angeles"/>
    <n v="90061"/>
    <d v="2015-02-28T00:00:00"/>
    <d v="2015-02-28T00:00:00"/>
    <n v="-25.38"/>
    <n v="4"/>
    <x v="1718"/>
    <n v="14756"/>
    <n v="338.4"/>
  </r>
  <r>
    <n v="137.47999999999999"/>
    <n v="32.18"/>
    <n v="3076"/>
    <s v="Peter Hardy"/>
    <s v="Delivery Truck"/>
    <s v="Small Business"/>
    <x v="1"/>
    <x v="14"/>
    <s v="Jumbo Box"/>
    <s v="O'Sullivan Cherrywood Estates Traditional Barrister Bookcase"/>
    <n v="0.78"/>
    <s v="United States"/>
    <s v="East"/>
    <s v="Ohio"/>
    <s v="Stow"/>
    <n v="44224"/>
    <d v="2015-01-07T00:00:00"/>
    <d v="2015-01-08T00:00:00"/>
    <n v="-203.27"/>
    <n v="2"/>
    <x v="1719"/>
    <n v="88241"/>
    <n v="593.5"/>
  </r>
  <r>
    <n v="300.97000000000003"/>
    <n v="7.18"/>
    <n v="3077"/>
    <s v="Lynne Reid"/>
    <s v="Regular Air"/>
    <s v="Small Business"/>
    <x v="2"/>
    <x v="13"/>
    <s v="Small Box"/>
    <s v="Gyration Ultra Professional Cordless Optical Suite"/>
    <n v="0.48"/>
    <s v="United States"/>
    <s v="East"/>
    <s v="Ohio"/>
    <s v="Strongsville"/>
    <n v="44136"/>
    <d v="2015-05-07T00:00:00"/>
    <d v="2015-05-09T00:00:00"/>
    <n v="-807.59"/>
    <n v="2"/>
    <x v="1720"/>
    <n v="88239"/>
    <n v="1164.4000000000001"/>
  </r>
  <r>
    <n v="35.44"/>
    <n v="5.09"/>
    <n v="3078"/>
    <s v="Kate McKenna"/>
    <s v="Regular Air"/>
    <s v="Small Business"/>
    <x v="0"/>
    <x v="7"/>
    <s v="Small Box"/>
    <s v="Xerox 1932"/>
    <n v="0.38"/>
    <s v="United States"/>
    <s v="East"/>
    <s v="Ohio"/>
    <s v="Toledo"/>
    <n v="43615"/>
    <d v="2015-06-11T00:00:00"/>
    <d v="2015-06-11T00:00:00"/>
    <n v="118.6317"/>
    <n v="5"/>
    <x v="1721"/>
    <n v="88240"/>
    <n v="859.65000000000009"/>
  </r>
  <r>
    <n v="3.98"/>
    <n v="0.7"/>
    <n v="3078"/>
    <s v="Kate McKenna"/>
    <s v="Regular Air"/>
    <s v="Small Business"/>
    <x v="0"/>
    <x v="0"/>
    <s v="Wrap Bag"/>
    <s v="4009® Highlighters by Sanford"/>
    <n v="0.52"/>
    <s v="United States"/>
    <s v="East"/>
    <s v="Ohio"/>
    <s v="Toledo"/>
    <n v="43615"/>
    <d v="2015-06-11T00:00:00"/>
    <d v="2015-06-14T00:00:00"/>
    <n v="23.303999999999998"/>
    <n v="9"/>
    <x v="1722"/>
    <n v="88240"/>
    <n v="316.70999999999998"/>
  </r>
  <r>
    <n v="300.97000000000003"/>
    <n v="7.18"/>
    <n v="3079"/>
    <s v="Andrew Levine"/>
    <s v="Regular Air"/>
    <s v="Small Business"/>
    <x v="2"/>
    <x v="13"/>
    <s v="Small Box"/>
    <s v="Gyration Ultra Professional Cordless Optical Suite"/>
    <n v="0.48"/>
    <s v="United States"/>
    <s v="East"/>
    <s v="Pennsylvania"/>
    <s v="Philadelphia"/>
    <n v="19112"/>
    <d v="2015-05-07T00:00:00"/>
    <d v="2015-05-09T00:00:00"/>
    <n v="-807.59"/>
    <n v="7"/>
    <x v="1723"/>
    <n v="41253"/>
    <n v="14263.83"/>
  </r>
  <r>
    <n v="35.44"/>
    <n v="5.09"/>
    <n v="3079"/>
    <s v="Andrew Levine"/>
    <s v="Regular Air"/>
    <s v="Small Business"/>
    <x v="0"/>
    <x v="7"/>
    <s v="Small Box"/>
    <s v="Xerox 1932"/>
    <n v="0.38"/>
    <s v="United States"/>
    <s v="East"/>
    <s v="Pennsylvania"/>
    <s v="Philadelphia"/>
    <n v="19112"/>
    <d v="2015-06-11T00:00:00"/>
    <d v="2015-06-11T00:00:00"/>
    <n v="150.72"/>
    <n v="21"/>
    <x v="1724"/>
    <n v="53476"/>
    <n v="15164.1"/>
  </r>
  <r>
    <n v="3.98"/>
    <n v="0.7"/>
    <n v="3079"/>
    <s v="Andrew Levine"/>
    <s v="Regular Air"/>
    <s v="Small Business"/>
    <x v="0"/>
    <x v="0"/>
    <s v="Wrap Bag"/>
    <s v="4009® Highlighters by Sanford"/>
    <n v="0.52"/>
    <s v="United States"/>
    <s v="East"/>
    <s v="Pennsylvania"/>
    <s v="Philadelphia"/>
    <n v="19112"/>
    <d v="2015-06-11T00:00:00"/>
    <d v="2015-06-14T00:00:00"/>
    <n v="19.420000000000002"/>
    <n v="36"/>
    <x v="1725"/>
    <n v="53476"/>
    <n v="5068.08"/>
  </r>
  <r>
    <n v="1.76"/>
    <n v="0.7"/>
    <n v="3079"/>
    <s v="Andrew Levine"/>
    <s v="Regular Air"/>
    <s v="Small Business"/>
    <x v="0"/>
    <x v="0"/>
    <s v="Wrap Bag"/>
    <s v="Newell 310"/>
    <n v="0.56000000000000005"/>
    <s v="United States"/>
    <s v="East"/>
    <s v="Pennsylvania"/>
    <s v="Philadelphia"/>
    <n v="19112"/>
    <d v="2015-06-11T00:00:00"/>
    <d v="2015-06-12T00:00:00"/>
    <n v="3.13"/>
    <n v="71"/>
    <x v="1726"/>
    <n v="53476"/>
    <n v="9210.1200000000008"/>
  </r>
  <r>
    <n v="193.17"/>
    <n v="19.989999999999998"/>
    <n v="3079"/>
    <s v="Andrew Levine"/>
    <s v="Express Air"/>
    <s v="Small Business"/>
    <x v="0"/>
    <x v="10"/>
    <s v="Small Box"/>
    <s v="Fellowes Staxonsteel® Drawer Files"/>
    <n v="0.71"/>
    <s v="United States"/>
    <s v="East"/>
    <s v="Pennsylvania"/>
    <s v="Philadelphia"/>
    <n v="19112"/>
    <d v="2015-06-11T00:00:00"/>
    <d v="2015-06-11T00:00:00"/>
    <n v="1141.07"/>
    <n v="63"/>
    <x v="1727"/>
    <n v="53476"/>
    <n v="768031.74"/>
  </r>
  <r>
    <n v="137.47999999999999"/>
    <n v="32.18"/>
    <n v="3079"/>
    <s v="Andrew Levine"/>
    <s v="Delivery Truck"/>
    <s v="Small Business"/>
    <x v="1"/>
    <x v="14"/>
    <s v="Jumbo Box"/>
    <s v="O'Sullivan Cherrywood Estates Traditional Barrister Bookcase"/>
    <n v="0.78"/>
    <s v="United States"/>
    <s v="East"/>
    <s v="Pennsylvania"/>
    <s v="Philadelphia"/>
    <n v="19112"/>
    <d v="2015-01-07T00:00:00"/>
    <d v="2015-01-08T00:00:00"/>
    <n v="-203.27"/>
    <n v="10"/>
    <x v="1728"/>
    <n v="12480"/>
    <n v="14837.6"/>
  </r>
  <r>
    <n v="2.21"/>
    <n v="1"/>
    <n v="3079"/>
    <s v="Andrew Levine"/>
    <s v="Express Air"/>
    <s v="Small Business"/>
    <x v="0"/>
    <x v="0"/>
    <s v="Wrap Bag"/>
    <s v="Quartet Alpha® White Chalk, 12/Pack"/>
    <n v="0.38"/>
    <s v="United States"/>
    <s v="East"/>
    <s v="Pennsylvania"/>
    <s v="Philadelphia"/>
    <n v="19112"/>
    <d v="2015-06-10T00:00:00"/>
    <d v="2015-06-11T00:00:00"/>
    <n v="10.01"/>
    <n v="33"/>
    <x v="1729"/>
    <n v="48483"/>
    <n v="2876.94"/>
  </r>
  <r>
    <n v="65.989999999999995"/>
    <n v="5.99"/>
    <n v="3084"/>
    <s v="Debbie Hsu"/>
    <s v="Express Air"/>
    <s v="Small Business"/>
    <x v="2"/>
    <x v="5"/>
    <s v="Small Box"/>
    <s v="i1000"/>
    <n v="0.57999999999999996"/>
    <s v="United States"/>
    <s v="West"/>
    <s v="Washington"/>
    <s v="Lacey"/>
    <n v="98503"/>
    <d v="2015-04-20T00:00:00"/>
    <d v="2015-04-22T00:00:00"/>
    <n v="313.81200000000001"/>
    <n v="14"/>
    <x v="1730"/>
    <n v="89879"/>
    <n v="11184.46"/>
  </r>
  <r>
    <n v="7.1"/>
    <n v="6.05"/>
    <n v="3084"/>
    <s v="Debbie Hsu"/>
    <s v="Regular Air"/>
    <s v="Small Business"/>
    <x v="0"/>
    <x v="8"/>
    <s v="Small Box"/>
    <s v="Wilson Jones Hanging View Binder, White, 1&quot;"/>
    <n v="0.39"/>
    <s v="United States"/>
    <s v="West"/>
    <s v="Washington"/>
    <s v="Lacey"/>
    <n v="98503"/>
    <d v="2015-06-24T00:00:00"/>
    <d v="2015-06-25T00:00:00"/>
    <n v="-39.186250000000001"/>
    <n v="18"/>
    <x v="1731"/>
    <n v="89880"/>
    <n v="2397.42"/>
  </r>
  <r>
    <n v="18.97"/>
    <n v="9.0299999999999994"/>
    <n v="3084"/>
    <s v="Debbie Hsu"/>
    <s v="Regular Air"/>
    <s v="Small Business"/>
    <x v="0"/>
    <x v="7"/>
    <s v="Small Box"/>
    <s v="Computer Printout Paper with Letter-Trim Perforations"/>
    <n v="0.37"/>
    <s v="United States"/>
    <s v="West"/>
    <s v="Washington"/>
    <s v="Lacey"/>
    <n v="98503"/>
    <d v="2015-06-24T00:00:00"/>
    <d v="2015-06-25T00:00:00"/>
    <n v="-1.89"/>
    <n v="5"/>
    <x v="1732"/>
    <n v="89880"/>
    <n v="486.65"/>
  </r>
  <r>
    <n v="39.99"/>
    <n v="10.25"/>
    <n v="3086"/>
    <s v="Ted Durham"/>
    <s v="Express Air"/>
    <s v="Consumer"/>
    <x v="2"/>
    <x v="13"/>
    <s v="Small Box"/>
    <s v="Zoom V.92 V.44 PCI Internal Controllerless FaxModem"/>
    <n v="0.55000000000000004"/>
    <s v="United States"/>
    <s v="South"/>
    <s v="Florida"/>
    <s v="North Port"/>
    <n v="34287"/>
    <d v="2015-05-18T00:00:00"/>
    <d v="2015-05-19T00:00:00"/>
    <n v="4.29"/>
    <n v="3"/>
    <x v="1733"/>
    <n v="88380"/>
    <n v="392.73"/>
  </r>
  <r>
    <n v="49.43"/>
    <n v="19.989999999999998"/>
    <n v="3089"/>
    <s v="Sandy Cannon"/>
    <s v="Regular Air"/>
    <s v="Corporate"/>
    <x v="0"/>
    <x v="15"/>
    <s v="Small Box"/>
    <s v="Eureka Hand Vacuum, Bagless"/>
    <n v="0.56999999999999995"/>
    <s v="United States"/>
    <s v="Central"/>
    <s v="Kansas"/>
    <s v="Leawood"/>
    <n v="66209"/>
    <d v="2015-01-24T00:00:00"/>
    <d v="2015-01-29T00:00:00"/>
    <n v="-122.77"/>
    <n v="6"/>
    <x v="1734"/>
    <n v="91219"/>
    <n v="1690.92"/>
  </r>
  <r>
    <n v="207.48"/>
    <n v="0.99"/>
    <n v="3095"/>
    <s v="Milton Lindsay"/>
    <s v="Regular Air"/>
    <s v="Consumer"/>
    <x v="0"/>
    <x v="15"/>
    <s v="Small Box"/>
    <s v="Kensington 7 Outlet MasterPiece Power Center with Fax/Phone Line Protection"/>
    <n v="0.55000000000000004"/>
    <s v="United States"/>
    <s v="East"/>
    <s v="Ohio"/>
    <s v="Hamilton"/>
    <n v="45011"/>
    <d v="2015-01-19T00:00:00"/>
    <d v="2015-01-21T00:00:00"/>
    <n v="683.9556"/>
    <n v="5"/>
    <x v="1735"/>
    <n v="86220"/>
    <n v="4956.2"/>
  </r>
  <r>
    <n v="40.98"/>
    <n v="7.2"/>
    <n v="3096"/>
    <s v="Mike Howard"/>
    <s v="Express Air"/>
    <s v="Consumer"/>
    <x v="0"/>
    <x v="15"/>
    <s v="Small Box"/>
    <s v="Kensington 6 Outlet SmartSocket Surge Protector"/>
    <n v="0.6"/>
    <s v="United States"/>
    <s v="East"/>
    <s v="Ohio"/>
    <s v="Hilliard"/>
    <n v="43026"/>
    <d v="2015-05-24T00:00:00"/>
    <d v="2015-05-25T00:00:00"/>
    <n v="-16.64"/>
    <n v="3"/>
    <x v="1386"/>
    <n v="86221"/>
    <n v="359.58"/>
  </r>
  <r>
    <n v="8.1199999999999992"/>
    <n v="2.83"/>
    <n v="3096"/>
    <s v="Mike Howard"/>
    <s v="Express Air"/>
    <s v="Consumer"/>
    <x v="2"/>
    <x v="13"/>
    <s v="Small Pack"/>
    <s v="Imation Neon Mac Format Diskettes, 10/Pack"/>
    <n v="0.77"/>
    <s v="United States"/>
    <s v="East"/>
    <s v="Ohio"/>
    <s v="Hilliard"/>
    <n v="43026"/>
    <d v="2015-05-24T00:00:00"/>
    <d v="2015-05-25T00:00:00"/>
    <n v="-59.73"/>
    <n v="12"/>
    <x v="1736"/>
    <n v="86221"/>
    <n v="1185.24"/>
  </r>
  <r>
    <n v="262.11"/>
    <n v="62.74"/>
    <n v="3096"/>
    <s v="Mike Howard"/>
    <s v="Delivery Truck"/>
    <s v="Consumer"/>
    <x v="1"/>
    <x v="11"/>
    <s v="Jumbo Box"/>
    <s v="Bevis Boat-Shaped Conference Table"/>
    <n v="0.75"/>
    <s v="United States"/>
    <s v="East"/>
    <s v="Ohio"/>
    <s v="Hilliard"/>
    <n v="43026"/>
    <d v="2015-05-24T00:00:00"/>
    <d v="2015-05-25T00:00:00"/>
    <n v="-633.441237"/>
    <n v="9"/>
    <x v="1737"/>
    <n v="86221"/>
    <n v="22458.149999999998"/>
  </r>
  <r>
    <n v="33.89"/>
    <n v="5.0999999999999996"/>
    <n v="3096"/>
    <s v="Mike Howard"/>
    <s v="Express Air"/>
    <s v="Consumer"/>
    <x v="0"/>
    <x v="10"/>
    <s v="Small Box"/>
    <s v="File Shuttle II and Handi-File, Black"/>
    <n v="0.6"/>
    <s v="United States"/>
    <s v="East"/>
    <s v="Ohio"/>
    <s v="Hilliard"/>
    <n v="43026"/>
    <d v="2015-06-17T00:00:00"/>
    <d v="2015-06-18T00:00:00"/>
    <n v="72.983999999999995"/>
    <n v="6"/>
    <x v="1738"/>
    <n v="86222"/>
    <n v="1204.98"/>
  </r>
  <r>
    <n v="35.44"/>
    <n v="5.09"/>
    <n v="3098"/>
    <s v="Lorraine Boykin"/>
    <s v="Regular Air"/>
    <s v="Consumer"/>
    <x v="0"/>
    <x v="7"/>
    <s v="Small Box"/>
    <s v="Xerox 1932"/>
    <n v="0.38"/>
    <s v="United States"/>
    <s v="East"/>
    <s v="New York"/>
    <s v="Shirley"/>
    <n v="11967"/>
    <d v="2015-04-08T00:00:00"/>
    <d v="2015-04-09T00:00:00"/>
    <n v="240.17519999999999"/>
    <n v="10"/>
    <x v="1739"/>
    <n v="89314"/>
    <n v="3480.7999999999997"/>
  </r>
  <r>
    <n v="11.7"/>
    <n v="6.96"/>
    <n v="3098"/>
    <s v="Lorraine Boykin"/>
    <s v="Express Air"/>
    <s v="Consumer"/>
    <x v="0"/>
    <x v="15"/>
    <s v="Medium Box"/>
    <s v="Harmony HEPA Quiet Air Purifiers"/>
    <n v="0.5"/>
    <s v="United States"/>
    <s v="East"/>
    <s v="New York"/>
    <s v="Shirley"/>
    <n v="11967"/>
    <d v="2015-06-17T00:00:00"/>
    <d v="2015-06-19T00:00:00"/>
    <n v="-11.247999999999999"/>
    <n v="10"/>
    <x v="1740"/>
    <n v="89315"/>
    <n v="1316.9"/>
  </r>
  <r>
    <n v="2.89"/>
    <n v="0.5"/>
    <n v="3098"/>
    <s v="Lorraine Boykin"/>
    <s v="Regular Air"/>
    <s v="Consumer"/>
    <x v="0"/>
    <x v="9"/>
    <s v="Small Box"/>
    <s v="Avery 498"/>
    <n v="0.38"/>
    <s v="United States"/>
    <s v="East"/>
    <s v="New York"/>
    <s v="Shirley"/>
    <n v="11967"/>
    <d v="2015-02-28T00:00:00"/>
    <d v="2015-02-28T00:00:00"/>
    <n v="9.6117000000000008"/>
    <n v="5"/>
    <x v="1741"/>
    <n v="89316"/>
    <n v="69.650000000000006"/>
  </r>
  <r>
    <n v="35.99"/>
    <n v="5"/>
    <n v="3100"/>
    <s v="Gladys Holloway"/>
    <s v="Regular Air"/>
    <s v="Consumer"/>
    <x v="2"/>
    <x v="5"/>
    <s v="Wrap Bag"/>
    <s v="Accessory17"/>
    <n v="0.82"/>
    <s v="United States"/>
    <s v="South"/>
    <s v="Florida"/>
    <s v="Oakland Park"/>
    <n v="33334"/>
    <d v="2015-03-25T00:00:00"/>
    <d v="2015-03-27T00:00:00"/>
    <n v="-299.81420000000003"/>
    <n v="1"/>
    <x v="1742"/>
    <n v="89988"/>
    <n v="31.71"/>
  </r>
  <r>
    <n v="3.08"/>
    <n v="0.99"/>
    <n v="3105"/>
    <s v="Lawrence Hester"/>
    <s v="Regular Air"/>
    <s v="Home Office"/>
    <x v="0"/>
    <x v="9"/>
    <s v="Small Box"/>
    <s v="Avery 481"/>
    <n v="0.37"/>
    <s v="United States"/>
    <s v="South"/>
    <s v="Kentucky"/>
    <s v="Murray"/>
    <n v="42071"/>
    <d v="2015-03-20T00:00:00"/>
    <d v="2015-03-21T00:00:00"/>
    <n v="13.8"/>
    <n v="19"/>
    <x v="1743"/>
    <n v="86327"/>
    <n v="1140.19"/>
  </r>
  <r>
    <n v="6.48"/>
    <n v="5.9"/>
    <n v="3105"/>
    <s v="Lawrence Hester"/>
    <s v="Regular Air"/>
    <s v="Home Office"/>
    <x v="0"/>
    <x v="7"/>
    <s v="Small Box"/>
    <s v="Xerox 1976"/>
    <n v="0.37"/>
    <s v="United States"/>
    <s v="South"/>
    <s v="Kentucky"/>
    <s v="Murray"/>
    <n v="42071"/>
    <d v="2015-03-20T00:00:00"/>
    <d v="2015-03-21T00:00:00"/>
    <n v="4.3920000000000003"/>
    <n v="13"/>
    <x v="42"/>
    <n v="86327"/>
    <n v="1182.74"/>
  </r>
  <r>
    <n v="125.99"/>
    <n v="4.2"/>
    <n v="3105"/>
    <s v="Lawrence Hester"/>
    <s v="Regular Air"/>
    <s v="Home Office"/>
    <x v="2"/>
    <x v="5"/>
    <s v="Small Box"/>
    <s v="V3682"/>
    <n v="0.59"/>
    <s v="United States"/>
    <s v="South"/>
    <s v="Kentucky"/>
    <s v="Murray"/>
    <n v="42071"/>
    <d v="2015-03-20T00:00:00"/>
    <d v="2015-03-22T00:00:00"/>
    <n v="-236.25"/>
    <n v="12"/>
    <x v="1744"/>
    <n v="86327"/>
    <n v="15248.400000000001"/>
  </r>
  <r>
    <n v="3.08"/>
    <n v="0.99"/>
    <n v="3106"/>
    <s v="Alexander O'Brien"/>
    <s v="Regular Air"/>
    <s v="Home Office"/>
    <x v="0"/>
    <x v="9"/>
    <s v="Small Box"/>
    <s v="Avery 481"/>
    <n v="0.37"/>
    <s v="United States"/>
    <s v="Central"/>
    <s v="Texas"/>
    <s v="Houston"/>
    <n v="77041"/>
    <d v="2015-03-20T00:00:00"/>
    <d v="2015-03-21T00:00:00"/>
    <n v="36.020000000000003"/>
    <n v="75"/>
    <x v="1745"/>
    <n v="548"/>
    <n v="17765.25"/>
  </r>
  <r>
    <n v="6.48"/>
    <n v="5.9"/>
    <n v="3106"/>
    <s v="Alexander O'Brien"/>
    <s v="Regular Air"/>
    <s v="Home Office"/>
    <x v="0"/>
    <x v="7"/>
    <s v="Small Box"/>
    <s v="Xerox 1976"/>
    <n v="0.37"/>
    <s v="United States"/>
    <s v="Central"/>
    <s v="Texas"/>
    <s v="Houston"/>
    <n v="77041"/>
    <d v="2015-03-20T00:00:00"/>
    <d v="2015-03-21T00:00:00"/>
    <n v="-50.64"/>
    <n v="53"/>
    <x v="1746"/>
    <n v="548"/>
    <n v="19658.23"/>
  </r>
  <r>
    <n v="125.99"/>
    <n v="4.2"/>
    <n v="3106"/>
    <s v="Alexander O'Brien"/>
    <s v="Regular Air"/>
    <s v="Home Office"/>
    <x v="2"/>
    <x v="5"/>
    <s v="Small Box"/>
    <s v="V3682"/>
    <n v="0.59"/>
    <s v="United States"/>
    <s v="Central"/>
    <s v="Texas"/>
    <s v="Houston"/>
    <n v="77041"/>
    <d v="2015-03-20T00:00:00"/>
    <d v="2015-03-22T00:00:00"/>
    <n v="510.48899999999998"/>
    <n v="47"/>
    <x v="1747"/>
    <n v="548"/>
    <n v="233915.24"/>
  </r>
  <r>
    <n v="34.54"/>
    <n v="14.72"/>
    <n v="3113"/>
    <s v="Wayne English"/>
    <s v="Regular Air"/>
    <s v="Corporate"/>
    <x v="0"/>
    <x v="8"/>
    <s v="Small Box"/>
    <s v="GBC Recycled Grain Textured Covers"/>
    <n v="0.37"/>
    <s v="United States"/>
    <s v="South"/>
    <s v="Louisiana"/>
    <s v="New Iberia"/>
    <n v="70560"/>
    <d v="2015-05-17T00:00:00"/>
    <d v="2015-05-18T00:00:00"/>
    <n v="-20.182259999999999"/>
    <n v="17"/>
    <x v="1748"/>
    <n v="86860"/>
    <n v="9774.49"/>
  </r>
  <r>
    <n v="12.28"/>
    <n v="6.47"/>
    <n v="3113"/>
    <s v="Wayne English"/>
    <s v="Regular Air"/>
    <s v="Corporate"/>
    <x v="0"/>
    <x v="7"/>
    <s v="Small Box"/>
    <s v="Xerox 1881"/>
    <n v="0.38"/>
    <s v="United States"/>
    <s v="South"/>
    <s v="Louisiana"/>
    <s v="New Iberia"/>
    <n v="70560"/>
    <d v="2015-05-17T00:00:00"/>
    <d v="2015-05-17T00:00:00"/>
    <n v="-156.97219999999999"/>
    <n v="9"/>
    <x v="1749"/>
    <n v="86860"/>
    <n v="1036.98"/>
  </r>
  <r>
    <n v="34.58"/>
    <n v="8.99"/>
    <n v="3113"/>
    <s v="Wayne English"/>
    <s v="Express Air"/>
    <s v="Corporate"/>
    <x v="0"/>
    <x v="0"/>
    <s v="Small Pack"/>
    <s v="Panasonic KP-350BK Electric Pencil Sharpener with Auto Stop"/>
    <n v="0.56000000000000005"/>
    <s v="United States"/>
    <s v="South"/>
    <s v="Louisiana"/>
    <s v="New Iberia"/>
    <n v="70560"/>
    <d v="2015-05-17T00:00:00"/>
    <d v="2015-05-19T00:00:00"/>
    <n v="384.5043"/>
    <n v="13"/>
    <x v="1750"/>
    <n v="86860"/>
    <n v="5935.54"/>
  </r>
  <r>
    <n v="349.45"/>
    <n v="60"/>
    <n v="3119"/>
    <s v="Jay Hubbard"/>
    <s v="Delivery Truck"/>
    <s v="Corporate"/>
    <x v="1"/>
    <x v="11"/>
    <s v="Jumbo Drum"/>
    <s v="SAFCO PlanMaster Heigh-Adjustable Drafting Table Base, 43w x 30d x 30-37h, Black"/>
    <m/>
    <s v="United States"/>
    <s v="South"/>
    <s v="Florida"/>
    <s v="Orlando"/>
    <n v="32839"/>
    <d v="2015-06-30T00:00:00"/>
    <d v="2015-07-02T00:00:00"/>
    <n v="513.08399999999995"/>
    <n v="11"/>
    <x v="1751"/>
    <n v="86432"/>
    <n v="41494.090000000004"/>
  </r>
  <r>
    <n v="315.98"/>
    <n v="19.989999999999998"/>
    <n v="3120"/>
    <s v="Daniel Christian"/>
    <s v="Regular Air"/>
    <s v="Home Office"/>
    <x v="0"/>
    <x v="8"/>
    <s v="Small Box"/>
    <s v="GBC ProClick™ 150 Presentation Binding System"/>
    <n v="0.38"/>
    <s v="United States"/>
    <s v="South"/>
    <s v="Louisiana"/>
    <s v="New Orleans"/>
    <n v="70117"/>
    <d v="2015-06-14T00:00:00"/>
    <d v="2015-06-14T00:00:00"/>
    <n v="44.52"/>
    <n v="9"/>
    <x v="1752"/>
    <n v="90160"/>
    <n v="23782.32"/>
  </r>
  <r>
    <n v="7.1"/>
    <n v="6.05"/>
    <n v="3123"/>
    <s v="Jamie Manning"/>
    <s v="Regular Air"/>
    <s v="Home Office"/>
    <x v="0"/>
    <x v="8"/>
    <s v="Small Box"/>
    <s v="Wilson Jones Hanging View Binder, White, 1&quot;"/>
    <n v="0.39"/>
    <s v="United States"/>
    <s v="Central"/>
    <s v="Illinois"/>
    <s v="Melrose Park"/>
    <n v="60160"/>
    <d v="2015-01-07T00:00:00"/>
    <d v="2015-01-09T00:00:00"/>
    <n v="-48.875"/>
    <n v="8"/>
    <x v="1753"/>
    <n v="87287"/>
    <n v="492"/>
  </r>
  <r>
    <n v="120.98"/>
    <n v="9.07"/>
    <n v="3124"/>
    <s v="Neil Barbee"/>
    <s v="Regular Air"/>
    <s v="Home Office"/>
    <x v="0"/>
    <x v="8"/>
    <s v="Small Box"/>
    <s v="GBC VeloBinder Electric Binding Machine"/>
    <n v="0.35"/>
    <s v="United States"/>
    <s v="Central"/>
    <s v="Illinois"/>
    <s v="Moline"/>
    <n v="61265"/>
    <d v="2015-05-30T00:00:00"/>
    <d v="2015-05-31T00:00:00"/>
    <n v="881.04719999999998"/>
    <n v="11"/>
    <x v="1754"/>
    <n v="87286"/>
    <n v="14045.68"/>
  </r>
  <r>
    <n v="120.97"/>
    <n v="26.3"/>
    <n v="3125"/>
    <s v="Guy McDonald"/>
    <s v="Delivery Truck"/>
    <s v="Home Office"/>
    <x v="2"/>
    <x v="6"/>
    <s v="Jumbo Drum"/>
    <s v="Canon S750 Color Inkjet Printer"/>
    <n v="0.38"/>
    <s v="United States"/>
    <s v="Central"/>
    <s v="Illinois"/>
    <s v="Mount Prospect"/>
    <n v="60056"/>
    <d v="2015-01-05T00:00:00"/>
    <d v="2015-01-07T00:00:00"/>
    <n v="-233.840688"/>
    <n v="2"/>
    <x v="1755"/>
    <n v="87285"/>
    <n v="467.16"/>
  </r>
  <r>
    <n v="3.69"/>
    <n v="2.5"/>
    <n v="3128"/>
    <s v="Cathy Burgess"/>
    <s v="Regular Air"/>
    <s v="Small Business"/>
    <x v="0"/>
    <x v="4"/>
    <s v="Small Box"/>
    <s v="Colored Envelopes"/>
    <n v="0.39"/>
    <s v="United States"/>
    <s v="South"/>
    <s v="Louisiana"/>
    <s v="Shreveport"/>
    <n v="71109"/>
    <d v="2015-06-25T00:00:00"/>
    <d v="2015-06-30T00:00:00"/>
    <n v="-139.07599999999999"/>
    <n v="9"/>
    <x v="1756"/>
    <n v="89810"/>
    <n v="287.82"/>
  </r>
  <r>
    <n v="180.98"/>
    <n v="26.2"/>
    <n v="3132"/>
    <s v="Anita Kang"/>
    <s v="Delivery Truck"/>
    <s v="Corporate"/>
    <x v="1"/>
    <x v="1"/>
    <s v="Jumbo Drum"/>
    <s v="Global Ergonomic Managers Chair"/>
    <n v="0.59"/>
    <s v="United States"/>
    <s v="Central"/>
    <s v="Illinois"/>
    <s v="Mundelein"/>
    <n v="60060"/>
    <d v="2015-06-22T00:00:00"/>
    <d v="2015-06-23T00:00:00"/>
    <n v="-64.664000000000001"/>
    <n v="3"/>
    <x v="1757"/>
    <n v="86790"/>
    <n v="1558.2599999999998"/>
  </r>
  <r>
    <n v="62.05"/>
    <n v="3.99"/>
    <n v="3132"/>
    <s v="Anita Kang"/>
    <s v="Regular Air"/>
    <s v="Corporate"/>
    <x v="0"/>
    <x v="15"/>
    <s v="Small Box"/>
    <s v="Acco Smartsocket™ Table Surge Protector, 6 Color-Coded Adapter Outlets"/>
    <n v="0.55000000000000004"/>
    <s v="United States"/>
    <s v="Central"/>
    <s v="Illinois"/>
    <s v="Mundelein"/>
    <n v="60060"/>
    <d v="2015-05-17T00:00:00"/>
    <d v="2015-05-18T00:00:00"/>
    <n v="1644.0768"/>
    <n v="40"/>
    <x v="1758"/>
    <n v="86794"/>
    <n v="95308.799999999988"/>
  </r>
  <r>
    <n v="5.81"/>
    <n v="8.49"/>
    <n v="3133"/>
    <s v="Kristine Singleton"/>
    <s v="Regular Air"/>
    <s v="Corporate"/>
    <x v="0"/>
    <x v="8"/>
    <s v="Small Box"/>
    <s v="Fellowes Black Plastic Comb Bindings"/>
    <n v="0.39"/>
    <s v="United States"/>
    <s v="Central"/>
    <s v="Illinois"/>
    <s v="Naperville"/>
    <n v="60540"/>
    <d v="2015-01-16T00:00:00"/>
    <d v="2015-01-17T00:00:00"/>
    <n v="-350.43950000000001"/>
    <n v="12"/>
    <x v="1759"/>
    <n v="86789"/>
    <n v="779.52"/>
  </r>
  <r>
    <n v="1.81"/>
    <n v="0.75"/>
    <n v="3133"/>
    <s v="Kristine Singleton"/>
    <s v="Regular Air"/>
    <s v="Corporate"/>
    <x v="0"/>
    <x v="3"/>
    <s v="Wrap Bag"/>
    <s v="Assorted Color Push Pins"/>
    <n v="0.52"/>
    <s v="United States"/>
    <s v="Central"/>
    <s v="Illinois"/>
    <s v="Naperville"/>
    <n v="60540"/>
    <d v="2015-01-16T00:00:00"/>
    <d v="2015-01-17T00:00:00"/>
    <n v="4.2027999999999999"/>
    <n v="10"/>
    <x v="1760"/>
    <n v="86789"/>
    <n v="191.4"/>
  </r>
  <r>
    <n v="5.4"/>
    <n v="7.78"/>
    <n v="3133"/>
    <s v="Kristine Singleton"/>
    <s v="Regular Air"/>
    <s v="Corporate"/>
    <x v="0"/>
    <x v="8"/>
    <s v="Small Box"/>
    <s v="3M Organizer Strips"/>
    <n v="0.37"/>
    <s v="United States"/>
    <s v="Central"/>
    <s v="Illinois"/>
    <s v="Naperville"/>
    <n v="60540"/>
    <d v="2015-03-04T00:00:00"/>
    <d v="2015-03-04T00:00:00"/>
    <n v="-44.067999999999998"/>
    <n v="4"/>
    <x v="1190"/>
    <n v="86792"/>
    <n v="101.4"/>
  </r>
  <r>
    <n v="8.4600000000000009"/>
    <n v="8.99"/>
    <n v="3133"/>
    <s v="Kristine Singleton"/>
    <s v="Express Air"/>
    <s v="Corporate"/>
    <x v="2"/>
    <x v="13"/>
    <s v="Small Pack"/>
    <s v="Imation 3.5 IBM Diskettes, 10/Box"/>
    <n v="0.79"/>
    <s v="United States"/>
    <s v="Central"/>
    <s v="Illinois"/>
    <s v="Naperville"/>
    <n v="60540"/>
    <d v="2015-03-04T00:00:00"/>
    <d v="2015-03-07T00:00:00"/>
    <n v="-100.51"/>
    <n v="5"/>
    <x v="1761"/>
    <n v="86792"/>
    <n v="225.15"/>
  </r>
  <r>
    <n v="14.98"/>
    <n v="8.99"/>
    <n v="3133"/>
    <s v="Kristine Singleton"/>
    <s v="Regular Air"/>
    <s v="Corporate"/>
    <x v="1"/>
    <x v="2"/>
    <s v="Small Pack"/>
    <s v="GE 4 Foot Flourescent Tube, 40 Watt"/>
    <n v="0.39"/>
    <s v="United States"/>
    <s v="Central"/>
    <s v="Illinois"/>
    <s v="Naperville"/>
    <n v="60540"/>
    <d v="2015-03-04T00:00:00"/>
    <d v="2015-03-05T00:00:00"/>
    <n v="-17.75"/>
    <n v="10"/>
    <x v="1762"/>
    <n v="86792"/>
    <n v="1538.7"/>
  </r>
  <r>
    <n v="155.99"/>
    <n v="8.08"/>
    <n v="3133"/>
    <s v="Kristine Singleton"/>
    <s v="Regular Air"/>
    <s v="Corporate"/>
    <x v="2"/>
    <x v="5"/>
    <s v="Small Box"/>
    <s v="300 Series Non-Flip"/>
    <n v="0.6"/>
    <s v="United States"/>
    <s v="Central"/>
    <s v="Illinois"/>
    <s v="Naperville"/>
    <n v="60540"/>
    <d v="2015-03-04T00:00:00"/>
    <d v="2015-03-05T00:00:00"/>
    <n v="1374.9480000000001"/>
    <n v="22"/>
    <x v="1763"/>
    <n v="86792"/>
    <n v="61607.259999999995"/>
  </r>
  <r>
    <n v="150.88999999999999"/>
    <n v="60.2"/>
    <n v="3136"/>
    <s v="Lee Hancock"/>
    <s v="Delivery Truck"/>
    <s v="Consumer"/>
    <x v="1"/>
    <x v="1"/>
    <s v="Jumbo Drum"/>
    <s v="Global Leather &amp; Oak Executive Chair, Burgundy"/>
    <n v="0.77"/>
    <s v="United States"/>
    <s v="East"/>
    <s v="Maine"/>
    <s v="Sanford"/>
    <n v="4073"/>
    <d v="2015-02-22T00:00:00"/>
    <d v="2015-02-22T00:00:00"/>
    <n v="-677.87199999999996"/>
    <n v="23"/>
    <x v="1764"/>
    <n v="86791"/>
    <n v="82708.69"/>
  </r>
  <r>
    <n v="304.99"/>
    <n v="19.989999999999998"/>
    <n v="3137"/>
    <s v="Alison Sharp"/>
    <s v="Regular Air"/>
    <s v="Corporate"/>
    <x v="0"/>
    <x v="8"/>
    <s v="Small Box"/>
    <s v="Ibico Hi-Tech Manual Binding System"/>
    <n v="0.4"/>
    <s v="United States"/>
    <s v="East"/>
    <s v="New Hampshire"/>
    <s v="Laconia"/>
    <n v="3246"/>
    <d v="2015-06-08T00:00:00"/>
    <d v="2015-06-09T00:00:00"/>
    <n v="1623.9494999999999"/>
    <n v="8"/>
    <x v="1765"/>
    <n v="86795"/>
    <n v="18828.400000000001"/>
  </r>
  <r>
    <n v="4.0599999999999996"/>
    <n v="6.89"/>
    <n v="3138"/>
    <s v="Herbert Donnelly Swanson"/>
    <s v="Express Air"/>
    <s v="Corporate"/>
    <x v="0"/>
    <x v="15"/>
    <s v="Small Box"/>
    <s v="Eureka Disposable Bags for Sanitaire® Vibra Groomer I® Upright Vac"/>
    <n v="0.6"/>
    <s v="United States"/>
    <s v="East"/>
    <s v="New Hampshire"/>
    <s v="Londonderry"/>
    <n v="3053"/>
    <d v="2015-06-19T00:00:00"/>
    <d v="2015-06-21T00:00:00"/>
    <n v="-122.83499999999999"/>
    <n v="22"/>
    <x v="1766"/>
    <n v="86796"/>
    <n v="2036.54"/>
  </r>
  <r>
    <n v="280.98"/>
    <n v="57"/>
    <n v="3139"/>
    <s v="David Powell"/>
    <s v="Delivery Truck"/>
    <s v="Home Office"/>
    <x v="1"/>
    <x v="1"/>
    <s v="Jumbo Drum"/>
    <s v="Hon 2090 “Pillow Soft” Series Mid Back Swivel/Tilt Chairs"/>
    <n v="0.78"/>
    <s v="United States"/>
    <s v="East"/>
    <s v="New Jersey"/>
    <s v="Cranford"/>
    <n v="7016"/>
    <d v="2015-05-02T00:00:00"/>
    <d v="2015-05-05T00:00:00"/>
    <n v="252.488"/>
    <n v="31"/>
    <x v="1767"/>
    <n v="86793"/>
    <n v="247200.51"/>
  </r>
  <r>
    <n v="6.84"/>
    <n v="8.3699999999999992"/>
    <n v="3141"/>
    <s v="Jerome McIntosh"/>
    <s v="Regular Air"/>
    <s v="Consumer"/>
    <x v="0"/>
    <x v="12"/>
    <s v="Small Pack"/>
    <s v="Acme Design Line 8&quot; Stainless Steel Bent Scissors w/Champagne Handles, 3-1/8&quot; Cut"/>
    <n v="0.57999999999999996"/>
    <s v="United States"/>
    <s v="Central"/>
    <s v="Texas"/>
    <s v="Pasadena"/>
    <n v="77506"/>
    <d v="2015-06-01T00:00:00"/>
    <d v="2015-06-08T00:00:00"/>
    <n v="-88.584999999999994"/>
    <n v="13"/>
    <x v="1768"/>
    <n v="86369"/>
    <n v="1132.3"/>
  </r>
  <r>
    <n v="48.91"/>
    <n v="35"/>
    <n v="3141"/>
    <s v="Jerome McIntosh"/>
    <s v="Express Air"/>
    <s v="Consumer"/>
    <x v="0"/>
    <x v="10"/>
    <s v="Large Box"/>
    <s v="Tennsco Industrial Shelving"/>
    <n v="0.83"/>
    <s v="United States"/>
    <s v="Central"/>
    <s v="Texas"/>
    <s v="Pasadena"/>
    <n v="77506"/>
    <d v="2015-06-01T00:00:00"/>
    <d v="2015-06-03T00:00:00"/>
    <n v="-485.68"/>
    <n v="15"/>
    <x v="1769"/>
    <n v="86369"/>
    <n v="11052.9"/>
  </r>
  <r>
    <n v="15.42"/>
    <n v="5.41"/>
    <n v="3143"/>
    <s v="Neil Song"/>
    <s v="Regular Air"/>
    <s v="Consumer"/>
    <x v="0"/>
    <x v="10"/>
    <s v="Small Box"/>
    <s v="Decoflex Hanging Personal Folder File"/>
    <n v="0.59"/>
    <s v="United States"/>
    <s v="Central"/>
    <s v="Texas"/>
    <s v="Pflugerville"/>
    <n v="78660"/>
    <d v="2015-03-24T00:00:00"/>
    <d v="2015-03-25T00:00:00"/>
    <n v="-16.37"/>
    <n v="2"/>
    <x v="1770"/>
    <n v="86368"/>
    <n v="67.680000000000007"/>
  </r>
  <r>
    <n v="3.36"/>
    <n v="6.27"/>
    <n v="3146"/>
    <s v="Maureen Stout"/>
    <s v="Regular Air"/>
    <s v="Corporate"/>
    <x v="0"/>
    <x v="8"/>
    <s v="Small Box"/>
    <s v="Cardinal Poly Pocket Divider Pockets for Ring Binders"/>
    <n v="0.4"/>
    <s v="United States"/>
    <s v="Central"/>
    <s v="Texas"/>
    <s v="Pharr"/>
    <n v="78577"/>
    <d v="2015-01-04T00:00:00"/>
    <d v="2015-01-05T00:00:00"/>
    <n v="-94.258600000000001"/>
    <n v="4"/>
    <x v="1771"/>
    <n v="85850"/>
    <n v="59.6"/>
  </r>
  <r>
    <n v="3.71"/>
    <n v="1.93"/>
    <n v="3146"/>
    <s v="Maureen Stout"/>
    <s v="Express Air"/>
    <s v="Corporate"/>
    <x v="0"/>
    <x v="7"/>
    <s v="Wrap Bag"/>
    <s v="&quot;While you Were Out&quot; Message Book, One Form per Page"/>
    <n v="0.35"/>
    <s v="United States"/>
    <s v="Central"/>
    <s v="Texas"/>
    <s v="Pharr"/>
    <n v="78577"/>
    <d v="2015-01-04T00:00:00"/>
    <d v="2015-01-06T00:00:00"/>
    <n v="6.3308"/>
    <n v="11"/>
    <x v="1772"/>
    <n v="85850"/>
    <n v="436.04"/>
  </r>
  <r>
    <n v="19.989999999999998"/>
    <n v="11.17"/>
    <n v="3148"/>
    <s v="Leroy Field"/>
    <s v="Regular Air"/>
    <s v="Corporate"/>
    <x v="1"/>
    <x v="2"/>
    <s v="Large Box"/>
    <s v="Telescoping Adjustable Floor Lamp"/>
    <n v="0.6"/>
    <s v="United States"/>
    <s v="West"/>
    <s v="Idaho"/>
    <s v="Post Falls"/>
    <n v="83854"/>
    <d v="2015-01-14T00:00:00"/>
    <d v="2015-01-14T00:00:00"/>
    <n v="-66.823599999999999"/>
    <n v="7"/>
    <x v="1773"/>
    <n v="89716"/>
    <n v="976.43000000000006"/>
  </r>
  <r>
    <n v="320.98"/>
    <n v="58.95"/>
    <n v="3149"/>
    <s v="Harriet Moore"/>
    <s v="Delivery Truck"/>
    <s v="Corporate"/>
    <x v="1"/>
    <x v="1"/>
    <s v="Jumbo Drum"/>
    <s v="Hon 4070 Series Pagoda™ Round Back Stacking Chairs"/>
    <n v="0.56999999999999995"/>
    <s v="United States"/>
    <s v="West"/>
    <s v="Idaho"/>
    <s v="Rexburg"/>
    <n v="83440"/>
    <d v="2015-01-14T00:00:00"/>
    <d v="2015-01-16T00:00:00"/>
    <n v="971.62199999999996"/>
    <n v="6"/>
    <x v="1774"/>
    <n v="89716"/>
    <n v="11714.58"/>
  </r>
  <r>
    <n v="145.97999999999999"/>
    <n v="46.2"/>
    <n v="3151"/>
    <s v="Glenda Hunter"/>
    <s v="Delivery Truck"/>
    <s v="Corporate"/>
    <x v="1"/>
    <x v="11"/>
    <s v="Jumbo Box"/>
    <s v="Bevis Rectangular Conference Tables"/>
    <n v="0.69"/>
    <s v="United States"/>
    <s v="West"/>
    <s v="California"/>
    <s v="Twentynine Palms"/>
    <n v="92277"/>
    <d v="2015-06-03T00:00:00"/>
    <d v="2015-06-03T00:00:00"/>
    <n v="-134.512"/>
    <n v="9"/>
    <x v="1775"/>
    <n v="88543"/>
    <n v="12337.11"/>
  </r>
  <r>
    <n v="3502.14"/>
    <n v="8.73"/>
    <n v="3151"/>
    <s v="Glenda Hunter"/>
    <s v="Delivery Truck"/>
    <s v="Corporate"/>
    <x v="2"/>
    <x v="6"/>
    <s v="Jumbo Box"/>
    <s v="Okidata Pacemark 4410N Wide Format Dot Matrix Printer"/>
    <n v="0.56999999999999995"/>
    <s v="United States"/>
    <s v="West"/>
    <s v="California"/>
    <s v="Twentynine Palms"/>
    <n v="92277"/>
    <d v="2015-02-04T00:00:00"/>
    <d v="2015-02-05T00:00:00"/>
    <n v="-4075.9339920000002"/>
    <n v="1"/>
    <x v="1776"/>
    <n v="88544"/>
    <n v="3501.79"/>
  </r>
  <r>
    <n v="15.73"/>
    <n v="7.42"/>
    <n v="3151"/>
    <s v="Glenda Hunter"/>
    <s v="Regular Air"/>
    <s v="Corporate"/>
    <x v="0"/>
    <x v="12"/>
    <s v="Small Pack"/>
    <s v="Acme Galleria® Hot Forged Steel Scissors with Colored Handles"/>
    <n v="0.56000000000000005"/>
    <s v="United States"/>
    <s v="West"/>
    <s v="California"/>
    <s v="Twentynine Palms"/>
    <n v="92277"/>
    <d v="2015-02-04T00:00:00"/>
    <d v="2015-02-05T00:00:00"/>
    <n v="-18.558800000000002"/>
    <n v="4"/>
    <x v="1777"/>
    <n v="88544"/>
    <n v="252.16"/>
  </r>
  <r>
    <n v="25.99"/>
    <n v="5.37"/>
    <n v="3151"/>
    <s v="Glenda Hunter"/>
    <s v="Express Air"/>
    <s v="Corporate"/>
    <x v="0"/>
    <x v="0"/>
    <s v="Small Box"/>
    <s v="BOSTON® Ranger® #55 Pencil Sharpener, Black"/>
    <n v="0.56000000000000005"/>
    <s v="United States"/>
    <s v="West"/>
    <s v="California"/>
    <s v="Twentynine Palms"/>
    <n v="92277"/>
    <d v="2015-02-16T00:00:00"/>
    <d v="2015-02-18T00:00:00"/>
    <n v="220.35720000000001"/>
    <n v="18"/>
    <x v="1778"/>
    <n v="88545"/>
    <n v="8124.3"/>
  </r>
  <r>
    <n v="17.239999999999998"/>
    <n v="3.26"/>
    <n v="3151"/>
    <s v="Glenda Hunter"/>
    <s v="Regular Air"/>
    <s v="Home Office"/>
    <x v="0"/>
    <x v="12"/>
    <s v="Small Pack"/>
    <s v="Fiskars 8&quot; Scissors, 2/Pack"/>
    <n v="0.56000000000000005"/>
    <s v="United States"/>
    <s v="West"/>
    <s v="California"/>
    <s v="Twentynine Palms"/>
    <n v="92277"/>
    <d v="2015-02-28T00:00:00"/>
    <d v="2015-02-28T00:00:00"/>
    <n v="47.73"/>
    <n v="7"/>
    <x v="1779"/>
    <n v="88546"/>
    <n v="837.19999999999993"/>
  </r>
  <r>
    <n v="5.98"/>
    <n v="1.49"/>
    <n v="3151"/>
    <s v="Glenda Hunter"/>
    <s v="Regular Air"/>
    <s v="Corporate"/>
    <x v="0"/>
    <x v="8"/>
    <s v="Small Box"/>
    <s v="Avery Hanging File Binders"/>
    <n v="0.39"/>
    <s v="United States"/>
    <s v="West"/>
    <s v="California"/>
    <s v="Twentynine Palms"/>
    <n v="92277"/>
    <d v="2015-03-11T00:00:00"/>
    <d v="2015-03-12T00:00:00"/>
    <n v="28.526"/>
    <n v="10"/>
    <x v="1780"/>
    <n v="88547"/>
    <n v="599"/>
  </r>
  <r>
    <n v="99.23"/>
    <n v="8.99"/>
    <n v="3151"/>
    <s v="Glenda Hunter"/>
    <s v="Regular Air"/>
    <s v="Corporate"/>
    <x v="1"/>
    <x v="2"/>
    <s v="Small Pack"/>
    <s v="GE 48&quot; Fluorescent Tube, Cool White Energy Saver, 34 Watts, 30/Box"/>
    <n v="0.35"/>
    <s v="United States"/>
    <s v="West"/>
    <s v="California"/>
    <s v="Twentynine Palms"/>
    <n v="92277"/>
    <d v="2015-03-29T00:00:00"/>
    <d v="2015-04-02T00:00:00"/>
    <n v="-87.46"/>
    <n v="1"/>
    <x v="1781"/>
    <n v="88548"/>
    <n v="99.22"/>
  </r>
  <r>
    <n v="150.97999999999999"/>
    <n v="13.99"/>
    <n v="3154"/>
    <s v="Faye Manning"/>
    <s v="Express Air"/>
    <s v="Corporate"/>
    <x v="2"/>
    <x v="6"/>
    <s v="Medium Box"/>
    <s v="Canon MP41DH Printing Calculator"/>
    <n v="0.38"/>
    <s v="United States"/>
    <s v="South"/>
    <s v="Florida"/>
    <s v="Saint Petersburg"/>
    <n v="33710"/>
    <d v="2015-01-26T00:00:00"/>
    <d v="2015-01-27T00:00:00"/>
    <n v="-3.948"/>
    <n v="8"/>
    <x v="1782"/>
    <n v="86899"/>
    <n v="9470.56"/>
  </r>
  <r>
    <n v="17.7"/>
    <n v="9.4700000000000006"/>
    <n v="3154"/>
    <s v="Faye Manning"/>
    <s v="Regular Air"/>
    <s v="Consumer"/>
    <x v="0"/>
    <x v="10"/>
    <s v="Small Box"/>
    <s v="Portfile® Personal File Boxes"/>
    <n v="0.59"/>
    <s v="United States"/>
    <s v="South"/>
    <s v="Florida"/>
    <s v="Saint Petersburg"/>
    <n v="33710"/>
    <d v="2015-05-28T00:00:00"/>
    <d v="2015-05-30T00:00:00"/>
    <n v="28.182600000000001"/>
    <n v="11"/>
    <x v="1783"/>
    <n v="86900"/>
    <n v="2219.4700000000003"/>
  </r>
  <r>
    <n v="21.38"/>
    <n v="8.99"/>
    <n v="3154"/>
    <s v="Faye Manning"/>
    <s v="Regular Air"/>
    <s v="Corporate"/>
    <x v="0"/>
    <x v="0"/>
    <s v="Small Pack"/>
    <s v="Boston 1730 StandUp Electric Pencil Sharpener"/>
    <n v="0.59"/>
    <s v="United States"/>
    <s v="South"/>
    <s v="Florida"/>
    <s v="Saint Petersburg"/>
    <n v="33710"/>
    <d v="2015-03-30T00:00:00"/>
    <d v="2015-03-30T00:00:00"/>
    <n v="-51.66"/>
    <n v="21"/>
    <x v="1784"/>
    <n v="86901"/>
    <n v="9316.86"/>
  </r>
  <r>
    <n v="60.22"/>
    <n v="3.5"/>
    <n v="3155"/>
    <s v="Julian Keith Mayer"/>
    <s v="Regular Air"/>
    <s v="Corporate"/>
    <x v="0"/>
    <x v="15"/>
    <s v="Small Box"/>
    <s v="Fellowes Smart Surge Ten-Outlet Protector, Platinum"/>
    <n v="0.56999999999999995"/>
    <s v="United States"/>
    <s v="South"/>
    <s v="Florida"/>
    <s v="Sanford"/>
    <n v="32771"/>
    <d v="2015-01-20T00:00:00"/>
    <d v="2015-01-21T00:00:00"/>
    <n v="-193.91399999999999"/>
    <n v="9"/>
    <x v="1785"/>
    <n v="86898"/>
    <n v="4875.84"/>
  </r>
  <r>
    <n v="25.98"/>
    <n v="14.36"/>
    <n v="3155"/>
    <s v="Julian Keith Mayer"/>
    <s v="Delivery Truck"/>
    <s v="Corporate"/>
    <x v="1"/>
    <x v="1"/>
    <s v="Jumbo Drum"/>
    <s v="Global Stack Chair without Arms, Black"/>
    <n v="0.6"/>
    <s v="United States"/>
    <s v="South"/>
    <s v="Florida"/>
    <s v="Sanford"/>
    <n v="32771"/>
    <d v="2015-01-26T00:00:00"/>
    <d v="2015-01-27T00:00:00"/>
    <n v="57.545999999999999"/>
    <n v="4"/>
    <x v="1786"/>
    <n v="86899"/>
    <n v="430.64"/>
  </r>
  <r>
    <n v="32.479999999999997"/>
    <n v="35"/>
    <n v="3155"/>
    <s v="Julian Keith Mayer"/>
    <s v="Regular Air"/>
    <s v="Corporate"/>
    <x v="0"/>
    <x v="10"/>
    <s v="Large Box"/>
    <s v="Fellowes Neat Ideas® Storage Cubes"/>
    <n v="0.81"/>
    <s v="United States"/>
    <s v="South"/>
    <s v="Florida"/>
    <s v="Sanford"/>
    <n v="32771"/>
    <d v="2015-01-26T00:00:00"/>
    <d v="2015-01-27T00:00:00"/>
    <n v="-333.42540000000002"/>
    <n v="10"/>
    <x v="1787"/>
    <n v="86899"/>
    <n v="3188.2999999999997"/>
  </r>
  <r>
    <n v="159.99"/>
    <n v="5.5"/>
    <n v="3155"/>
    <s v="Julian Keith Mayer"/>
    <s v="Regular Air"/>
    <s v="Consumer"/>
    <x v="2"/>
    <x v="13"/>
    <s v="Small Box"/>
    <s v="Gyration RF Keyboard"/>
    <n v="0.49"/>
    <s v="United States"/>
    <s v="South"/>
    <s v="Florida"/>
    <s v="Sanford"/>
    <n v="32771"/>
    <d v="2015-04-19T00:00:00"/>
    <d v="2015-04-21T00:00:00"/>
    <n v="12.263999999999999"/>
    <n v="23"/>
    <x v="1788"/>
    <n v="86902"/>
    <n v="82814.95"/>
  </r>
  <r>
    <n v="280.98"/>
    <n v="57"/>
    <n v="3167"/>
    <s v="Ray Silverman"/>
    <s v="Delivery Truck"/>
    <s v="Corporate"/>
    <x v="1"/>
    <x v="1"/>
    <s v="Jumbo Drum"/>
    <s v="Hon 2090 “Pillow Soft” Series Mid Back Swivel/Tilt Chairs"/>
    <n v="0.78"/>
    <s v="United States"/>
    <s v="South"/>
    <s v="Florida"/>
    <s v="Ponte Vedra Beach"/>
    <n v="32004"/>
    <d v="2015-06-19T00:00:00"/>
    <d v="2015-06-20T00:00:00"/>
    <n v="-283.9914"/>
    <n v="14"/>
    <x v="1789"/>
    <n v="86491"/>
    <n v="55112.54"/>
  </r>
  <r>
    <n v="4.9800000000000004"/>
    <n v="7.44"/>
    <n v="3167"/>
    <s v="Ray Silverman"/>
    <s v="Regular Air"/>
    <s v="Corporate"/>
    <x v="0"/>
    <x v="7"/>
    <s v="Small Box"/>
    <s v="Xerox 1922"/>
    <n v="0.36"/>
    <s v="United States"/>
    <s v="South"/>
    <s v="Florida"/>
    <s v="Ponte Vedra Beach"/>
    <n v="32004"/>
    <d v="2015-06-19T00:00:00"/>
    <d v="2015-06-21T00:00:00"/>
    <n v="-195.34200000000001"/>
    <n v="15"/>
    <x v="1790"/>
    <n v="86491"/>
    <n v="1174.6500000000001"/>
  </r>
  <r>
    <n v="3.98"/>
    <n v="0.83"/>
    <n v="3167"/>
    <s v="Ray Silverman"/>
    <s v="Regular Air"/>
    <s v="Corporate"/>
    <x v="0"/>
    <x v="0"/>
    <s v="Wrap Bag"/>
    <s v="Fluorescent Highlighters by Dixon"/>
    <n v="0.51"/>
    <s v="United States"/>
    <s v="South"/>
    <s v="Florida"/>
    <s v="Ponte Vedra Beach"/>
    <n v="32004"/>
    <d v="2015-06-19T00:00:00"/>
    <d v="2015-06-21T00:00:00"/>
    <n v="-89.709199999999996"/>
    <n v="11"/>
    <x v="1315"/>
    <n v="86491"/>
    <n v="467.06"/>
  </r>
  <r>
    <n v="7.28"/>
    <n v="11.15"/>
    <n v="3169"/>
    <s v="Janice Boswell"/>
    <s v="Express Air"/>
    <s v="Small Business"/>
    <x v="0"/>
    <x v="7"/>
    <s v="Small Box"/>
    <s v="Array® Parchment Paper, Assorted Colors"/>
    <n v="0.37"/>
    <s v="United States"/>
    <s v="South"/>
    <s v="Florida"/>
    <s v="Port Orange"/>
    <n v="32127"/>
    <d v="2015-04-13T00:00:00"/>
    <d v="2015-04-14T00:00:00"/>
    <n v="-44.414999999999999"/>
    <n v="1"/>
    <x v="1791"/>
    <n v="86490"/>
    <n v="14.66"/>
  </r>
  <r>
    <n v="7.28"/>
    <n v="5.47"/>
    <n v="3170"/>
    <s v="Lawrence Haas"/>
    <s v="Regular Air"/>
    <s v="Corporate"/>
    <x v="0"/>
    <x v="7"/>
    <s v="Small Box"/>
    <s v="Southworth Structures Collection™"/>
    <n v="0.35"/>
    <s v="United States"/>
    <s v="South"/>
    <s v="Florida"/>
    <s v="Port Saint Lucie"/>
    <n v="34952"/>
    <d v="2015-02-13T00:00:00"/>
    <d v="2015-02-13T00:00:00"/>
    <n v="167.334"/>
    <n v="12"/>
    <x v="1792"/>
    <n v="86489"/>
    <n v="997.68000000000006"/>
  </r>
  <r>
    <n v="10.97"/>
    <n v="6.5"/>
    <n v="3176"/>
    <s v="Jackie McCullough"/>
    <s v="Regular Air"/>
    <s v="Consumer"/>
    <x v="2"/>
    <x v="13"/>
    <s v="Small Box"/>
    <s v="Micro Innovations 104 Keyboard"/>
    <n v="0.64"/>
    <s v="United States"/>
    <s v="South"/>
    <s v="Florida"/>
    <s v="Jacksonville"/>
    <n v="32216"/>
    <d v="2015-05-04T00:00:00"/>
    <d v="2015-05-06T00:00:00"/>
    <n v="65.597999999999999"/>
    <n v="19"/>
    <x v="1793"/>
    <n v="90820"/>
    <n v="4089.75"/>
  </r>
  <r>
    <n v="58.14"/>
    <n v="36.61"/>
    <n v="3176"/>
    <s v="Jackie McCullough"/>
    <s v="Delivery Truck"/>
    <s v="Consumer"/>
    <x v="1"/>
    <x v="14"/>
    <s v="Jumbo Box"/>
    <s v="O'Sullivan 3-Shelf Heavy-Duty Bookcases"/>
    <n v="0.61"/>
    <s v="United States"/>
    <s v="South"/>
    <s v="Florida"/>
    <s v="Jacksonville"/>
    <n v="32216"/>
    <d v="2015-06-25T00:00:00"/>
    <d v="2015-07-01T00:00:00"/>
    <n v="0.25800000000000001"/>
    <n v="22"/>
    <x v="1794"/>
    <n v="90821"/>
    <n v="29876.44"/>
  </r>
  <r>
    <n v="15.57"/>
    <n v="1.39"/>
    <n v="3176"/>
    <s v="Jackie McCullough"/>
    <s v="Regular Air"/>
    <s v="Consumer"/>
    <x v="0"/>
    <x v="4"/>
    <s v="Small Box"/>
    <s v="Park Ridge™ Embossed Executive Business Envelopes"/>
    <n v="0.38"/>
    <s v="United States"/>
    <s v="South"/>
    <s v="Florida"/>
    <s v="Jacksonville"/>
    <n v="32216"/>
    <d v="2015-06-25T00:00:00"/>
    <d v="2015-07-01T00:00:00"/>
    <n v="63.222000000000001"/>
    <n v="22"/>
    <x v="1795"/>
    <n v="90821"/>
    <n v="7894.48"/>
  </r>
  <r>
    <n v="62.18"/>
    <n v="10.84"/>
    <n v="3177"/>
    <s v="Laurie Petty"/>
    <s v="Regular Air"/>
    <s v="Consumer"/>
    <x v="1"/>
    <x v="2"/>
    <s v="Medium Box"/>
    <s v="Deflect-o Glass Clear Studded Chair Mats"/>
    <n v="0.63"/>
    <s v="United States"/>
    <s v="South"/>
    <s v="Florida"/>
    <s v="Jupiter"/>
    <n v="33458"/>
    <d v="2015-03-14T00:00:00"/>
    <d v="2015-03-16T00:00:00"/>
    <n v="-29.666"/>
    <n v="9"/>
    <x v="1796"/>
    <n v="90818"/>
    <n v="4604.13"/>
  </r>
  <r>
    <n v="1.68"/>
    <n v="1"/>
    <n v="3177"/>
    <s v="Laurie Petty"/>
    <s v="Regular Air"/>
    <s v="Consumer"/>
    <x v="0"/>
    <x v="0"/>
    <s v="Wrap Bag"/>
    <s v="Prang Dustless Chalk Sticks"/>
    <n v="0.35"/>
    <s v="United States"/>
    <s v="South"/>
    <s v="Florida"/>
    <s v="Jupiter"/>
    <n v="33458"/>
    <d v="2015-03-31T00:00:00"/>
    <d v="2015-04-02T00:00:00"/>
    <n v="-1319.5"/>
    <n v="5"/>
    <x v="1797"/>
    <n v="90819"/>
    <n v="43.25"/>
  </r>
  <r>
    <n v="35.44"/>
    <n v="7.5"/>
    <n v="3179"/>
    <s v="Marie Pittman"/>
    <s v="Regular Air"/>
    <s v="Corporate"/>
    <x v="0"/>
    <x v="7"/>
    <s v="Small Box"/>
    <s v="Xerox 1906"/>
    <n v="0.38"/>
    <s v="United States"/>
    <s v="Central"/>
    <s v="Minnesota"/>
    <s v="Owatonna"/>
    <n v="55060"/>
    <d v="2015-06-12T00:00:00"/>
    <d v="2015-06-19T00:00:00"/>
    <n v="262.2"/>
    <n v="11"/>
    <x v="1798"/>
    <n v="86989"/>
    <n v="4180"/>
  </r>
  <r>
    <n v="170.98"/>
    <n v="35.89"/>
    <n v="3187"/>
    <s v="Sidney Gilliam"/>
    <s v="Delivery Truck"/>
    <s v="Small Business"/>
    <x v="1"/>
    <x v="14"/>
    <s v="Jumbo Box"/>
    <s v="Rush Hierlooms Collection 1&quot; Thick Stackable Bookcases"/>
    <n v="0.66"/>
    <s v="United States"/>
    <s v="South"/>
    <s v="Florida"/>
    <s v="Riverview"/>
    <n v="33569"/>
    <d v="2015-03-02T00:00:00"/>
    <d v="2015-03-04T00:00:00"/>
    <n v="-119.812"/>
    <n v="1"/>
    <x v="1799"/>
    <n v="89025"/>
    <n v="199.48"/>
  </r>
  <r>
    <n v="20.99"/>
    <n v="4.8099999999999996"/>
    <n v="3191"/>
    <s v="Jenny Hawkins"/>
    <s v="Regular Air"/>
    <s v="Corporate"/>
    <x v="2"/>
    <x v="5"/>
    <s v="Medium Box"/>
    <s v="1726 Digital Answering Machine"/>
    <n v="0.57999999999999996"/>
    <s v="United States"/>
    <s v="Central"/>
    <s v="Wisconsin"/>
    <s v="Stevens Point"/>
    <n v="54481"/>
    <d v="2015-03-18T00:00:00"/>
    <d v="2015-03-18T00:00:00"/>
    <n v="-9.1080000000000005"/>
    <n v="5"/>
    <x v="1800"/>
    <n v="86447"/>
    <n v="469.05"/>
  </r>
  <r>
    <n v="35.94"/>
    <n v="6.66"/>
    <n v="3191"/>
    <s v="Jenny Hawkins"/>
    <s v="Regular Air"/>
    <s v="Corporate"/>
    <x v="0"/>
    <x v="4"/>
    <s v="Small Box"/>
    <s v="Tyvek ® Top-Opening Peel &amp; Seel ® Envelopes, Gray"/>
    <n v="0.4"/>
    <s v="United States"/>
    <s v="Central"/>
    <s v="Wisconsin"/>
    <s v="Stevens Point"/>
    <n v="54481"/>
    <d v="2015-04-10T00:00:00"/>
    <d v="2015-04-12T00:00:00"/>
    <n v="172.56440000000001"/>
    <n v="9"/>
    <x v="1801"/>
    <n v="86448"/>
    <n v="2809.9800000000005"/>
  </r>
  <r>
    <n v="4.9800000000000004"/>
    <n v="7.54"/>
    <n v="3194"/>
    <s v="Angela Rose"/>
    <s v="Regular Air"/>
    <s v="Consumer"/>
    <x v="0"/>
    <x v="7"/>
    <s v="Small Box"/>
    <s v="Xerox 1961"/>
    <n v="0.38"/>
    <s v="United States"/>
    <s v="South"/>
    <s v="Florida"/>
    <s v="Spring Hill"/>
    <n v="34609"/>
    <d v="2015-03-10T00:00:00"/>
    <d v="2015-03-11T00:00:00"/>
    <n v="45.078000000000003"/>
    <n v="9"/>
    <x v="1802"/>
    <n v="89805"/>
    <n v="394.56000000000006"/>
  </r>
  <r>
    <n v="22.84"/>
    <n v="8.18"/>
    <n v="3194"/>
    <s v="Angela Rose"/>
    <s v="Regular Air"/>
    <s v="Consumer"/>
    <x v="0"/>
    <x v="7"/>
    <s v="Small Box"/>
    <s v="Xerox 1991"/>
    <n v="0.39"/>
    <s v="United States"/>
    <s v="South"/>
    <s v="Florida"/>
    <s v="Spring Hill"/>
    <n v="34609"/>
    <d v="2015-03-10T00:00:00"/>
    <d v="2015-03-12T00:00:00"/>
    <n v="-110.376"/>
    <n v="6"/>
    <x v="1803"/>
    <n v="89805"/>
    <n v="850.44"/>
  </r>
  <r>
    <n v="200.97"/>
    <n v="15.59"/>
    <n v="3196"/>
    <s v="Rick Foster Hawkins"/>
    <s v="Delivery Truck"/>
    <s v="Home Office"/>
    <x v="2"/>
    <x v="6"/>
    <s v="Jumbo Drum"/>
    <s v="Hewlett-Packard Deskjet 6122 Color Inkjet Printer"/>
    <n v="0.36"/>
    <s v="United States"/>
    <s v="West"/>
    <s v="California"/>
    <s v="San Francisco"/>
    <n v="94109"/>
    <d v="2015-02-02T00:00:00"/>
    <d v="2015-02-03T00:00:00"/>
    <n v="1951.3"/>
    <n v="43"/>
    <x v="1804"/>
    <n v="24294"/>
    <n v="374863.25"/>
  </r>
  <r>
    <n v="200.97"/>
    <n v="15.59"/>
    <n v="3197"/>
    <s v="Wallace Pugh"/>
    <s v="Delivery Truck"/>
    <s v="Home Office"/>
    <x v="2"/>
    <x v="6"/>
    <s v="Jumbo Drum"/>
    <s v="Hewlett-Packard Deskjet 6122 Color Inkjet Printer"/>
    <n v="0.36"/>
    <s v="United States"/>
    <s v="Central"/>
    <s v="Illinois"/>
    <s v="Northbrook"/>
    <n v="60062"/>
    <d v="2015-02-02T00:00:00"/>
    <d v="2015-02-03T00:00:00"/>
    <n v="1538.7828"/>
    <n v="11"/>
    <x v="1805"/>
    <n v="90850"/>
    <n v="24531.32"/>
  </r>
  <r>
    <n v="5.98"/>
    <n v="0.96"/>
    <n v="3205"/>
    <s v="Alvin Mullins"/>
    <s v="Regular Air"/>
    <s v="Consumer"/>
    <x v="0"/>
    <x v="0"/>
    <s v="Wrap Bag"/>
    <s v="Newell 315"/>
    <n v="0.6"/>
    <s v="United States"/>
    <s v="West"/>
    <s v="Idaho"/>
    <s v="Rexburg"/>
    <n v="83440"/>
    <d v="2015-03-30T00:00:00"/>
    <d v="2015-04-03T00:00:00"/>
    <n v="32.83"/>
    <n v="10"/>
    <x v="1806"/>
    <n v="87933"/>
    <n v="564"/>
  </r>
  <r>
    <n v="39.979999999999997"/>
    <n v="4"/>
    <n v="3206"/>
    <s v="Dana Rankin"/>
    <s v="Regular Air"/>
    <s v="Consumer"/>
    <x v="2"/>
    <x v="13"/>
    <s v="Small Box"/>
    <s v="Microsoft Natural Keyboard Elite"/>
    <n v="0.7"/>
    <s v="United States"/>
    <s v="West"/>
    <s v="Idaho"/>
    <s v="Twin Falls"/>
    <n v="83301"/>
    <d v="2015-03-30T00:00:00"/>
    <d v="2015-04-04T00:00:00"/>
    <n v="51.59"/>
    <n v="6"/>
    <x v="427"/>
    <n v="87933"/>
    <n v="1545.12"/>
  </r>
  <r>
    <n v="218.08"/>
    <n v="18.059999999999999"/>
    <n v="3206"/>
    <s v="Dana Rankin"/>
    <s v="Express Air"/>
    <s v="Consumer"/>
    <x v="1"/>
    <x v="1"/>
    <s v="Large Box"/>
    <s v="Lifetime Advantage™ Folding Chairs, 4/Carton"/>
    <n v="0.56999999999999995"/>
    <s v="United States"/>
    <s v="West"/>
    <s v="Idaho"/>
    <s v="Twin Falls"/>
    <n v="83301"/>
    <d v="2015-05-21T00:00:00"/>
    <d v="2015-05-23T00:00:00"/>
    <n v="969.42"/>
    <n v="7"/>
    <x v="1807"/>
    <n v="87934"/>
    <n v="10419.57"/>
  </r>
  <r>
    <n v="35.44"/>
    <n v="5.09"/>
    <n v="3206"/>
    <s v="Dana Rankin"/>
    <s v="Regular Air"/>
    <s v="Consumer"/>
    <x v="0"/>
    <x v="7"/>
    <s v="Small Box"/>
    <s v="Xerox 1932"/>
    <n v="0.38"/>
    <s v="United States"/>
    <s v="West"/>
    <s v="Idaho"/>
    <s v="Twin Falls"/>
    <n v="83301"/>
    <d v="2015-05-28T00:00:00"/>
    <d v="2015-05-29T00:00:00"/>
    <n v="553.33169999999996"/>
    <n v="23"/>
    <x v="1808"/>
    <n v="87935"/>
    <n v="18444.39"/>
  </r>
  <r>
    <n v="4.9800000000000004"/>
    <n v="4.62"/>
    <n v="3209"/>
    <s v="Elsie Floyd"/>
    <s v="Express Air"/>
    <s v="Corporate"/>
    <x v="2"/>
    <x v="13"/>
    <s v="Small Pack"/>
    <s v="Imation 3.5&quot;, DISKETTE 44766 HGHLD3.52HD/FM, 10/Pack"/>
    <n v="0.64"/>
    <s v="United States"/>
    <s v="West"/>
    <s v="California"/>
    <s v="Beverly Hills"/>
    <n v="90210"/>
    <d v="2015-06-28T00:00:00"/>
    <d v="2015-06-29T00:00:00"/>
    <n v="-30.45"/>
    <n v="8"/>
    <x v="1809"/>
    <n v="90739"/>
    <n v="353.92"/>
  </r>
  <r>
    <n v="7.31"/>
    <n v="0.49"/>
    <n v="3211"/>
    <s v="Jonathan Crabtree"/>
    <s v="Regular Air"/>
    <s v="Corporate"/>
    <x v="0"/>
    <x v="9"/>
    <s v="Small Box"/>
    <s v="Self-Adhesive Address Labels for Typewriters by Universal"/>
    <n v="0.38"/>
    <s v="United States"/>
    <s v="Central"/>
    <s v="Illinois"/>
    <s v="Addison"/>
    <n v="60101"/>
    <d v="2015-02-15T00:00:00"/>
    <d v="2015-02-16T00:00:00"/>
    <n v="55.020600000000002"/>
    <n v="12"/>
    <x v="1810"/>
    <n v="91522"/>
    <n v="956.87999999999988"/>
  </r>
  <r>
    <n v="20.99"/>
    <n v="2.5"/>
    <n v="3211"/>
    <s v="Jonathan Crabtree"/>
    <s v="Regular Air"/>
    <s v="Corporate"/>
    <x v="2"/>
    <x v="5"/>
    <s v="Wrap Bag"/>
    <s v="Accessory37"/>
    <n v="0.81"/>
    <s v="United States"/>
    <s v="Central"/>
    <s v="Illinois"/>
    <s v="Addison"/>
    <n v="60101"/>
    <d v="2015-02-15T00:00:00"/>
    <d v="2015-02-16T00:00:00"/>
    <n v="-43.65504"/>
    <n v="23"/>
    <x v="1488"/>
    <n v="91522"/>
    <n v="9026.35"/>
  </r>
  <r>
    <n v="6.68"/>
    <n v="1.5"/>
    <n v="3221"/>
    <s v="Sean Pugh"/>
    <s v="Regular Air"/>
    <s v="Corporate"/>
    <x v="0"/>
    <x v="0"/>
    <s v="Wrap Bag"/>
    <s v="Sanford Liquid Accent Highlighters"/>
    <n v="0.48"/>
    <s v="United States"/>
    <s v="South"/>
    <s v="Florida"/>
    <s v="Sunrise"/>
    <n v="33322"/>
    <d v="2015-04-12T00:00:00"/>
    <d v="2015-04-13T00:00:00"/>
    <n v="-577.30399999999997"/>
    <n v="7"/>
    <x v="1811"/>
    <n v="90815"/>
    <n v="338.24"/>
  </r>
  <r>
    <n v="39.479999999999997"/>
    <n v="1.99"/>
    <n v="3222"/>
    <s v="Diane Lu"/>
    <s v="Express Air"/>
    <s v="Corporate"/>
    <x v="2"/>
    <x v="13"/>
    <s v="Small Pack"/>
    <s v="80 Minute CD-R Spindle, 100/Pack - Staples"/>
    <n v="0.54"/>
    <s v="United States"/>
    <s v="South"/>
    <s v="Florida"/>
    <s v="Tallahassee"/>
    <n v="32303"/>
    <d v="2015-03-19T00:00:00"/>
    <d v="2015-03-19T00:00:00"/>
    <n v="-1535.4864"/>
    <n v="8"/>
    <x v="1812"/>
    <n v="90814"/>
    <n v="2657.28"/>
  </r>
  <r>
    <n v="8.1199999999999992"/>
    <n v="2.83"/>
    <n v="3222"/>
    <s v="Diane Lu"/>
    <s v="Regular Air"/>
    <s v="Corporate"/>
    <x v="2"/>
    <x v="13"/>
    <s v="Small Pack"/>
    <s v="Imation Neon Mac Format Diskettes, 10/Pack"/>
    <n v="0.77"/>
    <s v="United States"/>
    <s v="South"/>
    <s v="Florida"/>
    <s v="Tallahassee"/>
    <n v="32303"/>
    <d v="2015-03-19T00:00:00"/>
    <d v="2015-03-20T00:00:00"/>
    <n v="-159.32"/>
    <n v="17"/>
    <x v="1813"/>
    <n v="90814"/>
    <n v="2509.54"/>
  </r>
  <r>
    <n v="60.98"/>
    <n v="30"/>
    <n v="3224"/>
    <s v="Claudia White"/>
    <s v="Delivery Truck"/>
    <s v="Small Business"/>
    <x v="1"/>
    <x v="1"/>
    <s v="Jumbo Drum"/>
    <s v="Novimex Fabric Task Chair"/>
    <n v="0.7"/>
    <s v="United States"/>
    <s v="South"/>
    <s v="Tennessee"/>
    <s v="Gallatin"/>
    <n v="37066"/>
    <d v="2015-04-01T00:00:00"/>
    <d v="2015-04-02T00:00:00"/>
    <n v="-74.087999999999994"/>
    <n v="2"/>
    <x v="1814"/>
    <n v="86508"/>
    <n v="251.8"/>
  </r>
  <r>
    <n v="208.16"/>
    <n v="68.02"/>
    <n v="3225"/>
    <s v="Robyn Crawford"/>
    <s v="Delivery Truck"/>
    <s v="Small Business"/>
    <x v="0"/>
    <x v="15"/>
    <s v="Jumbo Drum"/>
    <s v="1.7 Cubic Foot Compact &quot;Cube&quot; Office Refrigerators"/>
    <n v="0.57999999999999996"/>
    <s v="United States"/>
    <s v="South"/>
    <s v="Tennessee"/>
    <s v="Germantown"/>
    <n v="38138"/>
    <d v="2015-01-14T00:00:00"/>
    <d v="2015-01-14T00:00:00"/>
    <n v="-137.52199999999999"/>
    <n v="4"/>
    <x v="1815"/>
    <n v="86507"/>
    <n v="3075.24"/>
  </r>
  <r>
    <n v="90.48"/>
    <n v="19.989999999999998"/>
    <n v="3226"/>
    <s v="Arthur Gold"/>
    <s v="Regular Air"/>
    <s v="Small Business"/>
    <x v="0"/>
    <x v="4"/>
    <s v="Small Box"/>
    <s v="Tyvek® Side-Opening Peel &amp; Seel® Expanding Envelopes"/>
    <n v="0.4"/>
    <s v="United States"/>
    <s v="South"/>
    <s v="Tennessee"/>
    <s v="Hendersonville"/>
    <n v="37075"/>
    <d v="2015-01-14T00:00:00"/>
    <d v="2015-01-15T00:00:00"/>
    <n v="-11.816000000000001"/>
    <n v="2"/>
    <x v="1816"/>
    <n v="86507"/>
    <n v="366.78"/>
  </r>
  <r>
    <n v="9.48"/>
    <n v="7.29"/>
    <n v="3226"/>
    <s v="Arthur Gold"/>
    <s v="Express Air"/>
    <s v="Small Business"/>
    <x v="1"/>
    <x v="2"/>
    <s v="Small Pack"/>
    <s v="DAX Two-Tone Rosewood/Black Document Frame, Desktop, 5 x 7"/>
    <n v="0.45"/>
    <s v="United States"/>
    <s v="South"/>
    <s v="Tennessee"/>
    <s v="Hendersonville"/>
    <n v="37075"/>
    <d v="2015-01-14T00:00:00"/>
    <d v="2015-01-16T00:00:00"/>
    <n v="238.93379999999999"/>
    <n v="1"/>
    <x v="1817"/>
    <n v="86507"/>
    <n v="12.9"/>
  </r>
  <r>
    <n v="4.28"/>
    <n v="0.94"/>
    <n v="3226"/>
    <s v="Arthur Gold"/>
    <s v="Regular Air"/>
    <s v="Small Business"/>
    <x v="0"/>
    <x v="0"/>
    <s v="Wrap Bag"/>
    <s v="Newell 336"/>
    <n v="0.56000000000000005"/>
    <s v="United States"/>
    <s v="South"/>
    <s v="Tennessee"/>
    <s v="Hendersonville"/>
    <n v="37075"/>
    <d v="2015-01-14T00:00:00"/>
    <d v="2015-01-15T00:00:00"/>
    <n v="-105.126"/>
    <n v="4"/>
    <x v="1818"/>
    <n v="86507"/>
    <n v="71.56"/>
  </r>
  <r>
    <n v="22.24"/>
    <n v="1.99"/>
    <n v="3226"/>
    <s v="Arthur Gold"/>
    <s v="Regular Air"/>
    <s v="Small Business"/>
    <x v="2"/>
    <x v="13"/>
    <s v="Small Pack"/>
    <s v="Verbatim DVD-R, 3.95GB, SR, Mitsubishi Branded, Jewel"/>
    <n v="0.43"/>
    <s v="United States"/>
    <s v="South"/>
    <s v="Tennessee"/>
    <s v="Hendersonville"/>
    <n v="37075"/>
    <d v="2015-06-28T00:00:00"/>
    <d v="2015-06-30T00:00:00"/>
    <n v="95.388000000000005"/>
    <n v="12"/>
    <x v="1819"/>
    <n v="86509"/>
    <n v="3070.56"/>
  </r>
  <r>
    <n v="24.95"/>
    <n v="2.99"/>
    <n v="3229"/>
    <s v="Sharon Kessler"/>
    <s v="Regular Air"/>
    <s v="Small Business"/>
    <x v="0"/>
    <x v="8"/>
    <s v="Small Box"/>
    <s v="Large Capacity Hanging Post Binders"/>
    <n v="0.39"/>
    <s v="United States"/>
    <s v="Central"/>
    <s v="Wisconsin"/>
    <s v="Superior"/>
    <n v="54880"/>
    <d v="2015-01-21T00:00:00"/>
    <d v="2015-01-22T00:00:00"/>
    <n v="261.38580000000002"/>
    <n v="15"/>
    <x v="1820"/>
    <n v="87435"/>
    <n v="5682.3"/>
  </r>
  <r>
    <n v="15.98"/>
    <n v="8.99"/>
    <n v="3230"/>
    <s v="Monica Stuart"/>
    <s v="Regular Air"/>
    <s v="Small Business"/>
    <x v="2"/>
    <x v="13"/>
    <s v="Small Pack"/>
    <s v="Imation 3.5&quot; DS/HD IBM Formatted Diskettes, 50/Pack"/>
    <n v="0.64"/>
    <s v="United States"/>
    <s v="Central"/>
    <s v="Wisconsin"/>
    <s v="Waukesha"/>
    <n v="53186"/>
    <d v="2015-01-21T00:00:00"/>
    <d v="2015-01-23T00:00:00"/>
    <n v="-135.46"/>
    <n v="9"/>
    <x v="1821"/>
    <n v="87435"/>
    <n v="1369.6200000000001"/>
  </r>
  <r>
    <n v="4.91"/>
    <n v="5.68"/>
    <n v="3230"/>
    <s v="Monica Stuart"/>
    <s v="Express Air"/>
    <s v="Small Business"/>
    <x v="0"/>
    <x v="8"/>
    <s v="Small Box"/>
    <s v="Acco Pressboard Covers with Storage Hooks, 14 7/8&quot; x 11&quot;, Light Blue"/>
    <n v="0.36"/>
    <s v="United States"/>
    <s v="Central"/>
    <s v="Wisconsin"/>
    <s v="Waukesha"/>
    <n v="53186"/>
    <d v="2015-06-13T00:00:00"/>
    <d v="2015-06-13T00:00:00"/>
    <n v="-31.68825"/>
    <n v="10"/>
    <x v="1822"/>
    <n v="87436"/>
    <n v="538.9"/>
  </r>
  <r>
    <n v="48.94"/>
    <n v="5.86"/>
    <n v="3230"/>
    <s v="Monica Stuart"/>
    <s v="Express Air"/>
    <s v="Small Business"/>
    <x v="0"/>
    <x v="7"/>
    <s v="Small Box"/>
    <s v="Xerox 1916"/>
    <n v="0.35"/>
    <s v="United States"/>
    <s v="Central"/>
    <s v="Wisconsin"/>
    <s v="Waukesha"/>
    <n v="53186"/>
    <d v="2015-06-13T00:00:00"/>
    <d v="2015-06-14T00:00:00"/>
    <n v="690.7038"/>
    <n v="21"/>
    <x v="1823"/>
    <n v="87436"/>
    <n v="21021.42"/>
  </r>
  <r>
    <n v="115.99"/>
    <n v="5.92"/>
    <n v="3238"/>
    <s v="Kathleen P Bloom"/>
    <s v="Regular Air"/>
    <s v="Corporate"/>
    <x v="2"/>
    <x v="5"/>
    <s v="Small Box"/>
    <n v="8890"/>
    <n v="0.57999999999999996"/>
    <s v="United States"/>
    <s v="West"/>
    <s v="Oregon"/>
    <s v="Corvallis"/>
    <n v="97330"/>
    <d v="2015-06-04T00:00:00"/>
    <d v="2015-06-06T00:00:00"/>
    <n v="-13.068"/>
    <n v="5"/>
    <x v="1824"/>
    <n v="89564"/>
    <n v="2479.1"/>
  </r>
  <r>
    <n v="7.28"/>
    <n v="3.52"/>
    <n v="3243"/>
    <s v="Marlene Phillips"/>
    <s v="Regular Air"/>
    <s v="Small Business"/>
    <x v="2"/>
    <x v="13"/>
    <s v="Small Pack"/>
    <s v="Imation 3.5&quot; DS-HD Macintosh Formatted Diskettes, 10/Pack"/>
    <n v="0.68"/>
    <s v="United States"/>
    <s v="East"/>
    <s v="Connecticut"/>
    <s v="Bristol"/>
    <n v="6010"/>
    <d v="2015-06-10T00:00:00"/>
    <d v="2015-06-10T00:00:00"/>
    <n v="-25.103999999999999"/>
    <n v="3"/>
    <x v="1825"/>
    <n v="88329"/>
    <n v="73.320000000000007"/>
  </r>
  <r>
    <n v="5.18"/>
    <n v="2.04"/>
    <n v="3246"/>
    <s v="Wanda Harris"/>
    <s v="Regular Air"/>
    <s v="Small Business"/>
    <x v="0"/>
    <x v="7"/>
    <s v="Wrap Bag"/>
    <s v="Array® Memo Cubes"/>
    <n v="0.36"/>
    <s v="United States"/>
    <s v="East"/>
    <s v="New Hampshire"/>
    <s v="Hudson"/>
    <n v="3051"/>
    <d v="2015-04-01T00:00:00"/>
    <d v="2015-04-01T00:00:00"/>
    <n v="1.9503999999999999"/>
    <n v="4"/>
    <x v="1826"/>
    <n v="88330"/>
    <n v="87.44"/>
  </r>
  <r>
    <n v="2.78"/>
    <n v="1.49"/>
    <n v="3248"/>
    <s v="Earl Donnelly"/>
    <s v="Regular Air"/>
    <s v="Small Business"/>
    <x v="0"/>
    <x v="8"/>
    <s v="Small Box"/>
    <s v="Wilson Jones Suede Grain Vinyl Binders"/>
    <n v="0.36"/>
    <s v="United States"/>
    <s v="South"/>
    <s v="Louisiana"/>
    <s v="Slidell"/>
    <n v="70458"/>
    <d v="2015-05-07T00:00:00"/>
    <d v="2015-05-08T00:00:00"/>
    <n v="-340.53109999999998"/>
    <n v="17"/>
    <x v="1827"/>
    <n v="87297"/>
    <n v="801.04"/>
  </r>
  <r>
    <n v="42.8"/>
    <n v="2.99"/>
    <n v="3249"/>
    <s v="Nicole Goldstein"/>
    <s v="Regular Air"/>
    <s v="Corporate"/>
    <x v="0"/>
    <x v="8"/>
    <s v="Small Box"/>
    <s v="Wilson Jones Elliptical Ring 3 1/2&quot; Capacity Binders, 800 sheets"/>
    <n v="0.36"/>
    <s v="United States"/>
    <s v="East"/>
    <s v="Maryland"/>
    <s v="Annapolis"/>
    <n v="21403"/>
    <d v="2015-05-23T00:00:00"/>
    <d v="2015-05-24T00:00:00"/>
    <n v="462.92099999999999"/>
    <n v="16"/>
    <x v="1828"/>
    <n v="87298"/>
    <n v="10734.4"/>
  </r>
  <r>
    <n v="5.28"/>
    <n v="6.26"/>
    <n v="3251"/>
    <s v="Peter Brooks"/>
    <s v="Regular Air"/>
    <s v="Corporate"/>
    <x v="0"/>
    <x v="7"/>
    <s v="Small Box"/>
    <s v="Xerox 1928"/>
    <n v="0.4"/>
    <s v="United States"/>
    <s v="East"/>
    <s v="New York"/>
    <s v="New York City"/>
    <n v="10112"/>
    <d v="2015-06-11T00:00:00"/>
    <d v="2015-06-12T00:00:00"/>
    <n v="-131.16"/>
    <n v="76"/>
    <x v="1829"/>
    <n v="39076"/>
    <n v="31366.720000000001"/>
  </r>
  <r>
    <n v="11.34"/>
    <n v="5.01"/>
    <n v="3252"/>
    <s v="Milton Harrell"/>
    <s v="Regular Air"/>
    <s v="Small Business"/>
    <x v="0"/>
    <x v="7"/>
    <s v="Small Box"/>
    <s v="Xerox 188"/>
    <n v="0.36"/>
    <s v="United States"/>
    <s v="East"/>
    <s v="New York"/>
    <s v="Rotterdam"/>
    <n v="12306"/>
    <d v="2015-03-30T00:00:00"/>
    <d v="2015-04-01T00:00:00"/>
    <n v="-11.83"/>
    <n v="1"/>
    <x v="1830"/>
    <n v="87296"/>
    <n v="14.52"/>
  </r>
  <r>
    <n v="5.28"/>
    <n v="6.26"/>
    <n v="3252"/>
    <s v="Milton Harrell"/>
    <s v="Regular Air"/>
    <s v="Corporate"/>
    <x v="0"/>
    <x v="7"/>
    <s v="Small Box"/>
    <s v="Xerox 1928"/>
    <n v="0.4"/>
    <s v="United States"/>
    <s v="East"/>
    <s v="New York"/>
    <s v="Rotterdam"/>
    <n v="12306"/>
    <d v="2015-06-11T00:00:00"/>
    <d v="2015-06-12T00:00:00"/>
    <n v="-65.58"/>
    <n v="19"/>
    <x v="1831"/>
    <n v="87299"/>
    <n v="1960.42"/>
  </r>
  <r>
    <n v="47.98"/>
    <n v="3.61"/>
    <n v="3255"/>
    <s v="Maureen Whitley"/>
    <s v="Regular Air"/>
    <s v="Home Office"/>
    <x v="2"/>
    <x v="13"/>
    <s v="Small Pack"/>
    <s v="DS/HD IBM Formatted Diskettes, 200/Pack - Staples"/>
    <n v="0.71"/>
    <s v="United States"/>
    <s v="South"/>
    <s v="Florida"/>
    <s v="Tamarac"/>
    <n v="33319"/>
    <d v="2015-02-18T00:00:00"/>
    <d v="2015-02-20T00:00:00"/>
    <n v="596.80799999999999"/>
    <n v="2"/>
    <x v="1832"/>
    <n v="90488"/>
    <n v="195.92"/>
  </r>
  <r>
    <n v="349.45"/>
    <n v="60"/>
    <n v="3257"/>
    <s v="Sharon Marcus"/>
    <s v="Delivery Truck"/>
    <s v="Consumer"/>
    <x v="1"/>
    <x v="11"/>
    <s v="Jumbo Drum"/>
    <s v="SAFCO PlanMaster Heigh-Adjustable Drafting Table Base, 43w x 30d x 30-37h, Black"/>
    <m/>
    <s v="United States"/>
    <s v="West"/>
    <s v="Washington"/>
    <s v="Longview"/>
    <n v="98632"/>
    <d v="2015-05-26T00:00:00"/>
    <d v="2015-05-27T00:00:00"/>
    <n v="3739.3928999999998"/>
    <n v="15"/>
    <x v="1833"/>
    <n v="88825"/>
    <n v="81291.149999999994"/>
  </r>
  <r>
    <n v="25.38"/>
    <n v="8.99"/>
    <n v="3257"/>
    <s v="Sharon Marcus"/>
    <s v="Regular Air"/>
    <s v="Consumer"/>
    <x v="1"/>
    <x v="2"/>
    <s v="Small Pack"/>
    <s v="Executive Impressions 13&quot; Chairman Wall Clock"/>
    <n v="0.5"/>
    <s v="United States"/>
    <s v="West"/>
    <s v="Washington"/>
    <s v="Longview"/>
    <n v="98632"/>
    <d v="2015-05-13T00:00:00"/>
    <d v="2015-05-15T00:00:00"/>
    <n v="470.33800000000002"/>
    <n v="26"/>
    <x v="1834"/>
    <n v="88826"/>
    <n v="18210.66"/>
  </r>
  <r>
    <n v="55.94"/>
    <n v="6.55"/>
    <n v="3258"/>
    <s v="Gretchen Best Wilkins"/>
    <s v="Regular Air"/>
    <s v="Consumer"/>
    <x v="2"/>
    <x v="13"/>
    <s v="Small Box"/>
    <s v="Fellowes Smart Design 104-Key Enhanced Keyboard, PS/2 Adapter, Platinum"/>
    <n v="0.68"/>
    <s v="United States"/>
    <s v="West"/>
    <s v="Washington"/>
    <s v="Lynnwood"/>
    <n v="98037"/>
    <d v="2015-03-21T00:00:00"/>
    <d v="2015-03-23T00:00:00"/>
    <n v="401.85"/>
    <n v="11"/>
    <x v="1835"/>
    <n v="88824"/>
    <n v="7115.68"/>
  </r>
  <r>
    <n v="105.34"/>
    <n v="24.49"/>
    <n v="3261"/>
    <s v="Steven Long"/>
    <s v="Express Air"/>
    <s v="Consumer"/>
    <x v="1"/>
    <x v="2"/>
    <s v="Large Box"/>
    <s v="Deflect-o DuraMat Antistatic Studded Beveled Mat for Medium Pile Carpeting"/>
    <n v="0.61"/>
    <s v="United States"/>
    <s v="Central"/>
    <s v="Michigan"/>
    <s v="Adrian"/>
    <n v="49221"/>
    <d v="2015-06-25T00:00:00"/>
    <d v="2015-06-26T00:00:00"/>
    <n v="710.67240000000004"/>
    <n v="10"/>
    <x v="1836"/>
    <n v="90296"/>
    <n v="10299.6"/>
  </r>
  <r>
    <n v="9.99"/>
    <n v="11.59"/>
    <n v="3264"/>
    <s v="Becky Puckett"/>
    <s v="Regular Air"/>
    <s v="Corporate"/>
    <x v="0"/>
    <x v="7"/>
    <s v="Small Box"/>
    <s v="Hammermill Color Copier Paper (28Lb. and 96 Bright)"/>
    <n v="0.4"/>
    <s v="United States"/>
    <s v="West"/>
    <s v="California"/>
    <s v="Eureka"/>
    <n v="95501"/>
    <d v="2015-05-19T00:00:00"/>
    <d v="2015-05-21T00:00:00"/>
    <n v="-92.32"/>
    <n v="5"/>
    <x v="1837"/>
    <n v="89835"/>
    <n v="260.45000000000005"/>
  </r>
  <r>
    <n v="122.99"/>
    <n v="70.2"/>
    <n v="3266"/>
    <s v="Edgar Kumar"/>
    <s v="Delivery Truck"/>
    <s v="Corporate"/>
    <x v="1"/>
    <x v="1"/>
    <s v="Jumbo Drum"/>
    <s v="Global High-Back Leather Tilter, Burgundy"/>
    <n v="0.74"/>
    <s v="United States"/>
    <s v="East"/>
    <s v="Maine"/>
    <s v="Sanford"/>
    <n v="4073"/>
    <d v="2015-01-28T00:00:00"/>
    <d v="2015-01-29T00:00:00"/>
    <n v="-1764.29"/>
    <n v="14"/>
    <x v="1838"/>
    <n v="89836"/>
    <n v="25128.32"/>
  </r>
  <r>
    <n v="60.97"/>
    <n v="4.5"/>
    <n v="3269"/>
    <s v="Billie Stern"/>
    <s v="Express Air"/>
    <s v="Corporate"/>
    <x v="0"/>
    <x v="15"/>
    <s v="Small Box"/>
    <s v="Tripp Lite Isotel 6 Outlet Surge Protector with Fax/Modem Protection"/>
    <n v="0.56000000000000005"/>
    <s v="United States"/>
    <s v="East"/>
    <s v="New Jersey"/>
    <s v="North Plainfield"/>
    <n v="7060"/>
    <d v="2015-01-28T00:00:00"/>
    <d v="2015-01-30T00:00:00"/>
    <n v="527.87760000000003"/>
    <n v="12"/>
    <x v="1839"/>
    <n v="89836"/>
    <n v="9180.48"/>
  </r>
  <r>
    <n v="13.48"/>
    <n v="4.51"/>
    <n v="3275"/>
    <s v="Tamara Dickinson"/>
    <s v="Regular Air"/>
    <s v="Home Office"/>
    <x v="0"/>
    <x v="10"/>
    <s v="Small Box"/>
    <s v="Tenex Personal Project File with Scoop Front Design, Black"/>
    <n v="0.59"/>
    <s v="United States"/>
    <s v="West"/>
    <s v="Washington"/>
    <s v="Mount Vernon"/>
    <n v="98273"/>
    <d v="2015-03-21T00:00:00"/>
    <d v="2015-03-23T00:00:00"/>
    <n v="34.520000000000003"/>
    <n v="9"/>
    <x v="1840"/>
    <n v="86233"/>
    <n v="1144.08"/>
  </r>
  <r>
    <n v="449.99"/>
    <n v="24.49"/>
    <n v="3275"/>
    <s v="Tamara Dickinson"/>
    <s v="Regular Air"/>
    <s v="Small Business"/>
    <x v="2"/>
    <x v="16"/>
    <s v="Large Box"/>
    <s v="Canon PC940 Copier"/>
    <n v="0.52"/>
    <s v="United States"/>
    <s v="West"/>
    <s v="Washington"/>
    <s v="Mount Vernon"/>
    <n v="98273"/>
    <d v="2015-01-01T00:00:00"/>
    <d v="2015-01-05T00:00:00"/>
    <n v="3576.8841000000002"/>
    <n v="12"/>
    <x v="1841"/>
    <n v="86234"/>
    <n v="62206.680000000008"/>
  </r>
  <r>
    <n v="5.84"/>
    <n v="1.2"/>
    <n v="3275"/>
    <s v="Tamara Dickinson"/>
    <s v="Regular Air"/>
    <s v="Small Business"/>
    <x v="0"/>
    <x v="0"/>
    <s v="Wrap Bag"/>
    <s v="Newell 312"/>
    <n v="0.55000000000000004"/>
    <s v="United States"/>
    <s v="West"/>
    <s v="Washington"/>
    <s v="Mount Vernon"/>
    <n v="98273"/>
    <d v="2015-01-01T00:00:00"/>
    <d v="2015-01-10T00:00:00"/>
    <n v="20.38"/>
    <n v="6"/>
    <x v="1842"/>
    <n v="86234"/>
    <n v="216.54000000000002"/>
  </r>
  <r>
    <n v="89.83"/>
    <n v="35"/>
    <n v="3279"/>
    <s v="Ricky Allred"/>
    <s v="Regular Air"/>
    <s v="Home Office"/>
    <x v="0"/>
    <x v="10"/>
    <s v="Large Box"/>
    <s v="Fellowes Officeware™ Wire Shelving"/>
    <n v="0.83"/>
    <s v="United States"/>
    <s v="South"/>
    <s v="South Carolina"/>
    <s v="Columbia"/>
    <n v="29203"/>
    <d v="2015-04-06T00:00:00"/>
    <d v="2015-04-08T00:00:00"/>
    <n v="31.11"/>
    <n v="4"/>
    <x v="1843"/>
    <n v="90766"/>
    <n v="1465.04"/>
  </r>
  <r>
    <n v="13.43"/>
    <n v="5.5"/>
    <n v="3279"/>
    <s v="Ricky Allred"/>
    <s v="Regular Air"/>
    <s v="Home Office"/>
    <x v="0"/>
    <x v="10"/>
    <s v="Small Box"/>
    <s v="Fellowes Personal Hanging Folder Files, Navy"/>
    <n v="0.56999999999999995"/>
    <s v="United States"/>
    <s v="South"/>
    <s v="South Carolina"/>
    <s v="Columbia"/>
    <n v="29203"/>
    <d v="2015-04-06T00:00:00"/>
    <d v="2015-04-08T00:00:00"/>
    <n v="358.29539999999997"/>
    <n v="12"/>
    <x v="1844"/>
    <n v="90766"/>
    <n v="1895.88"/>
  </r>
  <r>
    <n v="125.99"/>
    <n v="7.69"/>
    <n v="3279"/>
    <s v="Ricky Allred"/>
    <s v="Regular Air"/>
    <s v="Home Office"/>
    <x v="2"/>
    <x v="5"/>
    <s v="Small Box"/>
    <s v="Timeport L7089"/>
    <n v="0.57999999999999996"/>
    <s v="United States"/>
    <s v="South"/>
    <s v="South Carolina"/>
    <s v="Columbia"/>
    <n v="29203"/>
    <d v="2015-04-06T00:00:00"/>
    <d v="2015-04-06T00:00:00"/>
    <n v="8.3219999999999992"/>
    <n v="11"/>
    <x v="1845"/>
    <n v="90766"/>
    <n v="13341.68"/>
  </r>
  <r>
    <n v="45.99"/>
    <n v="4.99"/>
    <n v="3279"/>
    <s v="Ricky Allred"/>
    <s v="Regular Air"/>
    <s v="Home Office"/>
    <x v="2"/>
    <x v="5"/>
    <s v="Small Box"/>
    <s v="KF 788"/>
    <n v="0.56000000000000005"/>
    <s v="United States"/>
    <s v="South"/>
    <s v="South Carolina"/>
    <s v="Columbia"/>
    <n v="29203"/>
    <d v="2015-03-14T00:00:00"/>
    <d v="2015-03-16T00:00:00"/>
    <n v="24.018000000000001"/>
    <n v="3"/>
    <x v="1846"/>
    <n v="90767"/>
    <n v="375.57"/>
  </r>
  <r>
    <n v="363.25"/>
    <n v="19.989999999999998"/>
    <n v="3283"/>
    <s v="William Woodard"/>
    <s v="Express Air"/>
    <s v="Corporate"/>
    <x v="0"/>
    <x v="15"/>
    <s v="Small Box"/>
    <s v="Hoover WindTunnel™ Plus Canister Vacuum"/>
    <n v="0.56999999999999995"/>
    <s v="United States"/>
    <s v="South"/>
    <s v="Florida"/>
    <s v="Kendall"/>
    <n v="33156"/>
    <d v="2015-04-21T00:00:00"/>
    <d v="2015-04-21T00:00:00"/>
    <n v="-269.75549999999998"/>
    <n v="5"/>
    <x v="1847"/>
    <n v="90752"/>
    <n v="9335.2000000000007"/>
  </r>
  <r>
    <n v="17.48"/>
    <n v="1.99"/>
    <n v="3283"/>
    <s v="William Woodard"/>
    <s v="Regular Air"/>
    <s v="Corporate"/>
    <x v="2"/>
    <x v="13"/>
    <s v="Small Pack"/>
    <s v="Maxell Pro 80 Minute CD-R, 10/Pack"/>
    <n v="0.45"/>
    <s v="United States"/>
    <s v="South"/>
    <s v="Florida"/>
    <s v="Kendall"/>
    <n v="33156"/>
    <d v="2015-05-10T00:00:00"/>
    <d v="2015-05-11T00:00:00"/>
    <n v="710.80740000000003"/>
    <n v="31"/>
    <x v="1848"/>
    <n v="90753"/>
    <n v="16671.8"/>
  </r>
  <r>
    <n v="19.23"/>
    <n v="6.15"/>
    <n v="3284"/>
    <s v="Michael Shaffer"/>
    <s v="Express Air"/>
    <s v="Corporate"/>
    <x v="1"/>
    <x v="2"/>
    <s v="Small Pack"/>
    <s v="Executive Impressions 13&quot; Clairmont Wall Clock"/>
    <n v="0.44"/>
    <s v="United States"/>
    <s v="South"/>
    <s v="Florida"/>
    <s v="Kissimmee"/>
    <n v="34741"/>
    <d v="2015-02-20T00:00:00"/>
    <d v="2015-02-22T00:00:00"/>
    <n v="-2133.2779999999998"/>
    <n v="6"/>
    <x v="1849"/>
    <n v="90751"/>
    <n v="718.68000000000006"/>
  </r>
  <r>
    <n v="1.7"/>
    <n v="1.99"/>
    <n v="3285"/>
    <s v="Ricky Garner"/>
    <s v="Regular Air"/>
    <s v="Consumer"/>
    <x v="2"/>
    <x v="13"/>
    <s v="Small Pack"/>
    <s v="BASF Silver 74 Minute CD-R"/>
    <n v="0.51"/>
    <s v="United States"/>
    <s v="South"/>
    <s v="Virginia"/>
    <s v="Herndon"/>
    <n v="20170"/>
    <d v="2015-01-06T00:00:00"/>
    <d v="2015-01-07T00:00:00"/>
    <n v="80.071200000000005"/>
    <n v="7"/>
    <x v="1850"/>
    <n v="90750"/>
    <n v="85.05"/>
  </r>
  <r>
    <n v="30.98"/>
    <n v="5.09"/>
    <n v="3285"/>
    <s v="Ricky Garner"/>
    <s v="Regular Air"/>
    <s v="Consumer"/>
    <x v="0"/>
    <x v="7"/>
    <s v="Small Box"/>
    <s v="Xerox 19"/>
    <n v="0.4"/>
    <s v="United States"/>
    <s v="South"/>
    <s v="Virginia"/>
    <s v="Herndon"/>
    <n v="20170"/>
    <d v="2015-01-06T00:00:00"/>
    <d v="2015-01-08T00:00:00"/>
    <n v="896.40599999999995"/>
    <n v="9"/>
    <x v="1851"/>
    <n v="90750"/>
    <n v="2595.7800000000002"/>
  </r>
  <r>
    <n v="30.56"/>
    <n v="2.99"/>
    <n v="3287"/>
    <s v="Mary Norman"/>
    <s v="Regular Air"/>
    <s v="Small Business"/>
    <x v="0"/>
    <x v="8"/>
    <s v="Small Box"/>
    <s v="Surelock™ Post Binders"/>
    <n v="0.35"/>
    <s v="United States"/>
    <s v="West"/>
    <s v="California"/>
    <s v="Granite Bay"/>
    <n v="95746"/>
    <d v="2015-05-25T00:00:00"/>
    <d v="2015-05-27T00:00:00"/>
    <n v="352.87979999999999"/>
    <n v="17"/>
    <x v="1852"/>
    <n v="89897"/>
    <n v="8694.14"/>
  </r>
  <r>
    <n v="33.89"/>
    <n v="5.0999999999999996"/>
    <n v="3303"/>
    <s v="Carole Creech"/>
    <s v="Regular Air"/>
    <s v="Home Office"/>
    <x v="0"/>
    <x v="10"/>
    <s v="Small Box"/>
    <s v="File Shuttle II and Handi-File, Black"/>
    <n v="0.6"/>
    <s v="United States"/>
    <s v="South"/>
    <s v="Florida"/>
    <s v="Lake Worth"/>
    <n v="33461"/>
    <d v="2015-01-07T00:00:00"/>
    <d v="2015-01-12T00:00:00"/>
    <n v="68.676000000000002"/>
    <n v="6"/>
    <x v="1853"/>
    <n v="87795"/>
    <n v="1203.8399999999999"/>
  </r>
  <r>
    <n v="11.33"/>
    <n v="6.12"/>
    <n v="3306"/>
    <s v="Claire Warren"/>
    <s v="Regular Air"/>
    <s v="Small Business"/>
    <x v="0"/>
    <x v="15"/>
    <s v="Medium Box"/>
    <s v="Holmes Replacement Filter for HEPA Air Cleaner, Medium Room"/>
    <n v="0.42"/>
    <s v="United States"/>
    <s v="East"/>
    <s v="Connecticut"/>
    <s v="New London"/>
    <n v="6320"/>
    <d v="2015-04-01T00:00:00"/>
    <d v="2015-04-03T00:00:00"/>
    <n v="-15.92"/>
    <n v="1"/>
    <x v="1854"/>
    <n v="90461"/>
    <n v="17.62"/>
  </r>
  <r>
    <n v="16.739999999999998"/>
    <n v="7.04"/>
    <n v="3307"/>
    <s v="Edwin Blackburn"/>
    <s v="Regular Air"/>
    <s v="Small Business"/>
    <x v="0"/>
    <x v="10"/>
    <s v="Small Box"/>
    <s v="Rogers® Profile Extra Capacity Storage Tub"/>
    <n v="0.81"/>
    <s v="United States"/>
    <s v="East"/>
    <s v="Massachusetts"/>
    <s v="Agawam"/>
    <n v="1001"/>
    <d v="2015-01-26T00:00:00"/>
    <d v="2015-02-02T00:00:00"/>
    <n v="-114.2"/>
    <n v="5"/>
    <x v="1855"/>
    <n v="90462"/>
    <n v="402.9"/>
  </r>
  <r>
    <n v="6.64"/>
    <n v="54.95"/>
    <n v="3309"/>
    <s v="Edwin Chung"/>
    <s v="Regular Air"/>
    <s v="Small Business"/>
    <x v="1"/>
    <x v="2"/>
    <s v="Small Pack"/>
    <s v="G.E. Longer-Life Indoor Recessed Floodlight Bulbs"/>
    <n v="0.37"/>
    <s v="United States"/>
    <s v="East"/>
    <s v="Massachusetts"/>
    <s v="Natick"/>
    <n v="1760"/>
    <d v="2015-03-24T00:00:00"/>
    <d v="2015-03-26T00:00:00"/>
    <n v="-25"/>
    <n v="4"/>
    <x v="1856"/>
    <n v="90460"/>
    <n v="101.24"/>
  </r>
  <r>
    <n v="90.48"/>
    <n v="19.989999999999998"/>
    <n v="3310"/>
    <s v="Tiffany Grossman Hardin"/>
    <s v="Regular Air"/>
    <s v="Small Business"/>
    <x v="0"/>
    <x v="4"/>
    <s v="Small Box"/>
    <s v="Tyvek® Side-Opening Peel &amp; Seel® Expanding Envelopes"/>
    <n v="0.4"/>
    <s v="United States"/>
    <s v="East"/>
    <s v="Massachusetts"/>
    <s v="Sandwich"/>
    <n v="2563"/>
    <d v="2015-03-24T00:00:00"/>
    <d v="2015-03-25T00:00:00"/>
    <n v="255.1482"/>
    <n v="4"/>
    <x v="1857"/>
    <n v="90460"/>
    <n v="1479.12"/>
  </r>
  <r>
    <n v="6.45"/>
    <n v="1.34"/>
    <n v="3311"/>
    <s v="Jackie Flynn"/>
    <s v="Regular Air"/>
    <s v="Small Business"/>
    <x v="0"/>
    <x v="7"/>
    <s v="Wrap Bag"/>
    <s v="Wirebound Four 2-3/4 x 5 Forms per Page, 400 Sets per Book"/>
    <n v="0.36"/>
    <s v="United States"/>
    <s v="East"/>
    <s v="Massachusetts"/>
    <s v="Winchester"/>
    <n v="1890"/>
    <d v="2015-01-26T00:00:00"/>
    <d v="2015-01-31T00:00:00"/>
    <n v="39.426600000000001"/>
    <n v="9"/>
    <x v="1858"/>
    <n v="90462"/>
    <n v="514.26"/>
  </r>
  <r>
    <n v="122.99"/>
    <n v="70.2"/>
    <n v="3314"/>
    <s v="Billy Hale"/>
    <s v="Delivery Truck"/>
    <s v="Small Business"/>
    <x v="1"/>
    <x v="1"/>
    <s v="Jumbo Drum"/>
    <s v="Global High-Back Leather Tilter, Burgundy"/>
    <n v="0.74"/>
    <s v="United States"/>
    <s v="East"/>
    <s v="New Jersey"/>
    <s v="Fort Lee"/>
    <n v="7024"/>
    <d v="2015-01-26T00:00:00"/>
    <d v="2015-01-30T00:00:00"/>
    <n v="-722.23"/>
    <n v="4"/>
    <x v="1859"/>
    <n v="90462"/>
    <n v="1993.24"/>
  </r>
  <r>
    <n v="20.98"/>
    <n v="1.49"/>
    <n v="3319"/>
    <s v="Marlene Davidson"/>
    <s v="Regular Air"/>
    <s v="Small Business"/>
    <x v="0"/>
    <x v="8"/>
    <s v="Small Box"/>
    <s v="Avery Legal 4-Ring Binder"/>
    <n v="0.35"/>
    <s v="United States"/>
    <s v="South"/>
    <s v="Tennessee"/>
    <s v="Hendersonville"/>
    <n v="37075"/>
    <d v="2015-05-21T00:00:00"/>
    <d v="2015-05-21T00:00:00"/>
    <n v="30.024000000000001"/>
    <n v="20"/>
    <x v="1860"/>
    <n v="90104"/>
    <n v="8628.6"/>
  </r>
  <r>
    <n v="3.28"/>
    <n v="3.97"/>
    <n v="3320"/>
    <s v="Alicia Maynard"/>
    <s v="Regular Air"/>
    <s v="Small Business"/>
    <x v="0"/>
    <x v="0"/>
    <s v="Wrap Bag"/>
    <s v="Newell 342"/>
    <n v="0.56000000000000005"/>
    <s v="United States"/>
    <s v="South"/>
    <s v="Tennessee"/>
    <s v="Jackson"/>
    <n v="38301"/>
    <d v="2015-04-27T00:00:00"/>
    <d v="2015-04-28T00:00:00"/>
    <n v="0.42659999999999998"/>
    <n v="18"/>
    <x v="1861"/>
    <n v="90103"/>
    <n v="1030.32"/>
  </r>
  <r>
    <n v="40.97"/>
    <n v="8.99"/>
    <n v="3320"/>
    <s v="Alicia Maynard"/>
    <s v="Express Air"/>
    <s v="Small Business"/>
    <x v="0"/>
    <x v="0"/>
    <s v="Small Pack"/>
    <s v="Sanford 52201 APSCO Electric Pencil Sharpener"/>
    <n v="0.59"/>
    <s v="United States"/>
    <s v="South"/>
    <s v="Tennessee"/>
    <s v="Jackson"/>
    <n v="38301"/>
    <d v="2015-04-27T00:00:00"/>
    <d v="2015-04-29T00:00:00"/>
    <n v="66.215999999999994"/>
    <n v="22"/>
    <x v="1862"/>
    <n v="90103"/>
    <n v="18143.400000000001"/>
  </r>
  <r>
    <n v="6.48"/>
    <n v="8.19"/>
    <n v="3324"/>
    <s v="Leslie Jacobson"/>
    <s v="Regular Air"/>
    <s v="Consumer"/>
    <x v="0"/>
    <x v="7"/>
    <s v="Small Box"/>
    <s v="Xerox 217"/>
    <n v="0.37"/>
    <s v="United States"/>
    <s v="West"/>
    <s v="Arizona"/>
    <s v="El Mirage"/>
    <n v="85335"/>
    <d v="2015-02-12T00:00:00"/>
    <d v="2015-02-15T00:00:00"/>
    <n v="-164.18"/>
    <n v="9"/>
    <x v="1863"/>
    <n v="90985"/>
    <n v="526.5"/>
  </r>
  <r>
    <n v="8.74"/>
    <n v="8.2899999999999991"/>
    <n v="3325"/>
    <s v="Diane Barr"/>
    <s v="Regular Air"/>
    <s v="Consumer"/>
    <x v="0"/>
    <x v="4"/>
    <s v="Small Box"/>
    <s v="#10- 4 1/8&quot; x 9 1/2&quot; Recycled Envelopes"/>
    <n v="0.38"/>
    <s v="United States"/>
    <s v="West"/>
    <s v="Oregon"/>
    <s v="Coos Bay"/>
    <n v="97420"/>
    <d v="2015-06-24T00:00:00"/>
    <d v="2015-06-26T00:00:00"/>
    <n v="-79.400000000000006"/>
    <n v="14"/>
    <x v="1864"/>
    <n v="90986"/>
    <n v="1842.68"/>
  </r>
  <r>
    <n v="5.58"/>
    <n v="1.99"/>
    <n v="3325"/>
    <s v="Diane Barr"/>
    <s v="Regular Air"/>
    <s v="Consumer"/>
    <x v="0"/>
    <x v="0"/>
    <s v="Wrap Bag"/>
    <s v="DIXON Ticonderoga® Erasable Checking Pencils"/>
    <n v="0.46"/>
    <s v="United States"/>
    <s v="West"/>
    <s v="Oregon"/>
    <s v="Coos Bay"/>
    <n v="97420"/>
    <d v="2015-04-24T00:00:00"/>
    <d v="2015-04-26T00:00:00"/>
    <n v="23.045999999999999"/>
    <n v="23"/>
    <x v="1865"/>
    <n v="90987"/>
    <n v="2793.58"/>
  </r>
  <r>
    <n v="113.98"/>
    <n v="30"/>
    <n v="3327"/>
    <s v="Bob Gibson"/>
    <s v="Delivery Truck"/>
    <s v="Small Business"/>
    <x v="1"/>
    <x v="1"/>
    <s v="Jumbo Drum"/>
    <s v="Hon Comfortask® Task/Swivel Chairs"/>
    <n v="0.69"/>
    <s v="United States"/>
    <s v="Central"/>
    <s v="Michigan"/>
    <s v="Port Huron"/>
    <n v="48060"/>
    <d v="2015-03-06T00:00:00"/>
    <d v="2015-03-08T00:00:00"/>
    <n v="-127.3"/>
    <n v="3"/>
    <x v="1866"/>
    <n v="87272"/>
    <n v="1068.42"/>
  </r>
  <r>
    <n v="6.48"/>
    <n v="6.86"/>
    <n v="3327"/>
    <s v="Bob Gibson"/>
    <s v="Regular Air"/>
    <s v="Small Business"/>
    <x v="0"/>
    <x v="7"/>
    <s v="Small Box"/>
    <s v="Xerox 204"/>
    <n v="0.37"/>
    <s v="United States"/>
    <s v="Central"/>
    <s v="Michigan"/>
    <s v="Port Huron"/>
    <n v="48060"/>
    <d v="2015-03-06T00:00:00"/>
    <d v="2015-03-08T00:00:00"/>
    <n v="-52.77"/>
    <n v="4"/>
    <x v="1867"/>
    <n v="87272"/>
    <n v="108.32"/>
  </r>
  <r>
    <n v="5.98"/>
    <n v="4.6900000000000004"/>
    <n v="3331"/>
    <s v="Elisabeth Shaw"/>
    <s v="Regular Air"/>
    <s v="Corporate"/>
    <x v="0"/>
    <x v="10"/>
    <s v="Small Box"/>
    <s v="Perma STOR-ALL™ Hanging File Box, 13 1/8&quot;W x 12 1/4&quot;D x 10 1/2&quot;H"/>
    <n v="0.68"/>
    <s v="United States"/>
    <s v="South"/>
    <s v="Florida"/>
    <s v="Ormond Beach"/>
    <n v="32174"/>
    <d v="2015-01-05T00:00:00"/>
    <d v="2015-01-06T00:00:00"/>
    <n v="-781.13419999999996"/>
    <n v="11"/>
    <x v="1868"/>
    <n v="86283"/>
    <n v="724.34999999999991"/>
  </r>
  <r>
    <n v="4"/>
    <n v="1.3"/>
    <n v="3331"/>
    <s v="Elisabeth Shaw"/>
    <s v="Regular Air"/>
    <s v="Corporate"/>
    <x v="0"/>
    <x v="7"/>
    <s v="Wrap Bag"/>
    <s v="EcoTones® Memo Sheets"/>
    <n v="0.37"/>
    <s v="United States"/>
    <s v="South"/>
    <s v="Florida"/>
    <s v="Ormond Beach"/>
    <n v="32174"/>
    <d v="2015-01-09T00:00:00"/>
    <d v="2015-01-09T00:00:00"/>
    <n v="-23.295999999999999"/>
    <n v="12"/>
    <x v="1869"/>
    <n v="86284"/>
    <n v="608.52"/>
  </r>
  <r>
    <n v="6.48"/>
    <n v="8.4"/>
    <n v="3338"/>
    <s v="Constance Robertson"/>
    <s v="Regular Air"/>
    <s v="Consumer"/>
    <x v="0"/>
    <x v="7"/>
    <s v="Small Box"/>
    <s v="Xerox 212"/>
    <n v="0.37"/>
    <s v="United States"/>
    <s v="South"/>
    <s v="Florida"/>
    <s v="Tampa"/>
    <n v="33614"/>
    <d v="2015-05-07T00:00:00"/>
    <d v="2015-05-07T00:00:00"/>
    <n v="58.811999999999998"/>
    <n v="7"/>
    <x v="1098"/>
    <n v="85979"/>
    <n v="315"/>
  </r>
  <r>
    <n v="2.61"/>
    <n v="0.5"/>
    <n v="3339"/>
    <s v="Lester Copeland"/>
    <s v="Regular Air"/>
    <s v="Consumer"/>
    <x v="0"/>
    <x v="9"/>
    <s v="Small Box"/>
    <s v="Avery 494"/>
    <n v="0.39"/>
    <s v="United States"/>
    <s v="South"/>
    <s v="Florida"/>
    <s v="Titusville"/>
    <n v="32780"/>
    <d v="2015-06-14T00:00:00"/>
    <d v="2015-06-15T00:00:00"/>
    <n v="4.0442999999999998"/>
    <n v="7"/>
    <x v="1870"/>
    <n v="85981"/>
    <n v="133.13999999999999"/>
  </r>
  <r>
    <n v="11.66"/>
    <n v="7.95"/>
    <n v="3339"/>
    <s v="Lester Copeland"/>
    <s v="Regular Air"/>
    <s v="Consumer"/>
    <x v="0"/>
    <x v="0"/>
    <s v="Small Pack"/>
    <s v="Hunt BOSTON® Vista® Battery-Operated Pencil Sharpener, Black"/>
    <n v="0.57999999999999996"/>
    <s v="United States"/>
    <s v="South"/>
    <s v="Florida"/>
    <s v="Titusville"/>
    <n v="32780"/>
    <d v="2015-06-14T00:00:00"/>
    <d v="2015-06-15T00:00:00"/>
    <n v="-10.368399999999999"/>
    <n v="16"/>
    <x v="1871"/>
    <n v="85981"/>
    <n v="3101.92"/>
  </r>
  <r>
    <n v="125.99"/>
    <n v="4.2"/>
    <n v="3340"/>
    <s v="Phillip Blum"/>
    <s v="Regular Air"/>
    <s v="Consumer"/>
    <x v="2"/>
    <x v="5"/>
    <s v="Small Box"/>
    <s v="i1000plus"/>
    <n v="0.56999999999999995"/>
    <s v="United States"/>
    <s v="West"/>
    <s v="Oregon"/>
    <s v="Troutdale"/>
    <n v="97060"/>
    <d v="2015-01-13T00:00:00"/>
    <d v="2015-01-14T00:00:00"/>
    <n v="989.81190000000004"/>
    <n v="14"/>
    <x v="1872"/>
    <n v="85980"/>
    <n v="20083.14"/>
  </r>
  <r>
    <n v="194.3"/>
    <n v="11.54"/>
    <n v="3342"/>
    <s v="Paul Tate"/>
    <s v="Regular Air"/>
    <s v="Home Office"/>
    <x v="1"/>
    <x v="2"/>
    <s v="Large Box"/>
    <s v="Electrix Halogen Magnifier Lamp"/>
    <n v="0.59"/>
    <s v="United States"/>
    <s v="East"/>
    <s v="District of Columbia"/>
    <s v="Washington"/>
    <n v="20006"/>
    <d v="2015-02-13T00:00:00"/>
    <d v="2015-02-15T00:00:00"/>
    <n v="2861.01"/>
    <n v="42"/>
    <x v="1873"/>
    <n v="21572"/>
    <n v="359059.68000000005"/>
  </r>
  <r>
    <n v="194.3"/>
    <n v="11.54"/>
    <n v="3344"/>
    <s v="Jim Hinson"/>
    <s v="Regular Air"/>
    <s v="Home Office"/>
    <x v="1"/>
    <x v="2"/>
    <s v="Large Box"/>
    <s v="Electrix Halogen Magnifier Lamp"/>
    <n v="0.59"/>
    <s v="United States"/>
    <s v="Central"/>
    <s v="Michigan"/>
    <s v="Rochester Hills"/>
    <n v="48307"/>
    <d v="2015-02-13T00:00:00"/>
    <d v="2015-02-15T00:00:00"/>
    <n v="1544.9306999999999"/>
    <n v="11"/>
    <x v="1874"/>
    <n v="89928"/>
    <n v="24629.33"/>
  </r>
  <r>
    <n v="7.68"/>
    <n v="6.16"/>
    <n v="3347"/>
    <s v="Carrie McIntosh"/>
    <s v="Express Air"/>
    <s v="Consumer"/>
    <x v="0"/>
    <x v="8"/>
    <s v="Small Box"/>
    <s v="GBC VeloBinder Strips"/>
    <n v="0.35"/>
    <s v="United States"/>
    <s v="South"/>
    <s v="Florida"/>
    <s v="Royal Palm Beach"/>
    <n v="33411"/>
    <d v="2015-01-06T00:00:00"/>
    <d v="2015-01-08T00:00:00"/>
    <n v="125.9982"/>
    <n v="1"/>
    <x v="1875"/>
    <n v="89355"/>
    <n v="22.13"/>
  </r>
  <r>
    <n v="6.64"/>
    <n v="4.95"/>
    <n v="3347"/>
    <s v="Carrie McIntosh"/>
    <s v="Express Air"/>
    <s v="Consumer"/>
    <x v="1"/>
    <x v="2"/>
    <s v="Small Pack"/>
    <s v="G.E. Longer-Life Indoor Recessed Floodlight Bulbs"/>
    <n v="0.37"/>
    <s v="United States"/>
    <s v="South"/>
    <s v="Florida"/>
    <s v="Royal Palm Beach"/>
    <n v="33411"/>
    <d v="2015-01-06T00:00:00"/>
    <d v="2015-01-08T00:00:00"/>
    <n v="-92.929199999999994"/>
    <n v="5"/>
    <x v="1876"/>
    <n v="89355"/>
    <n v="170.85000000000002"/>
  </r>
  <r>
    <n v="110.99"/>
    <n v="2.5"/>
    <n v="3347"/>
    <s v="Carrie McIntosh"/>
    <s v="Regular Air"/>
    <s v="Consumer"/>
    <x v="2"/>
    <x v="5"/>
    <s v="Small Box"/>
    <s v="T18"/>
    <n v="0.56999999999999995"/>
    <s v="United States"/>
    <s v="South"/>
    <s v="Florida"/>
    <s v="Royal Palm Beach"/>
    <n v="33411"/>
    <d v="2015-01-27T00:00:00"/>
    <d v="2015-01-29T00:00:00"/>
    <n v="-39.808999999999997"/>
    <n v="1"/>
    <x v="1877"/>
    <n v="89356"/>
    <n v="94.3"/>
  </r>
  <r>
    <n v="73.98"/>
    <n v="12.14"/>
    <n v="3350"/>
    <s v="Amy York"/>
    <s v="Regular Air"/>
    <s v="Small Business"/>
    <x v="2"/>
    <x v="13"/>
    <s v="Small Box"/>
    <s v="Keytronic 105-Key Spanish Keyboard"/>
    <n v="0.67"/>
    <s v="United States"/>
    <s v="West"/>
    <s v="Washington"/>
    <s v="Parkland"/>
    <n v="98444"/>
    <d v="2015-01-23T00:00:00"/>
    <d v="2015-01-25T00:00:00"/>
    <n v="-29.0656"/>
    <n v="5"/>
    <x v="1119"/>
    <n v="91296"/>
    <n v="1921.1000000000001"/>
  </r>
  <r>
    <n v="10.89"/>
    <n v="4.5"/>
    <n v="3351"/>
    <s v="Nathan Wyatt"/>
    <s v="Regular Air"/>
    <s v="Small Business"/>
    <x v="0"/>
    <x v="15"/>
    <s v="Small Box"/>
    <s v="Belkin 6 Outlet Metallic Surge Strip"/>
    <n v="0.59"/>
    <s v="United States"/>
    <s v="West"/>
    <s v="Washington"/>
    <s v="Pasco"/>
    <n v="99301"/>
    <d v="2015-02-04T00:00:00"/>
    <d v="2015-02-06T00:00:00"/>
    <n v="-19.2972"/>
    <n v="17"/>
    <x v="1878"/>
    <n v="91297"/>
    <n v="3037.56"/>
  </r>
  <r>
    <n v="6.7"/>
    <n v="1.56"/>
    <n v="3351"/>
    <s v="Nathan Wyatt"/>
    <s v="Express Air"/>
    <s v="Small Business"/>
    <x v="0"/>
    <x v="0"/>
    <s v="Wrap Bag"/>
    <s v="Turquoise Lead Holder with Pocket Clip"/>
    <n v="0.52"/>
    <s v="United States"/>
    <s v="West"/>
    <s v="Washington"/>
    <s v="Pasco"/>
    <n v="99301"/>
    <d v="2015-02-07T00:00:00"/>
    <d v="2015-02-09T00:00:00"/>
    <n v="40.6556"/>
    <n v="12"/>
    <x v="1879"/>
    <n v="91298"/>
    <n v="952.68000000000006"/>
  </r>
  <r>
    <n v="28.53"/>
    <n v="1.49"/>
    <n v="3354"/>
    <s v="Sara Faulkner"/>
    <s v="Regular Air"/>
    <s v="Corporate"/>
    <x v="0"/>
    <x v="8"/>
    <s v="Small Box"/>
    <s v="Lock-Up Easel 'Spel-Binder'"/>
    <n v="0.38"/>
    <s v="United States"/>
    <s v="West"/>
    <s v="California"/>
    <s v="Calexico"/>
    <n v="92231"/>
    <d v="2015-05-16T00:00:00"/>
    <d v="2015-05-17T00:00:00"/>
    <n v="137.67570000000001"/>
    <n v="7"/>
    <x v="1880"/>
    <n v="88589"/>
    <n v="1396.71"/>
  </r>
  <r>
    <n v="5.98"/>
    <n v="7.15"/>
    <n v="3354"/>
    <s v="Sara Faulkner"/>
    <s v="Regular Air"/>
    <s v="Corporate"/>
    <x v="0"/>
    <x v="7"/>
    <s v="Small Box"/>
    <s v="Universal Premium White Copier/Laser Paper (20Lb. and 87 Bright)"/>
    <n v="0.36"/>
    <s v="United States"/>
    <s v="West"/>
    <s v="California"/>
    <s v="Calexico"/>
    <n v="92231"/>
    <d v="2015-05-16T00:00:00"/>
    <d v="2015-05-18T00:00:00"/>
    <n v="-62"/>
    <n v="6"/>
    <x v="1881"/>
    <n v="88589"/>
    <n v="222.29999999999998"/>
  </r>
  <r>
    <n v="3.69"/>
    <n v="0.5"/>
    <n v="3354"/>
    <s v="Sara Faulkner"/>
    <s v="Regular Air"/>
    <s v="Corporate"/>
    <x v="0"/>
    <x v="9"/>
    <s v="Small Box"/>
    <s v="Avery 487"/>
    <n v="0.38"/>
    <s v="United States"/>
    <s v="West"/>
    <s v="California"/>
    <s v="Calexico"/>
    <n v="92231"/>
    <d v="2015-03-27T00:00:00"/>
    <d v="2015-03-29T00:00:00"/>
    <n v="47.527200000000001"/>
    <n v="19"/>
    <x v="1882"/>
    <n v="88590"/>
    <n v="1308.7199999999998"/>
  </r>
  <r>
    <n v="120.98"/>
    <n v="9.07"/>
    <n v="3355"/>
    <s v="Glenda Simon"/>
    <s v="Regular Air"/>
    <s v="Corporate"/>
    <x v="0"/>
    <x v="8"/>
    <s v="Small Box"/>
    <s v="GBC VeloBinder Electric Binding Machine"/>
    <n v="0.35"/>
    <s v="United States"/>
    <s v="West"/>
    <s v="California"/>
    <s v="Camarillo"/>
    <n v="93010"/>
    <d v="2015-02-28T00:00:00"/>
    <d v="2015-03-09T00:00:00"/>
    <n v="379.3965"/>
    <n v="5"/>
    <x v="1883"/>
    <n v="88587"/>
    <n v="2749.25"/>
  </r>
  <r>
    <n v="8.32"/>
    <n v="2.38"/>
    <n v="3355"/>
    <s v="Glenda Simon"/>
    <s v="Express Air"/>
    <s v="Corporate"/>
    <x v="2"/>
    <x v="13"/>
    <s v="Small Pack"/>
    <s v="Imation 3.5 IBM Formatted Diskettes, 10/Box"/>
    <n v="0.74"/>
    <s v="United States"/>
    <s v="West"/>
    <s v="California"/>
    <s v="Camarillo"/>
    <n v="93010"/>
    <d v="2015-02-28T00:00:00"/>
    <d v="2015-03-04T00:00:00"/>
    <n v="-41.83"/>
    <n v="6"/>
    <x v="1884"/>
    <n v="88587"/>
    <n v="293.94"/>
  </r>
  <r>
    <n v="125.99"/>
    <n v="4.2"/>
    <n v="3355"/>
    <s v="Glenda Simon"/>
    <s v="Regular Air"/>
    <s v="Corporate"/>
    <x v="2"/>
    <x v="5"/>
    <s v="Small Box"/>
    <s v="V3682"/>
    <n v="0.59"/>
    <s v="United States"/>
    <s v="West"/>
    <s v="California"/>
    <s v="Camarillo"/>
    <n v="93010"/>
    <d v="2015-02-28T00:00:00"/>
    <d v="2015-02-28T00:00:00"/>
    <n v="372.40199999999999"/>
    <n v="7"/>
    <x v="1885"/>
    <n v="88587"/>
    <n v="4769.9399999999996"/>
  </r>
  <r>
    <n v="5.34"/>
    <n v="5.63"/>
    <n v="3356"/>
    <s v="Richard Tan"/>
    <s v="Regular Air"/>
    <s v="Corporate"/>
    <x v="0"/>
    <x v="8"/>
    <s v="Small Box"/>
    <s v="Pressboard Data Binder, Crimson, 12&quot; X 8 1/2&quot;"/>
    <n v="0.39"/>
    <s v="United States"/>
    <s v="West"/>
    <s v="Idaho"/>
    <s v="Eagle"/>
    <n v="83616"/>
    <d v="2015-05-04T00:00:00"/>
    <d v="2015-05-06T00:00:00"/>
    <n v="-116.3455"/>
    <n v="13"/>
    <x v="1886"/>
    <n v="88588"/>
    <n v="866.45"/>
  </r>
  <r>
    <n v="160.97999999999999"/>
    <n v="30"/>
    <n v="3356"/>
    <s v="Richard Tan"/>
    <s v="Delivery Truck"/>
    <s v="Corporate"/>
    <x v="1"/>
    <x v="1"/>
    <s v="Jumbo Drum"/>
    <s v="Office Star - Mid Back Dual function Ergonomic High Back Chair with 2-Way Adjustable Arms"/>
    <n v="0.62"/>
    <s v="United States"/>
    <s v="West"/>
    <s v="Idaho"/>
    <s v="Eagle"/>
    <n v="83616"/>
    <d v="2015-05-04T00:00:00"/>
    <d v="2015-05-05T00:00:00"/>
    <n v="1304.9000000000001"/>
    <n v="18"/>
    <x v="1887"/>
    <n v="88588"/>
    <n v="52814.879999999997"/>
  </r>
  <r>
    <n v="65.989999999999995"/>
    <n v="5.63"/>
    <n v="3356"/>
    <s v="Richard Tan"/>
    <s v="Express Air"/>
    <s v="Corporate"/>
    <x v="2"/>
    <x v="5"/>
    <s v="Small Box"/>
    <n v="2190"/>
    <n v="0.56000000000000005"/>
    <s v="United States"/>
    <s v="West"/>
    <s v="Idaho"/>
    <s v="Eagle"/>
    <n v="83616"/>
    <d v="2015-05-04T00:00:00"/>
    <d v="2015-05-04T00:00:00"/>
    <n v="605.04719999999998"/>
    <n v="15"/>
    <x v="1888"/>
    <n v="88588"/>
    <n v="13153.2"/>
  </r>
  <r>
    <n v="28.53"/>
    <n v="1.49"/>
    <n v="3359"/>
    <s v="Jeffrey Cheng"/>
    <s v="Regular Air"/>
    <s v="Home Office"/>
    <x v="0"/>
    <x v="8"/>
    <s v="Small Box"/>
    <s v="Lock-Up Easel 'Spel-Binder'"/>
    <n v="0.38"/>
    <s v="United States"/>
    <s v="Central"/>
    <s v="Wisconsin"/>
    <s v="Wauwatosa"/>
    <n v="53213"/>
    <d v="2015-04-28T00:00:00"/>
    <d v="2015-04-30T00:00:00"/>
    <n v="107.45462000000001"/>
    <n v="6"/>
    <x v="1889"/>
    <n v="91437"/>
    <n v="943.98"/>
  </r>
  <r>
    <n v="9.11"/>
    <n v="2.15"/>
    <n v="3360"/>
    <s v="Daniel Huff"/>
    <s v="Regular Air"/>
    <s v="Home Office"/>
    <x v="0"/>
    <x v="7"/>
    <s v="Wrap Bag"/>
    <s v="Black Print Carbonless Snap-Off® Rapid Letter, 8 1/2&quot; x 7&quot;"/>
    <n v="0.4"/>
    <s v="United States"/>
    <s v="Central"/>
    <s v="Wisconsin"/>
    <s v="West Allis"/>
    <n v="53214"/>
    <d v="2015-03-20T00:00:00"/>
    <d v="2015-03-22T00:00:00"/>
    <n v="18.41"/>
    <n v="3"/>
    <x v="1890"/>
    <n v="91435"/>
    <n v="82.11"/>
  </r>
  <r>
    <n v="12.64"/>
    <n v="4.9800000000000004"/>
    <n v="3361"/>
    <s v="Oscar Kenney"/>
    <s v="Regular Air"/>
    <s v="Home Office"/>
    <x v="1"/>
    <x v="2"/>
    <s v="Small Pack"/>
    <s v="Nu-Dell Executive Frame"/>
    <n v="0.48"/>
    <s v="United States"/>
    <s v="Central"/>
    <s v="Wisconsin"/>
    <s v="West Bend"/>
    <n v="53095"/>
    <d v="2015-03-20T00:00:00"/>
    <d v="2015-03-22T00:00:00"/>
    <n v="65.63"/>
    <n v="8"/>
    <x v="1891"/>
    <n v="91435"/>
    <n v="785.28"/>
  </r>
  <r>
    <n v="7.96"/>
    <n v="4.95"/>
    <n v="3361"/>
    <s v="Oscar Kenney"/>
    <s v="Regular Air"/>
    <s v="Home Office"/>
    <x v="1"/>
    <x v="2"/>
    <s v="Small Box"/>
    <s v="Staples Plastic Wall Frames"/>
    <n v="0.41"/>
    <s v="United States"/>
    <s v="Central"/>
    <s v="Wisconsin"/>
    <s v="West Bend"/>
    <n v="53095"/>
    <d v="2015-01-26T00:00:00"/>
    <d v="2015-01-26T00:00:00"/>
    <n v="-7.73"/>
    <n v="15"/>
    <x v="1892"/>
    <n v="91436"/>
    <n v="1741.65"/>
  </r>
  <r>
    <n v="4.9800000000000004"/>
    <n v="4.95"/>
    <n v="3361"/>
    <s v="Oscar Kenney"/>
    <s v="Regular Air"/>
    <s v="Home Office"/>
    <x v="0"/>
    <x v="8"/>
    <s v="Small Box"/>
    <s v="Cardinal Holdit Business Card Pockets"/>
    <n v="0.37"/>
    <s v="United States"/>
    <s v="Central"/>
    <s v="Wisconsin"/>
    <s v="West Bend"/>
    <n v="53095"/>
    <d v="2015-06-09T00:00:00"/>
    <d v="2015-06-11T00:00:00"/>
    <n v="-47.995249999999999"/>
    <n v="19"/>
    <x v="1893"/>
    <n v="91438"/>
    <n v="1805"/>
  </r>
  <r>
    <n v="80.97"/>
    <n v="33.6"/>
    <n v="3366"/>
    <s v="Dana Boyle"/>
    <s v="Delivery Truck"/>
    <s v="Home Office"/>
    <x v="2"/>
    <x v="6"/>
    <s v="Jumbo Drum"/>
    <s v="Lexmark Z25 Color Inkjet Printer"/>
    <n v="0.37"/>
    <s v="United States"/>
    <s v="East"/>
    <s v="Ohio"/>
    <s v="Troy"/>
    <n v="45373"/>
    <d v="2015-05-24T00:00:00"/>
    <d v="2015-05-29T00:00:00"/>
    <n v="66.22"/>
    <n v="11"/>
    <x v="1894"/>
    <n v="90501"/>
    <n v="9213.27"/>
  </r>
  <r>
    <n v="6.48"/>
    <n v="5.1100000000000003"/>
    <n v="3366"/>
    <s v="Dana Boyle"/>
    <s v="Regular Air"/>
    <s v="Home Office"/>
    <x v="0"/>
    <x v="7"/>
    <s v="Small Box"/>
    <s v="Xerox 231"/>
    <n v="0.37"/>
    <s v="United States"/>
    <s v="East"/>
    <s v="Ohio"/>
    <s v="Troy"/>
    <n v="45373"/>
    <d v="2015-05-24T00:00:00"/>
    <d v="2015-05-28T00:00:00"/>
    <n v="-23.53"/>
    <n v="8"/>
    <x v="1895"/>
    <n v="90501"/>
    <n v="449.76"/>
  </r>
  <r>
    <n v="30.97"/>
    <n v="4"/>
    <n v="3367"/>
    <s v="Renee McKenzie"/>
    <s v="Regular Air"/>
    <s v="Home Office"/>
    <x v="2"/>
    <x v="13"/>
    <s v="Small Box"/>
    <s v="Microsoft Multimedia Keyboard"/>
    <n v="0.74"/>
    <s v="United States"/>
    <s v="East"/>
    <s v="Ohio"/>
    <s v="Upper Arlington"/>
    <n v="43221"/>
    <d v="2015-05-02T00:00:00"/>
    <d v="2015-05-03T00:00:00"/>
    <n v="10.68"/>
    <n v="26"/>
    <x v="1896"/>
    <n v="90502"/>
    <n v="19733.22"/>
  </r>
  <r>
    <n v="4.13"/>
    <n v="0.5"/>
    <n v="3367"/>
    <s v="Renee McKenzie"/>
    <s v="Express Air"/>
    <s v="Home Office"/>
    <x v="0"/>
    <x v="9"/>
    <s v="Small Box"/>
    <s v="Avery 506"/>
    <n v="0.39"/>
    <s v="United States"/>
    <s v="East"/>
    <s v="Ohio"/>
    <s v="Upper Arlington"/>
    <n v="43221"/>
    <d v="2015-05-02T00:00:00"/>
    <d v="2015-05-04T00:00:00"/>
    <n v="58.263599999999997"/>
    <n v="18"/>
    <x v="1897"/>
    <n v="90502"/>
    <n v="1519.92"/>
  </r>
  <r>
    <n v="7.1"/>
    <n v="6.05"/>
    <n v="3369"/>
    <s v="Stacy Byrne"/>
    <s v="Regular Air"/>
    <s v="Home Office"/>
    <x v="0"/>
    <x v="8"/>
    <s v="Small Box"/>
    <s v="Wilson Jones Hanging View Binder, White, 1&quot;"/>
    <n v="0.39"/>
    <s v="United States"/>
    <s v="East"/>
    <s v="Ohio"/>
    <s v="Westerville"/>
    <n v="43081"/>
    <d v="2015-02-12T00:00:00"/>
    <d v="2015-02-13T00:00:00"/>
    <n v="-42.170499999999997"/>
    <n v="4"/>
    <x v="1898"/>
    <n v="90500"/>
    <n v="119.96"/>
  </r>
  <r>
    <n v="179.29"/>
    <n v="29.21"/>
    <n v="3374"/>
    <s v="Jamie Ward"/>
    <s v="Delivery Truck"/>
    <s v="Corporate"/>
    <x v="1"/>
    <x v="11"/>
    <s v="Jumbo Box"/>
    <s v="Bevis Round Conference Table Top, X-Base"/>
    <n v="0.76"/>
    <s v="United States"/>
    <s v="East"/>
    <s v="Maryland"/>
    <s v="Odenton"/>
    <n v="21113"/>
    <d v="2015-06-02T00:00:00"/>
    <d v="2015-06-04T00:00:00"/>
    <n v="66.362219999999994"/>
    <n v="8"/>
    <x v="1899"/>
    <n v="87473"/>
    <n v="11903.2"/>
  </r>
  <r>
    <n v="73.98"/>
    <n v="12.14"/>
    <n v="3374"/>
    <s v="Jamie Ward"/>
    <s v="Regular Air"/>
    <s v="Home Office"/>
    <x v="2"/>
    <x v="13"/>
    <s v="Small Box"/>
    <s v="Keytronic 105-Key Spanish Keyboard"/>
    <n v="0.67"/>
    <s v="United States"/>
    <s v="East"/>
    <s v="Maryland"/>
    <s v="Odenton"/>
    <n v="21113"/>
    <d v="2015-06-29T00:00:00"/>
    <d v="2015-06-30T00:00:00"/>
    <n v="-1.9039999999999999"/>
    <n v="8"/>
    <x v="1900"/>
    <n v="87474"/>
    <n v="4803.2"/>
  </r>
  <r>
    <n v="5.98"/>
    <n v="7.15"/>
    <n v="3374"/>
    <s v="Jamie Ward"/>
    <s v="Regular Air"/>
    <s v="Home Office"/>
    <x v="0"/>
    <x v="7"/>
    <s v="Small Box"/>
    <s v="Universal Premium White Copier/Laser Paper (20Lb. and 87 Bright)"/>
    <n v="0.36"/>
    <s v="United States"/>
    <s v="East"/>
    <s v="Maryland"/>
    <s v="Odenton"/>
    <n v="21113"/>
    <d v="2015-06-29T00:00:00"/>
    <d v="2015-07-01T00:00:00"/>
    <n v="-37.048000000000002"/>
    <n v="5"/>
    <x v="1901"/>
    <n v="87474"/>
    <n v="171.25"/>
  </r>
  <r>
    <n v="3.57"/>
    <n v="4.17"/>
    <n v="3374"/>
    <s v="Jamie Ward"/>
    <s v="Regular Air"/>
    <s v="Home Office"/>
    <x v="0"/>
    <x v="0"/>
    <s v="Small Pack"/>
    <s v="Barrel Sharpener"/>
    <n v="0.59"/>
    <s v="United States"/>
    <s v="East"/>
    <s v="Maryland"/>
    <s v="Odenton"/>
    <n v="21113"/>
    <d v="2015-06-29T00:00:00"/>
    <d v="2015-07-01T00:00:00"/>
    <n v="-56.887999999999998"/>
    <n v="9"/>
    <x v="1902"/>
    <n v="87474"/>
    <n v="283.05"/>
  </r>
  <r>
    <n v="19.98"/>
    <n v="5.97"/>
    <n v="3379"/>
    <s v="Annette McIntyre"/>
    <s v="Express Air"/>
    <s v="Corporate"/>
    <x v="0"/>
    <x v="7"/>
    <s v="Small Box"/>
    <s v="Xerox 1936"/>
    <n v="0.38"/>
    <s v="United States"/>
    <s v="South"/>
    <s v="Georgia"/>
    <s v="Kennesaw"/>
    <n v="30144"/>
    <d v="2015-03-26T00:00:00"/>
    <d v="2015-03-29T00:00:00"/>
    <n v="-189.714"/>
    <n v="12"/>
    <x v="1903"/>
    <n v="88837"/>
    <n v="2988.84"/>
  </r>
  <r>
    <n v="3.14"/>
    <n v="1.92"/>
    <n v="3379"/>
    <s v="Annette McIntyre"/>
    <s v="Express Air"/>
    <s v="Home Office"/>
    <x v="0"/>
    <x v="12"/>
    <s v="Wrap Bag"/>
    <s v="Serrated Blade or Curved Handle Hand Letter Openers"/>
    <n v="0.84"/>
    <s v="United States"/>
    <s v="South"/>
    <s v="Georgia"/>
    <s v="Kennesaw"/>
    <n v="30144"/>
    <d v="2015-04-25T00:00:00"/>
    <d v="2015-04-26T00:00:00"/>
    <n v="1628.37"/>
    <n v="18"/>
    <x v="1904"/>
    <n v="88839"/>
    <n v="1065.96"/>
  </r>
  <r>
    <n v="315.98"/>
    <n v="19.989999999999998"/>
    <n v="3380"/>
    <s v="Eva Decker"/>
    <s v="Regular Air"/>
    <s v="Home Office"/>
    <x v="0"/>
    <x v="8"/>
    <s v="Small Box"/>
    <s v="GBC ProClick™ 150 Presentation Binding System"/>
    <n v="0.38"/>
    <s v="United States"/>
    <s v="South"/>
    <s v="Georgia"/>
    <s v="La Grange"/>
    <n v="30240"/>
    <d v="2015-04-20T00:00:00"/>
    <d v="2015-04-22T00:00:00"/>
    <n v="-4.4800000000000004"/>
    <n v="18"/>
    <x v="1905"/>
    <n v="88838"/>
    <n v="100299.24"/>
  </r>
  <r>
    <n v="276.2"/>
    <n v="24.49"/>
    <n v="3380"/>
    <s v="Eva Decker"/>
    <s v="Regular Air"/>
    <s v="Home Office"/>
    <x v="1"/>
    <x v="1"/>
    <s v="Large Box"/>
    <s v="SAFCO Arco Folding Chair"/>
    <m/>
    <s v="United States"/>
    <s v="South"/>
    <s v="Georgia"/>
    <s v="La Grange"/>
    <n v="30240"/>
    <d v="2015-04-20T00:00:00"/>
    <d v="2015-04-21T00:00:00"/>
    <n v="3193.2840000000001"/>
    <n v="11"/>
    <x v="1906"/>
    <n v="88838"/>
    <n v="32355.620000000003"/>
  </r>
  <r>
    <n v="63.94"/>
    <n v="14.48"/>
    <n v="3380"/>
    <s v="Eva Decker"/>
    <s v="Regular Air"/>
    <s v="Home Office"/>
    <x v="1"/>
    <x v="2"/>
    <s v="Small Box"/>
    <s v="Howard Miller 16&quot; Diameter Gallery Wall Clock"/>
    <n v="0.46"/>
    <s v="United States"/>
    <s v="South"/>
    <s v="Georgia"/>
    <s v="La Grange"/>
    <n v="30240"/>
    <d v="2015-04-20T00:00:00"/>
    <d v="2015-04-21T00:00:00"/>
    <n v="43.691699999999997"/>
    <n v="8"/>
    <x v="1907"/>
    <n v="88838"/>
    <n v="4179.68"/>
  </r>
  <r>
    <n v="11.97"/>
    <n v="5.81"/>
    <n v="3381"/>
    <s v="Christopher Norton Patterson"/>
    <s v="Regular Air"/>
    <s v="Corporate"/>
    <x v="0"/>
    <x v="0"/>
    <s v="Small Pack"/>
    <s v="Staples SlimLine Pencil Sharpener"/>
    <n v="0.6"/>
    <s v="United States"/>
    <s v="South"/>
    <s v="Georgia"/>
    <s v="Macon"/>
    <n v="31204"/>
    <d v="2015-03-23T00:00:00"/>
    <d v="2015-03-25T00:00:00"/>
    <n v="349.05930000000001"/>
    <n v="2"/>
    <x v="1856"/>
    <n v="88836"/>
    <n v="50.62"/>
  </r>
  <r>
    <n v="28.53"/>
    <n v="1.49"/>
    <n v="3381"/>
    <s v="Christopher Norton Patterson"/>
    <s v="Regular Air"/>
    <s v="Home Office"/>
    <x v="0"/>
    <x v="8"/>
    <s v="Small Box"/>
    <s v="Lock-Up Easel 'Spel-Binder'"/>
    <n v="0.38"/>
    <s v="United States"/>
    <s v="South"/>
    <s v="Georgia"/>
    <s v="Macon"/>
    <n v="31204"/>
    <d v="2015-04-29T00:00:00"/>
    <d v="2015-04-29T00:00:00"/>
    <n v="1.992"/>
    <n v="18"/>
    <x v="1908"/>
    <n v="88840"/>
    <n v="9239.94"/>
  </r>
  <r>
    <n v="2.98"/>
    <n v="2.0299999999999998"/>
    <n v="3385"/>
    <s v="Daniel Richmond"/>
    <s v="Express Air"/>
    <s v="Corporate"/>
    <x v="0"/>
    <x v="0"/>
    <s v="Wrap Bag"/>
    <s v="Premium Writing Pencils, Soft, #2 by Central Association for the Blind"/>
    <n v="0.56999999999999995"/>
    <s v="United States"/>
    <s v="East"/>
    <s v="Ohio"/>
    <s v="Boardman"/>
    <n v="44512"/>
    <d v="2015-01-16T00:00:00"/>
    <d v="2015-01-16T00:00:00"/>
    <n v="-22.01"/>
    <n v="5"/>
    <x v="1909"/>
    <n v="88745"/>
    <n v="78.5"/>
  </r>
  <r>
    <n v="125.99"/>
    <n v="8.99"/>
    <n v="3385"/>
    <s v="Daniel Richmond"/>
    <s v="Regular Air"/>
    <s v="Corporate"/>
    <x v="2"/>
    <x v="5"/>
    <s v="Small Box"/>
    <s v="M70"/>
    <n v="0.59"/>
    <s v="United States"/>
    <s v="East"/>
    <s v="Ohio"/>
    <s v="Boardman"/>
    <n v="44512"/>
    <d v="2015-01-16T00:00:00"/>
    <d v="2015-01-21T00:00:00"/>
    <n v="426.46032000000002"/>
    <n v="6"/>
    <x v="1910"/>
    <n v="88745"/>
    <n v="4083.8999999999996"/>
  </r>
  <r>
    <n v="2.61"/>
    <n v="0.5"/>
    <n v="3386"/>
    <s v="Carmen Elmore"/>
    <s v="Regular Air"/>
    <s v="Corporate"/>
    <x v="0"/>
    <x v="9"/>
    <s v="Small Box"/>
    <s v="Avery 494"/>
    <n v="0.39"/>
    <s v="United States"/>
    <s v="East"/>
    <s v="Ohio"/>
    <s v="Bowling Green"/>
    <n v="43402"/>
    <d v="2015-05-03T00:00:00"/>
    <d v="2015-05-05T00:00:00"/>
    <n v="19.554600000000001"/>
    <n v="10"/>
    <x v="1911"/>
    <n v="88746"/>
    <n v="283.39999999999998"/>
  </r>
  <r>
    <n v="25.38"/>
    <n v="8.99"/>
    <n v="3386"/>
    <s v="Carmen Elmore"/>
    <s v="Express Air"/>
    <s v="Corporate"/>
    <x v="1"/>
    <x v="2"/>
    <s v="Small Pack"/>
    <s v="Executive Impressions 13&quot; Chairman Wall Clock"/>
    <n v="0.5"/>
    <s v="United States"/>
    <s v="East"/>
    <s v="Ohio"/>
    <s v="Bowling Green"/>
    <n v="43402"/>
    <d v="2015-05-03T00:00:00"/>
    <d v="2015-05-06T00:00:00"/>
    <n v="152.482"/>
    <n v="35"/>
    <x v="1912"/>
    <n v="88746"/>
    <n v="30145.5"/>
  </r>
  <r>
    <n v="95.99"/>
    <n v="35"/>
    <n v="3388"/>
    <s v="Aaron Shaffer"/>
    <s v="Regular Air"/>
    <s v="Corporate"/>
    <x v="0"/>
    <x v="10"/>
    <s v="Large Box"/>
    <s v="Safco Industrial Wire Shelving"/>
    <m/>
    <s v="United States"/>
    <s v="West"/>
    <s v="California"/>
    <s v="Fairfield"/>
    <n v="94533"/>
    <d v="2015-05-11T00:00:00"/>
    <d v="2015-05-12T00:00:00"/>
    <n v="67.012"/>
    <n v="9"/>
    <x v="1913"/>
    <n v="90154"/>
    <n v="8051.76"/>
  </r>
  <r>
    <n v="125.99"/>
    <n v="7.69"/>
    <n v="3393"/>
    <s v="Irene Murphy"/>
    <s v="Regular Air"/>
    <s v="Consumer"/>
    <x v="2"/>
    <x v="5"/>
    <s v="Small Box"/>
    <s v="StarTAC 3000"/>
    <n v="0.59"/>
    <s v="United States"/>
    <s v="West"/>
    <s v="Washington"/>
    <s v="Pullman"/>
    <n v="99163"/>
    <d v="2015-04-29T00:00:00"/>
    <d v="2015-04-30T00:00:00"/>
    <n v="374.625"/>
    <n v="7"/>
    <x v="1914"/>
    <n v="87908"/>
    <n v="4972.5200000000004"/>
  </r>
  <r>
    <n v="4.4800000000000004"/>
    <n v="2.5"/>
    <n v="3393"/>
    <s v="Irene Murphy"/>
    <s v="Regular Air"/>
    <s v="Consumer"/>
    <x v="0"/>
    <x v="4"/>
    <s v="Small Box"/>
    <s v="Ampad #10 Peel &amp; Seel® Holiday Envelopes"/>
    <n v="0.37"/>
    <s v="United States"/>
    <s v="West"/>
    <s v="Washington"/>
    <s v="Pullman"/>
    <n v="99163"/>
    <d v="2015-02-14T00:00:00"/>
    <d v="2015-02-15T00:00:00"/>
    <n v="-3.2448000000000001"/>
    <n v="19"/>
    <x v="1915"/>
    <n v="87909"/>
    <n v="1523.8"/>
  </r>
  <r>
    <n v="1270.99"/>
    <n v="19.989999999999998"/>
    <n v="3397"/>
    <s v="Andrea Shaw"/>
    <s v="Regular Air"/>
    <s v="Small Business"/>
    <x v="0"/>
    <x v="8"/>
    <s v="Small Box"/>
    <s v="Fellowes PB500 Electric Punch Plastic Comb Binding Machine with Manual Bind"/>
    <n v="0.35"/>
    <s v="United States"/>
    <s v="Central"/>
    <s v="Illinois"/>
    <s v="Danville"/>
    <n v="61832"/>
    <d v="2015-06-07T00:00:00"/>
    <d v="2015-06-09T00:00:00"/>
    <n v="6384.4389000000001"/>
    <n v="7"/>
    <x v="1916"/>
    <n v="87535"/>
    <n v="64769.67"/>
  </r>
  <r>
    <n v="10.9"/>
    <n v="7.46"/>
    <n v="3397"/>
    <s v="Andrea Shaw"/>
    <s v="Regular Air"/>
    <s v="Small Business"/>
    <x v="0"/>
    <x v="10"/>
    <s v="Small Box"/>
    <s v="Crate-A-Files™"/>
    <n v="0.59"/>
    <s v="United States"/>
    <s v="Central"/>
    <s v="Illinois"/>
    <s v="Danville"/>
    <n v="61832"/>
    <d v="2015-03-11T00:00:00"/>
    <d v="2015-03-12T00:00:00"/>
    <n v="-116.76"/>
    <n v="18"/>
    <x v="1917"/>
    <n v="87536"/>
    <n v="3731.58"/>
  </r>
  <r>
    <n v="7.99"/>
    <n v="5.03"/>
    <n v="3397"/>
    <s v="Andrea Shaw"/>
    <s v="Regular Air"/>
    <s v="Small Business"/>
    <x v="2"/>
    <x v="5"/>
    <s v="Medium Box"/>
    <s v="Bell Sonecor JB700 Caller ID"/>
    <n v="0.6"/>
    <s v="United States"/>
    <s v="Central"/>
    <s v="Illinois"/>
    <s v="Danville"/>
    <n v="61832"/>
    <d v="2015-03-11T00:00:00"/>
    <d v="2015-03-12T00:00:00"/>
    <n v="-160.952"/>
    <n v="22"/>
    <x v="1918"/>
    <n v="87536"/>
    <n v="3148.6400000000003"/>
  </r>
  <r>
    <n v="11.97"/>
    <n v="5.81"/>
    <n v="3399"/>
    <s v="Marvin Reid"/>
    <s v="Regular Air"/>
    <s v="Small Business"/>
    <x v="0"/>
    <x v="0"/>
    <s v="Small Pack"/>
    <s v="Staples SlimLine Pencil Sharpener"/>
    <n v="0.6"/>
    <s v="United States"/>
    <s v="Central"/>
    <s v="Illinois"/>
    <s v="Des Plaines"/>
    <n v="60016"/>
    <d v="2015-03-29T00:00:00"/>
    <d v="2015-03-31T00:00:00"/>
    <n v="-41.87"/>
    <n v="5"/>
    <x v="1919"/>
    <n v="87534"/>
    <n v="299.89999999999998"/>
  </r>
  <r>
    <n v="9.3800000000000008"/>
    <n v="4.93"/>
    <n v="3400"/>
    <s v="Florence Gold"/>
    <s v="Express Air"/>
    <s v="Small Business"/>
    <x v="1"/>
    <x v="2"/>
    <s v="Small Box"/>
    <s v="Eldon Expressions Punched Metal &amp; Wood Desk Accessories, Black &amp; Cherry"/>
    <n v="0.56999999999999995"/>
    <s v="United States"/>
    <s v="East"/>
    <s v="West Virginia"/>
    <s v="Fairmont"/>
    <n v="26554"/>
    <d v="2015-04-04T00:00:00"/>
    <d v="2015-04-04T00:00:00"/>
    <n v="-24.7104"/>
    <n v="15"/>
    <x v="1920"/>
    <n v="87537"/>
    <n v="2036.7"/>
  </r>
  <r>
    <n v="105.98"/>
    <n v="13.99"/>
    <n v="3403"/>
    <s v="Tammy Buckley"/>
    <s v="Express Air"/>
    <s v="Consumer"/>
    <x v="1"/>
    <x v="2"/>
    <s v="Medium Box"/>
    <s v="Tenex 46&quot; x 60&quot; Computer Anti-Static Chairmat, Rectangular Shaped"/>
    <n v="0.65"/>
    <s v="United States"/>
    <s v="West"/>
    <s v="Wyoming"/>
    <s v="Cheyenne"/>
    <n v="82001"/>
    <d v="2015-02-08T00:00:00"/>
    <d v="2015-02-11T00:00:00"/>
    <n v="349.48500000000001"/>
    <n v="5"/>
    <x v="1921"/>
    <n v="87530"/>
    <n v="2532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52">
  <r>
    <n v="20847"/>
    <s v="High"/>
    <n v="0.01"/>
    <n v="2.84"/>
    <n v="0.93"/>
    <n v="3"/>
    <s v="Bonnie Potter"/>
    <s v="Express Air"/>
    <s v="Corporate"/>
    <x v="0"/>
    <x v="0"/>
    <s v="Wrap Bag"/>
    <s v="SANFORD Liquid Accent™ Tank-Style Highlighters"/>
    <n v="0.54"/>
    <s v="United States"/>
    <x v="0"/>
    <s v="Washington"/>
    <s v="Anacortes"/>
    <n v="98221"/>
    <x v="0"/>
    <d v="2015-01-08T00:00:00"/>
    <n v="4.5599999999999996"/>
    <n v="4"/>
    <x v="0"/>
    <n v="88522"/>
    <x v="0"/>
  </r>
  <r>
    <n v="20228"/>
    <s v="Not Specified"/>
    <n v="0.02"/>
    <n v="500.98"/>
    <n v="26"/>
    <n v="5"/>
    <s v="Ronnie Proctor"/>
    <s v="Delivery Truck"/>
    <s v="Home Office"/>
    <x v="1"/>
    <x v="1"/>
    <s v="Jumbo Drum"/>
    <s v="Global Troy™ Executive Leather Low-Back Tilter"/>
    <n v="0.6"/>
    <s v="United States"/>
    <x v="0"/>
    <s v="California"/>
    <s v="San Gabriel"/>
    <n v="91776"/>
    <x v="1"/>
    <d v="2015-06-15T00:00:00"/>
    <n v="4390.3665000000001"/>
    <n v="12"/>
    <x v="1"/>
    <n v="90193"/>
    <x v="1"/>
  </r>
  <r>
    <n v="21776"/>
    <s v="Critical"/>
    <n v="0.06"/>
    <n v="9.48"/>
    <n v="7.29"/>
    <n v="11"/>
    <s v="Marcus Dunlap"/>
    <s v="Regular Air"/>
    <s v="Home Office"/>
    <x v="1"/>
    <x v="2"/>
    <s v="Small Pack"/>
    <s v="DAX Two-Tone Rosewood/Black Document Frame, Desktop, 5 x 7"/>
    <n v="0.45"/>
    <s v="United States"/>
    <x v="1"/>
    <s v="New Jersey"/>
    <s v="Roselle"/>
    <n v="7203"/>
    <x v="2"/>
    <d v="2015-02-17T00:00:00"/>
    <n v="-53.809600000000003"/>
    <n v="22"/>
    <x v="2"/>
    <n v="90192"/>
    <x v="2"/>
  </r>
  <r>
    <n v="24844"/>
    <s v="Medium"/>
    <n v="0.09"/>
    <n v="78.69"/>
    <n v="19.989999999999998"/>
    <n v="14"/>
    <s v="Gwendolyn F Tyson"/>
    <s v="Regular Air"/>
    <s v="Small Business"/>
    <x v="1"/>
    <x v="2"/>
    <s v="Small Box"/>
    <s v="Howard Miller 12-3/4 Diameter Accuwave DS ™ Wall Clock"/>
    <n v="0.43"/>
    <s v="United States"/>
    <x v="2"/>
    <s v="Minnesota"/>
    <s v="Prior Lake"/>
    <n v="55372"/>
    <x v="3"/>
    <d v="2015-05-14T00:00:00"/>
    <n v="803.47050000000002"/>
    <n v="16"/>
    <x v="3"/>
    <n v="86838"/>
    <x v="3"/>
  </r>
  <r>
    <n v="24846"/>
    <s v="Medium"/>
    <n v="0.08"/>
    <n v="3.28"/>
    <n v="2.31"/>
    <n v="14"/>
    <s v="Gwendolyn F Tyson"/>
    <s v="Regular Air"/>
    <s v="Small Business"/>
    <x v="0"/>
    <x v="0"/>
    <s v="Wrap Bag"/>
    <s v="Newell 321"/>
    <n v="0.56000000000000005"/>
    <s v="United States"/>
    <x v="2"/>
    <s v="Minnesota"/>
    <s v="Prior Lake"/>
    <n v="55372"/>
    <x v="3"/>
    <d v="2015-05-13T00:00:00"/>
    <n v="-24.03"/>
    <n v="7"/>
    <x v="4"/>
    <n v="86838"/>
    <x v="4"/>
  </r>
  <r>
    <n v="24847"/>
    <s v="Medium"/>
    <n v="0.05"/>
    <n v="3.28"/>
    <n v="4.2"/>
    <n v="14"/>
    <s v="Gwendolyn F Tyson"/>
    <s v="Regular Air"/>
    <s v="Small Business"/>
    <x v="0"/>
    <x v="0"/>
    <s v="Wrap Bag"/>
    <s v="Newell 351"/>
    <n v="0.56000000000000005"/>
    <s v="United States"/>
    <x v="2"/>
    <s v="Minnesota"/>
    <s v="Prior Lake"/>
    <n v="55372"/>
    <x v="3"/>
    <d v="2015-05-13T00:00:00"/>
    <n v="-37.03"/>
    <n v="4"/>
    <x v="5"/>
    <n v="86838"/>
    <x v="5"/>
  </r>
  <r>
    <n v="24848"/>
    <s v="Medium"/>
    <n v="0.05"/>
    <n v="3.58"/>
    <n v="1.63"/>
    <n v="14"/>
    <s v="Gwendolyn F Tyson"/>
    <s v="Regular Air"/>
    <s v="Small Business"/>
    <x v="0"/>
    <x v="3"/>
    <s v="Wrap Bag"/>
    <s v="OIC Colored Binder Clips, Assorted Sizes"/>
    <n v="0.36"/>
    <s v="United States"/>
    <x v="2"/>
    <s v="Minnesota"/>
    <s v="Prior Lake"/>
    <n v="55372"/>
    <x v="3"/>
    <d v="2015-05-13T00:00:00"/>
    <n v="-0.71"/>
    <n v="4"/>
    <x v="6"/>
    <n v="86838"/>
    <x v="6"/>
  </r>
  <r>
    <n v="18181"/>
    <s v="Critical"/>
    <n v="0"/>
    <n v="4.42"/>
    <n v="4.99"/>
    <n v="15"/>
    <s v="Timothy Reese"/>
    <s v="Regular Air"/>
    <s v="Small Business"/>
    <x v="0"/>
    <x v="4"/>
    <s v="Small Box"/>
    <s v="Grip Seal Envelopes"/>
    <n v="0.38"/>
    <s v="United States"/>
    <x v="1"/>
    <s v="New York"/>
    <s v="Smithtown"/>
    <n v="11787"/>
    <x v="4"/>
    <d v="2015-04-09T00:00:00"/>
    <n v="-59.82"/>
    <n v="7"/>
    <x v="7"/>
    <n v="86837"/>
    <x v="7"/>
  </r>
  <r>
    <n v="20925"/>
    <s v="Medium"/>
    <n v="0.01"/>
    <n v="35.94"/>
    <n v="6.66"/>
    <n v="15"/>
    <s v="Timothy Reese"/>
    <s v="Regular Air"/>
    <s v="Small Business"/>
    <x v="0"/>
    <x v="4"/>
    <s v="Small Box"/>
    <s v="Tyvek ® Top-Opening Peel &amp; Seel ® Envelopes, Gray"/>
    <n v="0.4"/>
    <s v="United States"/>
    <x v="1"/>
    <s v="New York"/>
    <s v="Smithtown"/>
    <n v="11787"/>
    <x v="5"/>
    <d v="2015-05-28T00:00:00"/>
    <n v="261.87569999999999"/>
    <n v="10"/>
    <x v="8"/>
    <n v="86839"/>
    <x v="8"/>
  </r>
  <r>
    <n v="26267"/>
    <s v="High"/>
    <n v="0.04"/>
    <n v="2.98"/>
    <n v="1.58"/>
    <n v="16"/>
    <s v="Sarah Ramsey"/>
    <s v="Regular Air"/>
    <s v="Small Business"/>
    <x v="0"/>
    <x v="3"/>
    <s v="Wrap Bag"/>
    <s v="Staples Gold Paper Clips"/>
    <n v="0.39"/>
    <s v="United States"/>
    <x v="1"/>
    <s v="New York"/>
    <s v="Syracuse"/>
    <n v="13210"/>
    <x v="6"/>
    <d v="2015-02-15T00:00:00"/>
    <n v="2.63"/>
    <n v="6"/>
    <x v="9"/>
    <n v="86836"/>
    <x v="9"/>
  </r>
  <r>
    <n v="26268"/>
    <s v="High"/>
    <n v="0.05"/>
    <n v="115.99"/>
    <n v="2.5"/>
    <n v="16"/>
    <s v="Sarah Ramsey"/>
    <s v="Regular Air"/>
    <s v="Small Business"/>
    <x v="2"/>
    <x v="5"/>
    <s v="Small Box"/>
    <s v="StarTAC 7797"/>
    <n v="0.55000000000000004"/>
    <s v="United States"/>
    <x v="1"/>
    <s v="New York"/>
    <s v="Syracuse"/>
    <n v="13210"/>
    <x v="6"/>
    <d v="2015-02-14T00:00:00"/>
    <n v="652.73310000000004"/>
    <n v="10"/>
    <x v="10"/>
    <n v="86836"/>
    <x v="10"/>
  </r>
  <r>
    <n v="23890"/>
    <s v="High"/>
    <n v="0.05"/>
    <n v="26.48"/>
    <n v="6.93"/>
    <n v="18"/>
    <s v="Laurie Hanna"/>
    <s v="Regular Air"/>
    <s v="Small Business"/>
    <x v="1"/>
    <x v="2"/>
    <s v="Small Box"/>
    <s v="DAX Natural Wood-Tone Poster Frame"/>
    <n v="0.49"/>
    <s v="United States"/>
    <x v="0"/>
    <s v="Montana"/>
    <s v="Helena"/>
    <n v="59601"/>
    <x v="7"/>
    <d v="2015-05-16T00:00:00"/>
    <n v="314.48129999999998"/>
    <n v="17"/>
    <x v="11"/>
    <n v="90031"/>
    <x v="11"/>
  </r>
  <r>
    <n v="24063"/>
    <s v="Not Specified"/>
    <n v="7.0000000000000007E-2"/>
    <n v="12.99"/>
    <n v="9.44"/>
    <n v="19"/>
    <s v="Jim Rodgers"/>
    <s v="Regular Air"/>
    <s v="Small Business"/>
    <x v="2"/>
    <x v="6"/>
    <s v="Medium Box"/>
    <s v="Hewlett Packard 6S Scientific Calculator"/>
    <n v="0.39"/>
    <s v="United States"/>
    <x v="0"/>
    <s v="Montana"/>
    <s v="Missoula"/>
    <n v="59801"/>
    <x v="8"/>
    <d v="2015-05-23T00:00:00"/>
    <n v="-114.6399"/>
    <n v="18"/>
    <x v="12"/>
    <n v="90032"/>
    <x v="12"/>
  </r>
  <r>
    <n v="5890"/>
    <s v="High"/>
    <n v="0.05"/>
    <n v="26.48"/>
    <n v="6.93"/>
    <n v="21"/>
    <s v="Tony Wilkins Winters"/>
    <s v="Regular Air"/>
    <s v="Small Business"/>
    <x v="1"/>
    <x v="2"/>
    <s v="Small Box"/>
    <s v="DAX Natural Wood-Tone Poster Frame"/>
    <n v="0.49"/>
    <s v="United States"/>
    <x v="1"/>
    <s v="New York"/>
    <s v="New York City"/>
    <n v="10012"/>
    <x v="7"/>
    <d v="2015-05-16T00:00:00"/>
    <n v="384.38"/>
    <n v="70"/>
    <x v="13"/>
    <n v="41793"/>
    <x v="13"/>
  </r>
  <r>
    <n v="6062"/>
    <s v="Not Specified"/>
    <n v="0.08"/>
    <n v="5"/>
    <n v="3.39"/>
    <n v="21"/>
    <s v="Tony Wilkins Winters"/>
    <s v="Regular Air"/>
    <s v="Small Business"/>
    <x v="0"/>
    <x v="3"/>
    <s v="Wrap Bag"/>
    <s v="Advantus Plastic Paper Clips"/>
    <n v="0.37"/>
    <s v="United States"/>
    <x v="1"/>
    <s v="New York"/>
    <s v="New York City"/>
    <n v="10012"/>
    <x v="8"/>
    <d v="2015-05-22T00:00:00"/>
    <n v="-17.489999999999998"/>
    <n v="58"/>
    <x v="14"/>
    <n v="42949"/>
    <x v="14"/>
  </r>
  <r>
    <n v="6063"/>
    <s v="Not Specified"/>
    <n v="7.0000000000000007E-2"/>
    <n v="12.99"/>
    <n v="9.44"/>
    <n v="21"/>
    <s v="Tony Wilkins Winters"/>
    <s v="Regular Air"/>
    <s v="Small Business"/>
    <x v="2"/>
    <x v="6"/>
    <s v="Medium Box"/>
    <s v="Hewlett Packard 6S Scientific Calculator"/>
    <n v="0.39"/>
    <s v="United States"/>
    <x v="1"/>
    <s v="New York"/>
    <s v="New York City"/>
    <n v="10012"/>
    <x v="8"/>
    <d v="2015-05-23T00:00:00"/>
    <n v="-114.6399"/>
    <n v="71"/>
    <x v="15"/>
    <n v="42949"/>
    <x v="15"/>
  </r>
  <r>
    <n v="20631"/>
    <s v="High"/>
    <n v="0.06"/>
    <n v="55.48"/>
    <n v="14.3"/>
    <n v="24"/>
    <s v="Edna Thomas"/>
    <s v="Regular Air"/>
    <s v="Corporate"/>
    <x v="0"/>
    <x v="7"/>
    <s v="Small Box"/>
    <s v="Xerox 194"/>
    <n v="0.37"/>
    <s v="United States"/>
    <x v="0"/>
    <s v="California"/>
    <s v="Laguna Niguel"/>
    <n v="92677"/>
    <x v="9"/>
    <d v="2015-01-29T00:00:00"/>
    <n v="-28.296800000000001"/>
    <n v="1"/>
    <x v="16"/>
    <n v="87651"/>
    <x v="16"/>
  </r>
  <r>
    <n v="20632"/>
    <s v="High"/>
    <n v="0.02"/>
    <n v="1.68"/>
    <n v="1.57"/>
    <n v="24"/>
    <s v="Edna Thomas"/>
    <s v="Regular Air"/>
    <s v="Corporate"/>
    <x v="0"/>
    <x v="0"/>
    <s v="Wrap Bag"/>
    <s v="Newell 323"/>
    <n v="0.59"/>
    <s v="United States"/>
    <x v="0"/>
    <s v="California"/>
    <s v="Laguna Niguel"/>
    <n v="92677"/>
    <x v="9"/>
    <d v="2015-01-30T00:00:00"/>
    <n v="-5.3071999999999999"/>
    <n v="1"/>
    <x v="17"/>
    <n v="87651"/>
    <x v="17"/>
  </r>
  <r>
    <n v="23967"/>
    <s v="Not Specified"/>
    <n v="0.04"/>
    <n v="4.1399999999999997"/>
    <n v="6.6"/>
    <n v="27"/>
    <s v="Guy Gallagher"/>
    <s v="Regular Air"/>
    <s v="Corporate"/>
    <x v="1"/>
    <x v="2"/>
    <s v="Small Box"/>
    <s v="Eldon Image Series Black Desk Accessories"/>
    <n v="0.49"/>
    <s v="United States"/>
    <x v="0"/>
    <s v="California"/>
    <s v="Lakewood"/>
    <n v="90712"/>
    <x v="10"/>
    <d v="2015-05-04T00:00:00"/>
    <n v="8.8940000000000001"/>
    <n v="12"/>
    <x v="18"/>
    <n v="87652"/>
    <x v="18"/>
  </r>
  <r>
    <n v="23509"/>
    <s v="High"/>
    <n v="0.08"/>
    <n v="34.99"/>
    <n v="7.73"/>
    <n v="32"/>
    <s v="Matthew Berman"/>
    <s v="Regular Air"/>
    <s v="Corporate"/>
    <x v="0"/>
    <x v="0"/>
    <s v="Small Box"/>
    <s v="Hunt Boston® Vacuum Mount KS Pencil Sharpener"/>
    <n v="0.59"/>
    <s v="United States"/>
    <x v="0"/>
    <s v="Oregon"/>
    <s v="Grants Pass"/>
    <n v="97526"/>
    <x v="11"/>
    <d v="2015-02-23T00:00:00"/>
    <n v="144.69"/>
    <n v="13"/>
    <x v="19"/>
    <n v="89199"/>
    <x v="19"/>
  </r>
  <r>
    <n v="23612"/>
    <s v="High"/>
    <n v="0.01"/>
    <n v="17.98"/>
    <n v="8.51"/>
    <n v="32"/>
    <s v="Matthew Berman"/>
    <s v="Regular Air"/>
    <s v="Corporate"/>
    <x v="2"/>
    <x v="6"/>
    <s v="Medium Box"/>
    <s v="Canon P1-DHIII Palm Printing Calculator"/>
    <n v="0.4"/>
    <s v="United States"/>
    <x v="0"/>
    <s v="Oregon"/>
    <s v="Grants Pass"/>
    <n v="97526"/>
    <x v="12"/>
    <d v="2015-03-28T00:00:00"/>
    <n v="-35.878799999999998"/>
    <n v="2"/>
    <x v="20"/>
    <n v="89200"/>
    <x v="20"/>
  </r>
  <r>
    <n v="23278"/>
    <s v="Medium"/>
    <n v="0.09"/>
    <n v="125.99"/>
    <n v="7.69"/>
    <n v="32"/>
    <s v="Matthew Berman"/>
    <s v="Express Air"/>
    <s v="Corporate"/>
    <x v="2"/>
    <x v="5"/>
    <s v="Small Box"/>
    <s v="StarTAC 3000"/>
    <n v="0.59"/>
    <s v="United States"/>
    <x v="0"/>
    <s v="Oregon"/>
    <s v="Grants Pass"/>
    <n v="97526"/>
    <x v="13"/>
    <d v="2015-01-22T00:00:00"/>
    <n v="209.99700000000001"/>
    <n v="8"/>
    <x v="21"/>
    <n v="89202"/>
    <x v="21"/>
  </r>
  <r>
    <n v="19355"/>
    <s v="Low"/>
    <n v="0.06"/>
    <n v="205.99"/>
    <n v="8.99"/>
    <n v="32"/>
    <s v="Matthew Berman"/>
    <s v="Regular Air"/>
    <s v="Corporate"/>
    <x v="2"/>
    <x v="5"/>
    <s v="Small Box"/>
    <s v="TimeportP7382"/>
    <n v="0.56000000000000005"/>
    <s v="United States"/>
    <x v="0"/>
    <s v="Oregon"/>
    <s v="Grants Pass"/>
    <n v="97526"/>
    <x v="14"/>
    <d v="2015-03-19T00:00:00"/>
    <n v="3568.096"/>
    <n v="22"/>
    <x v="22"/>
    <n v="89203"/>
    <x v="22"/>
  </r>
  <r>
    <n v="23654"/>
    <s v="Not Specified"/>
    <n v="0.03"/>
    <n v="4.24"/>
    <n v="5.41"/>
    <n v="33"/>
    <s v="Ricky Hensley"/>
    <s v="Regular Air"/>
    <s v="Corporate"/>
    <x v="0"/>
    <x v="8"/>
    <s v="Small Box"/>
    <s v="Storex DuraTech Recycled Plastic Frosted Binders"/>
    <n v="0.35"/>
    <s v="United States"/>
    <x v="0"/>
    <s v="Oregon"/>
    <s v="Gresham"/>
    <n v="97030"/>
    <x v="15"/>
    <d v="2015-06-17T00:00:00"/>
    <n v="-84.437600000000003"/>
    <n v="13"/>
    <x v="23"/>
    <n v="89201"/>
    <x v="23"/>
  </r>
  <r>
    <n v="23655"/>
    <s v="Not Specified"/>
    <n v="0.04"/>
    <n v="2.94"/>
    <n v="0.7"/>
    <n v="33"/>
    <s v="Ricky Hensley"/>
    <s v="Regular Air"/>
    <s v="Corporate"/>
    <x v="0"/>
    <x v="0"/>
    <s v="Wrap Bag"/>
    <s v="Newell 338"/>
    <n v="0.57999999999999996"/>
    <s v="United States"/>
    <x v="0"/>
    <s v="Oregon"/>
    <s v="Gresham"/>
    <n v="97030"/>
    <x v="15"/>
    <d v="2015-06-16T00:00:00"/>
    <n v="24.312000000000001"/>
    <n v="18"/>
    <x v="24"/>
    <n v="89201"/>
    <x v="24"/>
  </r>
  <r>
    <n v="25933"/>
    <s v="High"/>
    <n v="0"/>
    <n v="99.99"/>
    <n v="19.989999999999998"/>
    <n v="43"/>
    <s v="Theodore Moran"/>
    <s v="Regular Air"/>
    <s v="Consumer"/>
    <x v="2"/>
    <x v="6"/>
    <s v="Small Box"/>
    <s v="AT&amp;T 2230 Dual Handset Phone With Caller ID/Call Waiting"/>
    <n v="0.52"/>
    <s v="United States"/>
    <x v="0"/>
    <s v="Washington"/>
    <s v="Redmond"/>
    <n v="98052"/>
    <x v="16"/>
    <d v="2015-05-11T00:00:00"/>
    <n v="25.913820000000001"/>
    <n v="6"/>
    <x v="25"/>
    <n v="91454"/>
    <x v="25"/>
  </r>
  <r>
    <n v="18551"/>
    <s v="Not Specified"/>
    <n v="0"/>
    <n v="115.99"/>
    <n v="2.5"/>
    <n v="52"/>
    <s v="Lorraine Kelly"/>
    <s v="Regular Air"/>
    <s v="Corporate"/>
    <x v="2"/>
    <x v="5"/>
    <s v="Small Box"/>
    <n v="6160"/>
    <n v="0.56999999999999995"/>
    <s v="United States"/>
    <x v="0"/>
    <s v="Washington"/>
    <s v="Puyallup"/>
    <n v="98373"/>
    <x v="17"/>
    <d v="2015-03-10T00:00:00"/>
    <n v="162.666"/>
    <n v="6"/>
    <x v="26"/>
    <n v="88426"/>
    <x v="26"/>
  </r>
  <r>
    <n v="22117"/>
    <s v="Critical"/>
    <n v="7.0000000000000007E-2"/>
    <n v="3502.14"/>
    <n v="8.73"/>
    <n v="53"/>
    <s v="Sidney Russell Austin"/>
    <s v="Delivery Truck"/>
    <s v="Corporate"/>
    <x v="2"/>
    <x v="6"/>
    <s v="Jumbo Box"/>
    <s v="Okidata Pacemark 4410N Wide Format Dot Matrix Printer"/>
    <n v="0.56999999999999995"/>
    <s v="United States"/>
    <x v="0"/>
    <s v="Washington"/>
    <s v="Redmond"/>
    <n v="98052"/>
    <x v="9"/>
    <d v="2015-01-30T00:00:00"/>
    <n v="-6923.5991999999997"/>
    <n v="1"/>
    <x v="27"/>
    <n v="88425"/>
    <x v="27"/>
  </r>
  <r>
    <n v="18552"/>
    <s v="Not Specified"/>
    <n v="0.02"/>
    <n v="5.98"/>
    <n v="5.79"/>
    <n v="53"/>
    <s v="Sidney Russell Austin"/>
    <s v="Regular Air"/>
    <s v="Corporate"/>
    <x v="0"/>
    <x v="7"/>
    <s v="Small Box"/>
    <s v="Xerox 1903"/>
    <n v="0.36"/>
    <s v="United States"/>
    <x v="0"/>
    <s v="Washington"/>
    <s v="Redmond"/>
    <n v="98052"/>
    <x v="17"/>
    <d v="2015-03-11T00:00:00"/>
    <n v="-67.489999999999995"/>
    <n v="17"/>
    <x v="28"/>
    <n v="88426"/>
    <x v="28"/>
  </r>
  <r>
    <n v="20697"/>
    <s v="Medium"/>
    <n v="0.06"/>
    <n v="3.8"/>
    <n v="1.49"/>
    <n v="56"/>
    <s v="Randall Montgomery"/>
    <s v="Regular Air"/>
    <s v="Consumer"/>
    <x v="0"/>
    <x v="8"/>
    <s v="Small Box"/>
    <s v="Durable Pressboard Binders"/>
    <n v="0.38"/>
    <s v="United States"/>
    <x v="1"/>
    <s v="New York"/>
    <s v="Tonawanda"/>
    <n v="14150"/>
    <x v="18"/>
    <d v="2015-04-21T00:00:00"/>
    <n v="19.6282"/>
    <n v="20"/>
    <x v="29"/>
    <n v="88075"/>
    <x v="29"/>
  </r>
  <r>
    <n v="20698"/>
    <s v="Medium"/>
    <n v="0.06"/>
    <n v="1.76"/>
    <n v="0.7"/>
    <n v="56"/>
    <s v="Randall Montgomery"/>
    <s v="Regular Air"/>
    <s v="Consumer"/>
    <x v="0"/>
    <x v="0"/>
    <s v="Wrap Bag"/>
    <s v="Newell 310"/>
    <n v="0.56000000000000005"/>
    <s v="United States"/>
    <x v="1"/>
    <s v="New York"/>
    <s v="Tonawanda"/>
    <n v="14150"/>
    <x v="18"/>
    <d v="2015-04-21T00:00:00"/>
    <n v="-1.6524000000000001"/>
    <n v="17"/>
    <x v="30"/>
    <n v="88075"/>
    <x v="30"/>
  </r>
  <r>
    <n v="22890"/>
    <s v="High"/>
    <n v="0.02"/>
    <n v="5.98"/>
    <n v="5.15"/>
    <n v="62"/>
    <s v="Pam Gilbert"/>
    <s v="Regular Air"/>
    <s v="Corporate"/>
    <x v="0"/>
    <x v="7"/>
    <s v="Small Box"/>
    <s v="Xerox 193"/>
    <n v="0.36"/>
    <s v="United States"/>
    <x v="2"/>
    <s v="Texas"/>
    <s v="Round Rock"/>
    <n v="78664"/>
    <x v="19"/>
    <d v="2015-05-11T00:00:00"/>
    <n v="2.14"/>
    <n v="3"/>
    <x v="31"/>
    <n v="87407"/>
    <x v="31"/>
  </r>
  <r>
    <n v="25354"/>
    <s v="High"/>
    <n v="0.04"/>
    <n v="29.14"/>
    <n v="4.8600000000000003"/>
    <n v="62"/>
    <s v="Pam Gilbert"/>
    <s v="Regular Air"/>
    <s v="Corporate"/>
    <x v="0"/>
    <x v="7"/>
    <s v="Wrap Bag"/>
    <s v="Snap-A-Way® Black Print Carbonless Speed Message, No Reply Area, Duplicate"/>
    <n v="0.38"/>
    <s v="United States"/>
    <x v="2"/>
    <s v="Texas"/>
    <s v="Round Rock"/>
    <n v="78664"/>
    <x v="20"/>
    <d v="2015-06-14T00:00:00"/>
    <n v="349.40910000000002"/>
    <n v="17"/>
    <x v="32"/>
    <n v="87408"/>
    <x v="32"/>
  </r>
  <r>
    <n v="21017"/>
    <s v="Not Specified"/>
    <n v="0"/>
    <n v="3.69"/>
    <n v="0.5"/>
    <n v="64"/>
    <s v="Lynn Morrow"/>
    <s v="Regular Air"/>
    <s v="Small Business"/>
    <x v="0"/>
    <x v="9"/>
    <s v="Small Box"/>
    <s v="Avery 501"/>
    <n v="0.38"/>
    <s v="United States"/>
    <x v="3"/>
    <s v="Virginia"/>
    <s v="Salem"/>
    <n v="24153"/>
    <x v="21"/>
    <d v="2015-03-04T00:00:00"/>
    <n v="-37.5291"/>
    <n v="1"/>
    <x v="33"/>
    <n v="87406"/>
    <x v="33"/>
  </r>
  <r>
    <n v="21019"/>
    <s v="Not Specified"/>
    <n v="0.02"/>
    <n v="175.99"/>
    <n v="4.99"/>
    <n v="64"/>
    <s v="Lynn Morrow"/>
    <s v="Express Air"/>
    <s v="Small Business"/>
    <x v="2"/>
    <x v="5"/>
    <s v="Small Box"/>
    <n v="5165"/>
    <n v="0.59"/>
    <s v="United States"/>
    <x v="3"/>
    <s v="Virginia"/>
    <s v="Salem"/>
    <n v="24153"/>
    <x v="21"/>
    <d v="2015-03-02T00:00:00"/>
    <n v="101.49"/>
    <n v="4"/>
    <x v="34"/>
    <n v="87406"/>
    <x v="34"/>
  </r>
  <r>
    <n v="23274"/>
    <s v="Low"/>
    <n v="0.05"/>
    <n v="155.06"/>
    <n v="7.07"/>
    <n v="67"/>
    <s v="Ellen McCormick"/>
    <s v="Regular Air"/>
    <s v="Corporate"/>
    <x v="0"/>
    <x v="10"/>
    <s v="Small Box"/>
    <s v="Dual Level, Single-Width Filing Carts"/>
    <n v="0.59"/>
    <s v="United States"/>
    <x v="0"/>
    <s v="California"/>
    <s v="Napa"/>
    <n v="94559"/>
    <x v="22"/>
    <d v="2015-01-09T00:00:00"/>
    <n v="845.66399999999999"/>
    <n v="8"/>
    <x v="35"/>
    <n v="87946"/>
    <x v="35"/>
  </r>
  <r>
    <n v="5272"/>
    <s v="Low"/>
    <n v="0"/>
    <n v="291.73"/>
    <n v="48.8"/>
    <n v="68"/>
    <s v="Scott Bunn"/>
    <s v="Delivery Truck"/>
    <s v="Corporate"/>
    <x v="1"/>
    <x v="1"/>
    <s v="Jumbo Drum"/>
    <s v="Hon 4070 Series Pagoda™ Armless Upholstered Stacking Chairs"/>
    <n v="0.56000000000000005"/>
    <s v="United States"/>
    <x v="1"/>
    <s v="New York"/>
    <s v="New York City"/>
    <n v="10177"/>
    <x v="22"/>
    <d v="2015-01-02T00:00:00"/>
    <n v="-308.928"/>
    <n v="4"/>
    <x v="36"/>
    <n v="37537"/>
    <x v="36"/>
  </r>
  <r>
    <n v="5273"/>
    <s v="Low"/>
    <n v="7.0000000000000007E-2"/>
    <n v="100.98"/>
    <n v="45"/>
    <n v="68"/>
    <s v="Scott Bunn"/>
    <s v="Delivery Truck"/>
    <s v="Corporate"/>
    <x v="1"/>
    <x v="1"/>
    <s v="Jumbo Drum"/>
    <s v="Hon Valutask™ Swivel Chairs"/>
    <n v="0.69"/>
    <s v="United States"/>
    <x v="1"/>
    <s v="New York"/>
    <s v="New York City"/>
    <n v="10177"/>
    <x v="22"/>
    <d v="2015-01-04T00:00:00"/>
    <n v="-1679.76"/>
    <n v="43"/>
    <x v="37"/>
    <n v="37537"/>
    <x v="37"/>
  </r>
  <r>
    <n v="5274"/>
    <s v="Low"/>
    <n v="0.05"/>
    <n v="155.06"/>
    <n v="7.07"/>
    <n v="68"/>
    <s v="Scott Bunn"/>
    <s v="Regular Air"/>
    <s v="Corporate"/>
    <x v="0"/>
    <x v="10"/>
    <s v="Small Box"/>
    <s v="Dual Level, Single-Width Filing Carts"/>
    <n v="0.59"/>
    <s v="United States"/>
    <x v="1"/>
    <s v="New York"/>
    <s v="New York City"/>
    <n v="10177"/>
    <x v="22"/>
    <d v="2015-01-09T00:00:00"/>
    <n v="575.39599999999996"/>
    <n v="32"/>
    <x v="38"/>
    <n v="37537"/>
    <x v="38"/>
  </r>
  <r>
    <n v="7786"/>
    <s v="High"/>
    <n v="0.09"/>
    <n v="122.99"/>
    <n v="70.2"/>
    <n v="68"/>
    <s v="Scott Bunn"/>
    <s v="Delivery Truck"/>
    <s v="Corporate"/>
    <x v="1"/>
    <x v="1"/>
    <s v="Jumbo Drum"/>
    <s v="Global High-Back Leather Tilter, Burgundy"/>
    <n v="0.74"/>
    <s v="United States"/>
    <x v="1"/>
    <s v="New York"/>
    <s v="New York City"/>
    <n v="10177"/>
    <x v="23"/>
    <d v="2015-02-04T00:00:00"/>
    <n v="-2426.5500000000002"/>
    <n v="49"/>
    <x v="39"/>
    <n v="55713"/>
    <x v="39"/>
  </r>
  <r>
    <n v="25786"/>
    <s v="High"/>
    <n v="0.09"/>
    <n v="122.99"/>
    <n v="70.2"/>
    <n v="70"/>
    <s v="Annette Boone"/>
    <s v="Delivery Truck"/>
    <s v="Corporate"/>
    <x v="1"/>
    <x v="1"/>
    <s v="Jumbo Drum"/>
    <s v="Global High-Back Leather Tilter, Burgundy"/>
    <n v="0.74"/>
    <s v="United States"/>
    <x v="1"/>
    <s v="Vermont"/>
    <s v="Burlington"/>
    <n v="5401"/>
    <x v="23"/>
    <d v="2015-02-04T00:00:00"/>
    <n v="-2426.5500000000002"/>
    <n v="12"/>
    <x v="40"/>
    <n v="87947"/>
    <x v="40"/>
  </r>
  <r>
    <n v="18281"/>
    <s v="High"/>
    <n v="0.04"/>
    <n v="296.18"/>
    <n v="54.12"/>
    <n v="83"/>
    <s v="Edgar Stone"/>
    <s v="Delivery Truck"/>
    <s v="Corporate"/>
    <x v="1"/>
    <x v="11"/>
    <s v="Jumbo Box"/>
    <s v="Hon 94000 Series Round Tables"/>
    <n v="0.76"/>
    <s v="United States"/>
    <x v="1"/>
    <s v="Ohio"/>
    <s v="Canton"/>
    <n v="44708"/>
    <x v="24"/>
    <d v="2015-03-15T00:00:00"/>
    <n v="-715.77820599999995"/>
    <n v="6"/>
    <x v="41"/>
    <n v="87365"/>
    <x v="41"/>
  </r>
  <r>
    <n v="23639"/>
    <s v="Not Specified"/>
    <n v="0"/>
    <n v="8.09"/>
    <n v="7.96"/>
    <n v="84"/>
    <s v="Helen Stein"/>
    <s v="Regular Air"/>
    <s v="Consumer"/>
    <x v="1"/>
    <x v="2"/>
    <s v="Small Box"/>
    <s v="6&quot; Cubicle Wall Clock, Black"/>
    <n v="0.49"/>
    <s v="United States"/>
    <x v="1"/>
    <s v="Ohio"/>
    <s v="Cincinnati"/>
    <n v="45231"/>
    <x v="23"/>
    <d v="2015-02-03T00:00:00"/>
    <n v="-144.56"/>
    <n v="11"/>
    <x v="42"/>
    <n v="87364"/>
    <x v="42"/>
  </r>
  <r>
    <n v="23880"/>
    <s v="High"/>
    <n v="0.08"/>
    <n v="896.99"/>
    <n v="19.989999999999998"/>
    <n v="84"/>
    <s v="Helen Stein"/>
    <s v="Regular Air"/>
    <s v="Corporate"/>
    <x v="0"/>
    <x v="8"/>
    <s v="Small Box"/>
    <s v="GBC DocuBind TL300 Electric Binding System"/>
    <n v="0.38"/>
    <s v="United States"/>
    <x v="1"/>
    <s v="Ohio"/>
    <s v="Cincinnati"/>
    <n v="45231"/>
    <x v="25"/>
    <d v="2015-04-02T00:00:00"/>
    <n v="7402.32"/>
    <n v="13"/>
    <x v="43"/>
    <n v="87366"/>
    <x v="43"/>
  </r>
  <r>
    <n v="24663"/>
    <s v="Low"/>
    <n v="0.05"/>
    <n v="161.55000000000001"/>
    <n v="19.989999999999998"/>
    <n v="87"/>
    <s v="Norman Shields"/>
    <s v="Regular Air"/>
    <s v="Corporate"/>
    <x v="0"/>
    <x v="10"/>
    <s v="Small Box"/>
    <s v="Fellowes Super Stor/Drawer® Files"/>
    <n v="0.66"/>
    <s v="United States"/>
    <x v="0"/>
    <s v="California"/>
    <s v="Vacaville"/>
    <n v="95687"/>
    <x v="26"/>
    <d v="2015-06-08T00:00:00"/>
    <n v="1892.424"/>
    <n v="19"/>
    <x v="44"/>
    <n v="90596"/>
    <x v="44"/>
  </r>
  <r>
    <n v="23841"/>
    <s v="High"/>
    <n v="0.09"/>
    <n v="4.91"/>
    <n v="0.5"/>
    <n v="87"/>
    <s v="Norman Shields"/>
    <s v="Regular Air"/>
    <s v="Corporate"/>
    <x v="0"/>
    <x v="9"/>
    <s v="Small Box"/>
    <s v="Avery 493"/>
    <n v="0.36"/>
    <s v="United States"/>
    <x v="0"/>
    <s v="California"/>
    <s v="Vacaville"/>
    <n v="95687"/>
    <x v="27"/>
    <d v="2015-03-23T00:00:00"/>
    <n v="28.855799999999999"/>
    <n v="9"/>
    <x v="45"/>
    <n v="90597"/>
    <x v="45"/>
  </r>
  <r>
    <n v="23842"/>
    <s v="High"/>
    <n v="0.01"/>
    <n v="296.18"/>
    <n v="54.12"/>
    <n v="87"/>
    <s v="Norman Shields"/>
    <s v="Delivery Truck"/>
    <s v="Corporate"/>
    <x v="1"/>
    <x v="11"/>
    <s v="Jumbo Box"/>
    <s v="Hon 94000 Series Round Tables"/>
    <n v="0.76"/>
    <s v="United States"/>
    <x v="0"/>
    <s v="California"/>
    <s v="Vacaville"/>
    <n v="95687"/>
    <x v="27"/>
    <d v="2015-03-25T00:00:00"/>
    <n v="173.48"/>
    <n v="9"/>
    <x v="46"/>
    <n v="90597"/>
    <x v="46"/>
  </r>
  <r>
    <n v="23071"/>
    <s v="High"/>
    <n v="7.0000000000000007E-2"/>
    <n v="19.84"/>
    <n v="4.0999999999999996"/>
    <n v="91"/>
    <s v="Wallace Werner"/>
    <s v="Regular Air"/>
    <s v="Home Office"/>
    <x v="0"/>
    <x v="0"/>
    <s v="Wrap Bag"/>
    <s v="Prismacolor Color Pencil Set"/>
    <n v="0.44"/>
    <s v="United States"/>
    <x v="0"/>
    <s v="California"/>
    <s v="Vallejo"/>
    <n v="94591"/>
    <x v="28"/>
    <d v="2015-05-18T00:00:00"/>
    <n v="117.852"/>
    <n v="9"/>
    <x v="47"/>
    <n v="87175"/>
    <x v="47"/>
  </r>
  <r>
    <n v="19877"/>
    <s v="Medium"/>
    <n v="0.05"/>
    <n v="5.18"/>
    <n v="2.04"/>
    <n v="91"/>
    <s v="Wallace Werner"/>
    <s v="Regular Air"/>
    <s v="Home Office"/>
    <x v="0"/>
    <x v="7"/>
    <s v="Wrap Bag"/>
    <s v="Array® Memo Cubes"/>
    <n v="0.36"/>
    <s v="United States"/>
    <x v="0"/>
    <s v="California"/>
    <s v="Vallejo"/>
    <n v="94591"/>
    <x v="29"/>
    <d v="2015-02-20T00:00:00"/>
    <n v="34.010399999999997"/>
    <n v="10"/>
    <x v="48"/>
    <n v="87176"/>
    <x v="48"/>
  </r>
  <r>
    <n v="19611"/>
    <s v="Medium"/>
    <n v="0.06"/>
    <n v="175.99"/>
    <n v="8.99"/>
    <n v="91"/>
    <s v="Wallace Werner"/>
    <s v="Regular Air"/>
    <s v="Corporate"/>
    <x v="2"/>
    <x v="5"/>
    <s v="Small Box"/>
    <n v="2180"/>
    <n v="0.56999999999999995"/>
    <s v="United States"/>
    <x v="0"/>
    <s v="California"/>
    <s v="Vallejo"/>
    <n v="94591"/>
    <x v="30"/>
    <d v="2015-03-06T00:00:00"/>
    <n v="2031.5070000000001"/>
    <n v="23"/>
    <x v="49"/>
    <n v="87177"/>
    <x v="49"/>
  </r>
  <r>
    <n v="23069"/>
    <s v="High"/>
    <n v="7.0000000000000007E-2"/>
    <n v="8.34"/>
    <n v="1.43"/>
    <n v="92"/>
    <s v="Victoria Baker Hoover"/>
    <s v="Regular Air"/>
    <s v="Home Office"/>
    <x v="0"/>
    <x v="7"/>
    <s v="Wrap Bag"/>
    <s v="REDIFORM Incoming/Outgoing Call Register, 11&quot; X 8 1/2&quot;, 100 Messages"/>
    <n v="0.35"/>
    <s v="United States"/>
    <x v="3"/>
    <s v="Louisiana"/>
    <s v="Terrytown"/>
    <n v="70056"/>
    <x v="28"/>
    <d v="2015-05-19T00:00:00"/>
    <n v="-190.68"/>
    <n v="16"/>
    <x v="50"/>
    <n v="87175"/>
    <x v="50"/>
  </r>
  <r>
    <n v="23070"/>
    <s v="High"/>
    <n v="0.09"/>
    <n v="4.9800000000000004"/>
    <n v="6.07"/>
    <n v="92"/>
    <s v="Victoria Baker Hoover"/>
    <s v="Regular Air"/>
    <s v="Home Office"/>
    <x v="0"/>
    <x v="7"/>
    <s v="Small Box"/>
    <s v="Xerox 1897"/>
    <n v="0.36"/>
    <s v="United States"/>
    <x v="3"/>
    <s v="Louisiana"/>
    <s v="Terrytown"/>
    <n v="70056"/>
    <x v="28"/>
    <d v="2015-05-18T00:00:00"/>
    <n v="325.39800000000002"/>
    <n v="9"/>
    <x v="51"/>
    <n v="87175"/>
    <x v="51"/>
  </r>
  <r>
    <n v="23203"/>
    <s v="Medium"/>
    <n v="0.04"/>
    <n v="12.98"/>
    <n v="3.14"/>
    <n v="92"/>
    <s v="Victoria Baker Hoover"/>
    <s v="Express Air"/>
    <s v="Corporate"/>
    <x v="0"/>
    <x v="12"/>
    <s v="Small Pack"/>
    <s v="Acme® 8&quot; Straight Scissors"/>
    <n v="0.6"/>
    <s v="United States"/>
    <x v="3"/>
    <s v="Louisiana"/>
    <s v="Terrytown"/>
    <n v="70056"/>
    <x v="31"/>
    <d v="2015-06-09T00:00:00"/>
    <n v="22.818000000000001"/>
    <n v="16"/>
    <x v="52"/>
    <n v="87178"/>
    <x v="52"/>
  </r>
  <r>
    <n v="6243"/>
    <s v="Not Specified"/>
    <n v="0.04"/>
    <n v="160.97999999999999"/>
    <n v="30"/>
    <n v="94"/>
    <s v="Eddie House Mueller"/>
    <s v="Delivery Truck"/>
    <s v="Home Office"/>
    <x v="1"/>
    <x v="1"/>
    <s v="Jumbo Drum"/>
    <s v="Office Star - Mid Back Dual function Ergonomic High Back Chair with 2-Way Adjustable Arms"/>
    <n v="0.62"/>
    <s v="United States"/>
    <x v="2"/>
    <s v="Illinois"/>
    <s v="Chicago"/>
    <n v="60601"/>
    <x v="32"/>
    <d v="2015-05-05T00:00:00"/>
    <n v="116.1"/>
    <n v="37"/>
    <x v="53"/>
    <n v="44231"/>
    <x v="53"/>
  </r>
  <r>
    <n v="6244"/>
    <s v="Not Specified"/>
    <n v="0.01"/>
    <n v="17.98"/>
    <n v="4"/>
    <n v="94"/>
    <s v="Eddie House Mueller"/>
    <s v="Regular Air"/>
    <s v="Home Office"/>
    <x v="2"/>
    <x v="13"/>
    <s v="Small Box"/>
    <s v="Belkin 107-key enhanced keyboard, USB/PS/2 interface"/>
    <n v="0.79"/>
    <s v="United States"/>
    <x v="2"/>
    <s v="Illinois"/>
    <s v="Chicago"/>
    <n v="60601"/>
    <x v="32"/>
    <d v="2015-05-05T00:00:00"/>
    <n v="-87.96"/>
    <n v="146"/>
    <x v="54"/>
    <n v="44231"/>
    <x v="54"/>
  </r>
  <r>
    <n v="24243"/>
    <s v="Not Specified"/>
    <n v="0.04"/>
    <n v="160.97999999999999"/>
    <n v="30"/>
    <n v="97"/>
    <s v="Max McKenna"/>
    <s v="Delivery Truck"/>
    <s v="Home Office"/>
    <x v="1"/>
    <x v="1"/>
    <s v="Jumbo Drum"/>
    <s v="Office Star - Mid Back Dual function Ergonomic High Back Chair with 2-Way Adjustable Arms"/>
    <n v="0.62"/>
    <s v="United States"/>
    <x v="2"/>
    <s v="Kansas"/>
    <s v="Manhattan"/>
    <n v="66502"/>
    <x v="32"/>
    <d v="2015-05-05T00:00:00"/>
    <n v="255.42"/>
    <n v="9"/>
    <x v="55"/>
    <n v="87306"/>
    <x v="55"/>
  </r>
  <r>
    <n v="24245"/>
    <s v="Not Specified"/>
    <n v="0.06"/>
    <n v="115.99"/>
    <n v="8.99"/>
    <n v="97"/>
    <s v="Max McKenna"/>
    <s v="Regular Air"/>
    <s v="Home Office"/>
    <x v="2"/>
    <x v="5"/>
    <s v="Small Box"/>
    <n v="5185"/>
    <n v="0.57999999999999996"/>
    <s v="United States"/>
    <x v="2"/>
    <s v="Kansas"/>
    <s v="Manhattan"/>
    <n v="66502"/>
    <x v="32"/>
    <d v="2015-05-04T00:00:00"/>
    <n v="685.6146"/>
    <n v="20"/>
    <x v="56"/>
    <n v="87306"/>
    <x v="56"/>
  </r>
  <r>
    <n v="18494"/>
    <s v="Medium"/>
    <n v="0.1"/>
    <n v="19.98"/>
    <n v="4"/>
    <n v="101"/>
    <s v="Claudia Boyle"/>
    <s v="Regular Air"/>
    <s v="Consumer"/>
    <x v="2"/>
    <x v="13"/>
    <s v="Small Box"/>
    <s v="Belkin 105-Key Black Keyboard"/>
    <n v="0.68"/>
    <s v="United States"/>
    <x v="1"/>
    <s v="Maine"/>
    <s v="Biddeford"/>
    <n v="4005"/>
    <x v="33"/>
    <d v="2015-06-24T00:00:00"/>
    <n v="-16.2"/>
    <n v="16"/>
    <x v="57"/>
    <n v="88205"/>
    <x v="57"/>
  </r>
  <r>
    <n v="6014"/>
    <s v="Medium"/>
    <n v="0.04"/>
    <n v="300.98"/>
    <n v="54.92"/>
    <n v="102"/>
    <s v="Caroline Johnston"/>
    <s v="Delivery Truck"/>
    <s v="Consumer"/>
    <x v="1"/>
    <x v="14"/>
    <s v="Jumbo Box"/>
    <s v="Atlantic Metals Mobile 5-Shelf Bookcases, Custom Colors"/>
    <n v="0.55000000000000004"/>
    <s v="United States"/>
    <x v="1"/>
    <s v="Massachusetts"/>
    <s v="Boston"/>
    <n v="2129"/>
    <x v="34"/>
    <d v="2015-04-07T00:00:00"/>
    <n v="2023.75"/>
    <n v="31"/>
    <x v="58"/>
    <n v="42599"/>
    <x v="58"/>
  </r>
  <r>
    <n v="494"/>
    <s v="Medium"/>
    <n v="0.1"/>
    <n v="19.98"/>
    <n v="4"/>
    <n v="102"/>
    <s v="Caroline Johnston"/>
    <s v="Regular Air"/>
    <s v="Consumer"/>
    <x v="2"/>
    <x v="13"/>
    <s v="Small Box"/>
    <s v="Belkin 105-Key Black Keyboard"/>
    <n v="0.68"/>
    <s v="United States"/>
    <x v="1"/>
    <s v="Massachusetts"/>
    <s v="Boston"/>
    <n v="2129"/>
    <x v="33"/>
    <d v="2015-06-24T00:00:00"/>
    <n v="-20.25"/>
    <n v="65"/>
    <x v="59"/>
    <n v="3397"/>
    <x v="59"/>
  </r>
  <r>
    <n v="495"/>
    <s v="Medium"/>
    <n v="0.09"/>
    <n v="2.88"/>
    <n v="1.49"/>
    <n v="102"/>
    <s v="Caroline Johnston"/>
    <s v="Regular Air"/>
    <s v="Consumer"/>
    <x v="0"/>
    <x v="8"/>
    <s v="Small Box"/>
    <s v="Avery Durable Binders"/>
    <n v="0.36"/>
    <s v="United States"/>
    <x v="1"/>
    <s v="Massachusetts"/>
    <s v="Boston"/>
    <n v="2129"/>
    <x v="33"/>
    <d v="2015-06-23T00:00:00"/>
    <n v="-3.3809999999999998"/>
    <n v="17"/>
    <x v="60"/>
    <n v="3397"/>
    <x v="60"/>
  </r>
  <r>
    <n v="24014"/>
    <s v="Medium"/>
    <n v="0.04"/>
    <n v="300.98"/>
    <n v="54.92"/>
    <n v="107"/>
    <s v="Lois Hamilton"/>
    <s v="Delivery Truck"/>
    <s v="Consumer"/>
    <x v="1"/>
    <x v="14"/>
    <s v="Jumbo Box"/>
    <s v="Atlantic Metals Mobile 5-Shelf Bookcases, Custom Colors"/>
    <n v="0.55000000000000004"/>
    <s v="United States"/>
    <x v="1"/>
    <s v="New Hampshire"/>
    <s v="Dover"/>
    <n v="3820"/>
    <x v="34"/>
    <d v="2015-04-07T00:00:00"/>
    <n v="1684.4763"/>
    <n v="8"/>
    <x v="61"/>
    <n v="88204"/>
    <x v="61"/>
  </r>
  <r>
    <n v="18495"/>
    <s v="Medium"/>
    <n v="0.09"/>
    <n v="2.88"/>
    <n v="1.49"/>
    <n v="109"/>
    <s v="Tom McFarland"/>
    <s v="Regular Air"/>
    <s v="Consumer"/>
    <x v="0"/>
    <x v="8"/>
    <s v="Small Box"/>
    <s v="Avery Durable Binders"/>
    <n v="0.36"/>
    <s v="United States"/>
    <x v="1"/>
    <s v="New Jersey"/>
    <s v="Lodi"/>
    <n v="7644"/>
    <x v="33"/>
    <d v="2015-06-23T00:00:00"/>
    <n v="-2.7048000000000001"/>
    <n v="4"/>
    <x v="62"/>
    <n v="88205"/>
    <x v="62"/>
  </r>
  <r>
    <n v="19074"/>
    <s v="High"/>
    <n v="0.03"/>
    <n v="4.26"/>
    <n v="1.2"/>
    <n v="114"/>
    <s v="Ron Newton"/>
    <s v="Regular Air"/>
    <s v="Home Office"/>
    <x v="0"/>
    <x v="0"/>
    <s v="Wrap Bag"/>
    <s v="Dixon Prang® Watercolor Pencils, 10-Color Set with Brush"/>
    <n v="0.44"/>
    <s v="United States"/>
    <x v="0"/>
    <s v="Oregon"/>
    <s v="Lake Oswego"/>
    <n v="97035"/>
    <x v="35"/>
    <d v="2015-01-04T00:00:00"/>
    <n v="18.658000000000001"/>
    <n v="7"/>
    <x v="63"/>
    <n v="89583"/>
    <x v="63"/>
  </r>
  <r>
    <n v="19950"/>
    <s v="Medium"/>
    <n v="0.01"/>
    <n v="4.91"/>
    <n v="0.5"/>
    <n v="114"/>
    <s v="Ron Newton"/>
    <s v="Regular Air"/>
    <s v="Home Office"/>
    <x v="0"/>
    <x v="9"/>
    <s v="Small Box"/>
    <s v="Avery 493"/>
    <n v="0.36"/>
    <s v="United States"/>
    <x v="0"/>
    <s v="Oregon"/>
    <s v="Lake Oswego"/>
    <n v="97035"/>
    <x v="36"/>
    <d v="2015-04-06T00:00:00"/>
    <n v="40.247700000000002"/>
    <n v="12"/>
    <x v="64"/>
    <n v="89584"/>
    <x v="64"/>
  </r>
  <r>
    <n v="19951"/>
    <s v="Medium"/>
    <n v="0.09"/>
    <n v="4"/>
    <n v="1.3"/>
    <n v="114"/>
    <s v="Ron Newton"/>
    <s v="Express Air"/>
    <s v="Home Office"/>
    <x v="0"/>
    <x v="7"/>
    <s v="Wrap Bag"/>
    <s v="EcoTones® Memo Sheets"/>
    <n v="0.37"/>
    <s v="United States"/>
    <x v="0"/>
    <s v="Oregon"/>
    <s v="Lake Oswego"/>
    <n v="97035"/>
    <x v="36"/>
    <d v="2015-04-06T00:00:00"/>
    <n v="14.0898"/>
    <n v="5"/>
    <x v="65"/>
    <n v="89584"/>
    <x v="65"/>
  </r>
  <r>
    <n v="26241"/>
    <s v="Low"/>
    <n v="7.0000000000000007E-2"/>
    <n v="2.12"/>
    <n v="1.99"/>
    <n v="115"/>
    <s v="Dwight M Carr"/>
    <s v="Regular Air"/>
    <s v="Home Office"/>
    <x v="2"/>
    <x v="13"/>
    <s v="Small Pack"/>
    <s v="Fuji Slim Jewel Case CD-R"/>
    <n v="0.55000000000000004"/>
    <s v="United States"/>
    <x v="0"/>
    <s v="Oregon"/>
    <s v="Mcminnville"/>
    <n v="97128"/>
    <x v="37"/>
    <d v="2015-04-11T00:00:00"/>
    <n v="-55.84"/>
    <n v="12"/>
    <x v="66"/>
    <n v="89585"/>
    <x v="66"/>
  </r>
  <r>
    <n v="1074"/>
    <s v="High"/>
    <n v="0.03"/>
    <n v="4.26"/>
    <n v="1.2"/>
    <n v="117"/>
    <s v="Linda Weiss"/>
    <s v="Regular Air"/>
    <s v="Home Office"/>
    <x v="0"/>
    <x v="0"/>
    <s v="Wrap Bag"/>
    <s v="Dixon Prang® Watercolor Pencils, 10-Color Set with Brush"/>
    <n v="0.44"/>
    <s v="United States"/>
    <x v="0"/>
    <s v="Washington"/>
    <s v="Seattle"/>
    <n v="98103"/>
    <x v="35"/>
    <d v="2015-01-04T00:00:00"/>
    <n v="9.82"/>
    <n v="29"/>
    <x v="67"/>
    <n v="7909"/>
    <x v="67"/>
  </r>
  <r>
    <n v="1950"/>
    <s v="Medium"/>
    <n v="0.01"/>
    <n v="4.91"/>
    <n v="0.5"/>
    <n v="117"/>
    <s v="Linda Weiss"/>
    <s v="Regular Air"/>
    <s v="Home Office"/>
    <x v="0"/>
    <x v="9"/>
    <s v="Small Box"/>
    <s v="Avery 493"/>
    <n v="0.36"/>
    <s v="United States"/>
    <x v="0"/>
    <s v="Washington"/>
    <s v="Seattle"/>
    <n v="98103"/>
    <x v="36"/>
    <d v="2015-04-06T00:00:00"/>
    <n v="112.06"/>
    <n v="47"/>
    <x v="68"/>
    <n v="13959"/>
    <x v="68"/>
  </r>
  <r>
    <n v="1951"/>
    <s v="Medium"/>
    <n v="0.09"/>
    <n v="4"/>
    <n v="1.3"/>
    <n v="117"/>
    <s v="Linda Weiss"/>
    <s v="Express Air"/>
    <s v="Home Office"/>
    <x v="0"/>
    <x v="7"/>
    <s v="Wrap Bag"/>
    <s v="EcoTones® Memo Sheets"/>
    <n v="0.37"/>
    <s v="United States"/>
    <x v="0"/>
    <s v="Washington"/>
    <s v="Seattle"/>
    <n v="98103"/>
    <x v="36"/>
    <d v="2015-04-06T00:00:00"/>
    <n v="16.79"/>
    <n v="19"/>
    <x v="69"/>
    <n v="13959"/>
    <x v="69"/>
  </r>
  <r>
    <n v="8241"/>
    <s v="Low"/>
    <n v="7.0000000000000007E-2"/>
    <n v="2.12"/>
    <n v="1.99"/>
    <n v="117"/>
    <s v="Linda Weiss"/>
    <s v="Regular Air"/>
    <s v="Home Office"/>
    <x v="2"/>
    <x v="13"/>
    <s v="Small Pack"/>
    <s v="Fuji Slim Jewel Case CD-R"/>
    <n v="0.55000000000000004"/>
    <s v="United States"/>
    <x v="0"/>
    <s v="Washington"/>
    <s v="Seattle"/>
    <n v="98103"/>
    <x v="37"/>
    <d v="2015-04-11T00:00:00"/>
    <n v="-55.84"/>
    <n v="46"/>
    <x v="70"/>
    <n v="58914"/>
    <x v="70"/>
  </r>
  <r>
    <n v="20688"/>
    <s v="High"/>
    <n v="0.05"/>
    <n v="6.3"/>
    <n v="0.5"/>
    <n v="120"/>
    <s v="Helen H Murphy"/>
    <s v="Regular Air"/>
    <s v="Corporate"/>
    <x v="0"/>
    <x v="9"/>
    <s v="Small Box"/>
    <s v="Avery 51"/>
    <n v="0.39"/>
    <s v="United States"/>
    <x v="0"/>
    <s v="Utah"/>
    <s v="Layton"/>
    <n v="84041"/>
    <x v="38"/>
    <d v="2015-01-13T00:00:00"/>
    <n v="41.296500000000002"/>
    <n v="10"/>
    <x v="71"/>
    <n v="86520"/>
    <x v="71"/>
  </r>
  <r>
    <n v="20689"/>
    <s v="High"/>
    <n v="0.09"/>
    <n v="205.99"/>
    <n v="3"/>
    <n v="120"/>
    <s v="Helen H Murphy"/>
    <s v="Express Air"/>
    <s v="Corporate"/>
    <x v="2"/>
    <x v="5"/>
    <s v="Small Box"/>
    <n v="6185"/>
    <n v="0.57999999999999996"/>
    <s v="United States"/>
    <x v="0"/>
    <s v="Utah"/>
    <s v="Layton"/>
    <n v="84041"/>
    <x v="38"/>
    <d v="2015-01-14T00:00:00"/>
    <n v="1179.0237"/>
    <n v="10"/>
    <x v="72"/>
    <n v="86520"/>
    <x v="72"/>
  </r>
  <r>
    <n v="19942"/>
    <s v="Critical"/>
    <n v="0.06"/>
    <n v="8.57"/>
    <n v="6.14"/>
    <n v="123"/>
    <s v="Shawn Stern"/>
    <s v="Regular Air"/>
    <s v="Home Office"/>
    <x v="0"/>
    <x v="12"/>
    <s v="Small Pack"/>
    <s v="Acme® Office Executive Series Stainless Steel Trimmers"/>
    <n v="0.59"/>
    <s v="United States"/>
    <x v="3"/>
    <s v="Virginia"/>
    <s v="Tysons Corner"/>
    <n v="22102"/>
    <x v="37"/>
    <d v="2015-04-10T00:00:00"/>
    <n v="105.678"/>
    <n v="11"/>
    <x v="73"/>
    <n v="90669"/>
    <x v="73"/>
  </r>
  <r>
    <n v="24319"/>
    <s v="Not Specified"/>
    <n v="0.02"/>
    <n v="1.74"/>
    <n v="4.08"/>
    <n v="129"/>
    <s v="Kara Allison"/>
    <s v="Regular Air"/>
    <s v="Small Business"/>
    <x v="1"/>
    <x v="2"/>
    <s v="Small Pack"/>
    <s v="Eldon Regeneration Recycled Desk Accessories, Smoke"/>
    <n v="0.53"/>
    <s v="United States"/>
    <x v="2"/>
    <s v="Illinois"/>
    <s v="Alton"/>
    <n v="62002"/>
    <x v="39"/>
    <d v="2015-01-28T00:00:00"/>
    <n v="-37.39"/>
    <n v="5"/>
    <x v="74"/>
    <n v="86693"/>
    <x v="74"/>
  </r>
  <r>
    <n v="18161"/>
    <s v="Not Specified"/>
    <n v="7.0000000000000007E-2"/>
    <n v="15.74"/>
    <n v="1.39"/>
    <n v="129"/>
    <s v="Kara Allison"/>
    <s v="Regular Air"/>
    <s v="Small Business"/>
    <x v="0"/>
    <x v="4"/>
    <s v="Small Box"/>
    <s v="#10-4 1/8&quot; x 9 1/2&quot; Premium Diagonal Seam Envelopes"/>
    <n v="0.4"/>
    <s v="United States"/>
    <x v="2"/>
    <s v="Illinois"/>
    <s v="Alton"/>
    <n v="62002"/>
    <x v="40"/>
    <d v="2015-05-26T00:00:00"/>
    <n v="149.8887"/>
    <n v="14"/>
    <x v="75"/>
    <n v="86694"/>
    <x v="75"/>
  </r>
  <r>
    <n v="25762"/>
    <s v="Critical"/>
    <n v="0.04"/>
    <n v="18.97"/>
    <n v="9.5399999999999991"/>
    <n v="136"/>
    <s v="Dale Gillespie"/>
    <s v="Regular Air"/>
    <s v="Small Business"/>
    <x v="0"/>
    <x v="7"/>
    <s v="Small Box"/>
    <s v="Xerox 1939"/>
    <n v="0.37"/>
    <s v="United States"/>
    <x v="0"/>
    <s v="California"/>
    <s v="Petaluma"/>
    <n v="94952"/>
    <x v="41"/>
    <d v="2015-05-17T00:00:00"/>
    <n v="3.04"/>
    <n v="5"/>
    <x v="76"/>
    <n v="88534"/>
    <x v="76"/>
  </r>
  <r>
    <n v="25764"/>
    <s v="Critical"/>
    <n v="0.09"/>
    <n v="10.98"/>
    <n v="3.37"/>
    <n v="136"/>
    <s v="Dale Gillespie"/>
    <s v="Regular Air"/>
    <s v="Small Business"/>
    <x v="0"/>
    <x v="12"/>
    <s v="Small Pack"/>
    <s v="Fiskars® Softgrip Scissors"/>
    <n v="0.56999999999999995"/>
    <s v="United States"/>
    <x v="0"/>
    <s v="California"/>
    <s v="Petaluma"/>
    <n v="94952"/>
    <x v="41"/>
    <d v="2015-05-17T00:00:00"/>
    <n v="2.706"/>
    <n v="8"/>
    <x v="77"/>
    <n v="88534"/>
    <x v="77"/>
  </r>
  <r>
    <n v="24803"/>
    <s v="Critical"/>
    <n v="0.03"/>
    <n v="22.84"/>
    <n v="11.54"/>
    <n v="142"/>
    <s v="Brooke Weeks Taylor"/>
    <s v="Regular Air"/>
    <s v="Small Business"/>
    <x v="0"/>
    <x v="7"/>
    <s v="Small Box"/>
    <s v="Xerox 1964"/>
    <n v="0.39"/>
    <s v="United States"/>
    <x v="1"/>
    <s v="Connecticut"/>
    <s v="Ansonia"/>
    <n v="6401"/>
    <x v="42"/>
    <d v="2015-06-03T00:00:00"/>
    <n v="91.956000000000003"/>
    <n v="13"/>
    <x v="78"/>
    <n v="91087"/>
    <x v="78"/>
  </r>
  <r>
    <n v="24805"/>
    <s v="Critical"/>
    <n v="0.05"/>
    <n v="10.98"/>
    <n v="3.37"/>
    <n v="144"/>
    <s v="Marguerite Moss"/>
    <s v="Regular Air"/>
    <s v="Small Business"/>
    <x v="0"/>
    <x v="12"/>
    <s v="Small Pack"/>
    <s v="Fiskars® Softgrip Scissors"/>
    <n v="0.56999999999999995"/>
    <s v="United States"/>
    <x v="1"/>
    <s v="Massachusetts"/>
    <s v="Yarmouth"/>
    <n v="2664"/>
    <x v="42"/>
    <d v="2015-06-03T00:00:00"/>
    <n v="-2.544"/>
    <n v="6"/>
    <x v="79"/>
    <n v="91087"/>
    <x v="79"/>
  </r>
  <r>
    <n v="24849"/>
    <s v="Medium"/>
    <n v="0.06"/>
    <n v="7.04"/>
    <n v="2.17"/>
    <n v="145"/>
    <s v="Rhonda Ivey"/>
    <s v="Regular Air"/>
    <s v="Small Business"/>
    <x v="0"/>
    <x v="7"/>
    <s v="Wrap Bag"/>
    <s v="Wirebound Message Books, 2 7/8&quot; x 5&quot;, 3 Forms per Page"/>
    <n v="0.38"/>
    <s v="United States"/>
    <x v="1"/>
    <s v="Pennsylvania"/>
    <s v="West Mifflin"/>
    <n v="15122"/>
    <x v="43"/>
    <d v="2015-01-17T00:00:00"/>
    <n v="2.4851999999999999"/>
    <n v="2"/>
    <x v="80"/>
    <n v="91086"/>
    <x v="80"/>
  </r>
  <r>
    <n v="25582"/>
    <s v="Low"/>
    <n v="7.0000000000000007E-2"/>
    <n v="154.13"/>
    <n v="69"/>
    <n v="145"/>
    <s v="Rhonda Ivey"/>
    <s v="Express Air"/>
    <s v="Home Office"/>
    <x v="1"/>
    <x v="11"/>
    <s v="Large Box"/>
    <s v="Laminate Occasional Tables"/>
    <n v="0.68"/>
    <s v="United States"/>
    <x v="1"/>
    <s v="Pennsylvania"/>
    <s v="West Mifflin"/>
    <n v="15122"/>
    <x v="44"/>
    <d v="2015-03-16T00:00:00"/>
    <n v="-634.73410000000001"/>
    <n v="3"/>
    <x v="81"/>
    <n v="91089"/>
    <x v="81"/>
  </r>
  <r>
    <n v="23365"/>
    <s v="Not Specified"/>
    <n v="0.01"/>
    <n v="45.98"/>
    <n v="4.8"/>
    <n v="146"/>
    <s v="Yvonne Fox"/>
    <s v="Regular Air"/>
    <s v="Small Business"/>
    <x v="1"/>
    <x v="2"/>
    <s v="Wrap Bag"/>
    <s v="Tenex B1-RE Series Chair Mats for Low Pile Carpets"/>
    <n v="0.68"/>
    <s v="United States"/>
    <x v="2"/>
    <s v="Texas"/>
    <s v="Watauga"/>
    <n v="76148"/>
    <x v="14"/>
    <d v="2015-03-13T00:00:00"/>
    <n v="133.5771"/>
    <n v="4"/>
    <x v="82"/>
    <n v="91088"/>
    <x v="82"/>
  </r>
  <r>
    <n v="22907"/>
    <s v="Medium"/>
    <n v="0.06"/>
    <n v="180.98"/>
    <n v="26.2"/>
    <n v="146"/>
    <s v="Yvonne Fox"/>
    <s v="Delivery Truck"/>
    <s v="Corporate"/>
    <x v="1"/>
    <x v="1"/>
    <s v="Jumbo Drum"/>
    <s v="Global Ergonomic Managers Chair"/>
    <n v="0.59"/>
    <s v="United States"/>
    <x v="2"/>
    <s v="Texas"/>
    <s v="Watauga"/>
    <n v="76148"/>
    <x v="45"/>
    <d v="2015-04-24T00:00:00"/>
    <n v="251.4084"/>
    <n v="5"/>
    <x v="83"/>
    <n v="91090"/>
    <x v="83"/>
  </r>
  <r>
    <n v="19058"/>
    <s v="Critical"/>
    <n v="0.09"/>
    <n v="32.979999999999997"/>
    <n v="5.5"/>
    <n v="151"/>
    <s v="Geoffrey Zhu"/>
    <s v="Regular Air"/>
    <s v="Home Office"/>
    <x v="2"/>
    <x v="13"/>
    <s v="Small Box"/>
    <s v="PC Concepts 116 Key Quantum 3000 Keyboard"/>
    <n v="0.75"/>
    <s v="United States"/>
    <x v="3"/>
    <s v="Tennessee"/>
    <s v="Kingsport"/>
    <n v="37664"/>
    <x v="46"/>
    <d v="2015-01-23T00:00:00"/>
    <n v="-20.257999999999999"/>
    <n v="2"/>
    <x v="84"/>
    <n v="89521"/>
    <x v="84"/>
  </r>
  <r>
    <n v="20679"/>
    <s v="High"/>
    <n v="0.09"/>
    <n v="5.98"/>
    <n v="2.5"/>
    <n v="151"/>
    <s v="Geoffrey Zhu"/>
    <s v="Regular Air"/>
    <s v="Home Office"/>
    <x v="0"/>
    <x v="4"/>
    <s v="Small Box"/>
    <s v="Wausau Papers Astrobrights® Colored Envelopes"/>
    <n v="0.36"/>
    <s v="United States"/>
    <x v="3"/>
    <s v="Tennessee"/>
    <s v="Kingsport"/>
    <n v="37664"/>
    <x v="18"/>
    <d v="2015-04-22T00:00:00"/>
    <n v="13.896000000000001"/>
    <n v="5"/>
    <x v="85"/>
    <n v="89523"/>
    <x v="85"/>
  </r>
  <r>
    <n v="21103"/>
    <s v="Critical"/>
    <n v="0.09"/>
    <n v="2.88"/>
    <n v="0.7"/>
    <n v="152"/>
    <s v="Kent Kerr"/>
    <s v="Regular Air"/>
    <s v="Consumer"/>
    <x v="0"/>
    <x v="0"/>
    <s v="Wrap Bag"/>
    <s v="Newell 335"/>
    <n v="0.56000000000000005"/>
    <s v="United States"/>
    <x v="3"/>
    <s v="Tennessee"/>
    <s v="Knoxville"/>
    <n v="37918"/>
    <x v="43"/>
    <d v="2015-01-16T00:00:00"/>
    <n v="-172.71799999999999"/>
    <n v="2"/>
    <x v="86"/>
    <n v="89520"/>
    <x v="86"/>
  </r>
  <r>
    <n v="22243"/>
    <s v="Low"/>
    <n v="0.01"/>
    <n v="79.52"/>
    <n v="48.2"/>
    <n v="152"/>
    <s v="Kent Kerr"/>
    <s v="Regular Air"/>
    <s v="Home Office"/>
    <x v="1"/>
    <x v="2"/>
    <s v="Medium Box"/>
    <s v="Eldon Cleatmat Plus™ Chair Mats for High Pile Carpets"/>
    <n v="0.74"/>
    <s v="United States"/>
    <x v="3"/>
    <s v="Tennessee"/>
    <s v="Knoxville"/>
    <n v="37918"/>
    <x v="47"/>
    <d v="2015-04-26T00:00:00"/>
    <n v="-40.683999999999997"/>
    <n v="8"/>
    <x v="87"/>
    <n v="89522"/>
    <x v="87"/>
  </r>
  <r>
    <n v="21767"/>
    <s v="High"/>
    <n v="0.01"/>
    <n v="65.989999999999995"/>
    <n v="8.99"/>
    <n v="152"/>
    <s v="Kent Kerr"/>
    <s v="Regular Air"/>
    <s v="Consumer"/>
    <x v="2"/>
    <x v="5"/>
    <s v="Small Box"/>
    <s v="StarTAC Analog"/>
    <n v="0.6"/>
    <s v="United States"/>
    <x v="3"/>
    <s v="Tennessee"/>
    <s v="Knoxville"/>
    <n v="37918"/>
    <x v="48"/>
    <d v="2015-04-01T00:00:00"/>
    <n v="97.86"/>
    <n v="5"/>
    <x v="88"/>
    <n v="89524"/>
    <x v="88"/>
  </r>
  <r>
    <n v="22470"/>
    <s v="Low"/>
    <n v="0.1"/>
    <n v="39.979999999999997"/>
    <n v="4"/>
    <n v="152"/>
    <s v="Kent Kerr"/>
    <s v="Regular Air"/>
    <s v="Small Business"/>
    <x v="2"/>
    <x v="13"/>
    <s v="Small Box"/>
    <s v="Microsoft Natural Keyboard Elite"/>
    <n v="0.7"/>
    <s v="United States"/>
    <x v="3"/>
    <s v="Tennessee"/>
    <s v="Knoxville"/>
    <n v="37918"/>
    <x v="49"/>
    <d v="2015-06-22T00:00:00"/>
    <n v="360.24"/>
    <n v="21"/>
    <x v="89"/>
    <n v="89525"/>
    <x v="89"/>
  </r>
  <r>
    <n v="22329"/>
    <s v="Critical"/>
    <n v="0.01"/>
    <n v="95.99"/>
    <n v="4.9000000000000004"/>
    <n v="156"/>
    <s v="Diana Xu"/>
    <s v="Regular Air"/>
    <s v="Corporate"/>
    <x v="2"/>
    <x v="5"/>
    <s v="Small Box"/>
    <s v="T60"/>
    <n v="0.56000000000000005"/>
    <s v="United States"/>
    <x v="0"/>
    <s v="Colorado"/>
    <s v="Fort Collins"/>
    <n v="80525"/>
    <x v="50"/>
    <d v="2015-05-15T00:00:00"/>
    <n v="713.88"/>
    <n v="13"/>
    <x v="90"/>
    <n v="87671"/>
    <x v="90"/>
  </r>
  <r>
    <n v="20324"/>
    <s v="High"/>
    <n v="0.03"/>
    <n v="10.89"/>
    <n v="4.5"/>
    <n v="156"/>
    <s v="Diana Xu"/>
    <s v="Regular Air"/>
    <s v="Corporate"/>
    <x v="0"/>
    <x v="15"/>
    <s v="Small Box"/>
    <s v="Belkin 6 Outlet Metallic Surge Strip"/>
    <n v="0.59"/>
    <s v="United States"/>
    <x v="0"/>
    <s v="Colorado"/>
    <s v="Fort Collins"/>
    <n v="80525"/>
    <x v="51"/>
    <d v="2015-01-26T00:00:00"/>
    <n v="-18.64"/>
    <n v="3"/>
    <x v="91"/>
    <n v="87672"/>
    <x v="91"/>
  </r>
  <r>
    <n v="26102"/>
    <s v="Medium"/>
    <n v="0.05"/>
    <n v="100.98"/>
    <n v="35.840000000000003"/>
    <n v="164"/>
    <s v="Robin Kramer Vaughn"/>
    <s v="Delivery Truck"/>
    <s v="Home Office"/>
    <x v="1"/>
    <x v="14"/>
    <s v="Jumbo Box"/>
    <s v="Bush Westfield Collection Bookcases, Fully Assembled"/>
    <n v="0.62"/>
    <s v="United States"/>
    <x v="0"/>
    <s v="Washington"/>
    <s v="Richland"/>
    <n v="99352"/>
    <x v="22"/>
    <d v="2015-01-04T00:00:00"/>
    <n v="-111.4"/>
    <n v="7"/>
    <x v="92"/>
    <n v="89961"/>
    <x v="92"/>
  </r>
  <r>
    <n v="26103"/>
    <s v="Medium"/>
    <n v="0.02"/>
    <n v="4.9800000000000004"/>
    <n v="5.49"/>
    <n v="164"/>
    <s v="Robin Kramer Vaughn"/>
    <s v="Regular Air"/>
    <s v="Home Office"/>
    <x v="0"/>
    <x v="7"/>
    <s v="Small Box"/>
    <s v="Xerox 1952"/>
    <n v="0.38"/>
    <s v="United States"/>
    <x v="0"/>
    <s v="Washington"/>
    <s v="Richland"/>
    <n v="99352"/>
    <x v="22"/>
    <d v="2015-01-03T00:00:00"/>
    <n v="-77.03"/>
    <n v="9"/>
    <x v="93"/>
    <n v="89961"/>
    <x v="93"/>
  </r>
  <r>
    <n v="21040"/>
    <s v="Low"/>
    <n v="0.08"/>
    <n v="399.98"/>
    <n v="12.06"/>
    <n v="166"/>
    <s v="Vicki Hauser"/>
    <s v="Delivery Truck"/>
    <s v="Consumer"/>
    <x v="2"/>
    <x v="6"/>
    <s v="Jumbo Box"/>
    <s v="Okidata ML320 Series Turbo Dot Matrix Printers"/>
    <n v="0.56000000000000005"/>
    <s v="United States"/>
    <x v="3"/>
    <s v="Tennessee"/>
    <s v="Lebanon"/>
    <n v="37087"/>
    <x v="52"/>
    <d v="2015-01-18T00:00:00"/>
    <n v="28.514099999999999"/>
    <n v="5"/>
    <x v="94"/>
    <n v="89426"/>
    <x v="94"/>
  </r>
  <r>
    <n v="19315"/>
    <s v="Low"/>
    <n v="0.08"/>
    <n v="43.22"/>
    <n v="16.71"/>
    <n v="169"/>
    <s v="Janice Cole"/>
    <s v="Regular Air"/>
    <s v="Corporate"/>
    <x v="2"/>
    <x v="13"/>
    <s v="Small Box"/>
    <s v="Fellowes Mobile Numeric Keypad, Graphite"/>
    <n v="0.66"/>
    <s v="United States"/>
    <x v="3"/>
    <s v="Louisiana"/>
    <s v="Baton Rouge"/>
    <n v="70802"/>
    <x v="35"/>
    <d v="2015-01-05T00:00:00"/>
    <n v="280.27458000000001"/>
    <n v="3"/>
    <x v="95"/>
    <n v="87463"/>
    <x v="95"/>
  </r>
  <r>
    <n v="19316"/>
    <s v="Low"/>
    <n v="0.05"/>
    <n v="574.74"/>
    <n v="24.49"/>
    <n v="169"/>
    <s v="Janice Cole"/>
    <s v="Regular Air"/>
    <s v="Corporate"/>
    <x v="2"/>
    <x v="6"/>
    <s v="Large Box"/>
    <s v="Polycom ViaVideo™ Desktop Video Communications Unit"/>
    <n v="0.37"/>
    <s v="United States"/>
    <x v="3"/>
    <s v="Louisiana"/>
    <s v="Baton Rouge"/>
    <n v="70802"/>
    <x v="35"/>
    <d v="2015-01-10T00:00:00"/>
    <n v="-112.4263"/>
    <n v="12"/>
    <x v="96"/>
    <n v="87463"/>
    <x v="96"/>
  </r>
  <r>
    <n v="19317"/>
    <s v="Low"/>
    <n v="0.04"/>
    <n v="10.14"/>
    <n v="2.27"/>
    <n v="169"/>
    <s v="Janice Cole"/>
    <s v="Regular Air"/>
    <s v="Corporate"/>
    <x v="0"/>
    <x v="7"/>
    <s v="Wrap Bag"/>
    <s v="Staples Wirebound Steno Books, 6&quot; x 9&quot;, 12/Pack"/>
    <n v="0.36"/>
    <s v="United States"/>
    <x v="3"/>
    <s v="Louisiana"/>
    <s v="Baton Rouge"/>
    <n v="70802"/>
    <x v="35"/>
    <d v="2015-01-07T00:00:00"/>
    <n v="24.923999999999999"/>
    <n v="3"/>
    <x v="97"/>
    <n v="87463"/>
    <x v="97"/>
  </r>
  <r>
    <n v="19314"/>
    <s v="Critical"/>
    <n v="0.05"/>
    <n v="1.88"/>
    <n v="1.49"/>
    <n v="171"/>
    <s v="Christina Matthews"/>
    <s v="Regular Air"/>
    <s v="Corporate"/>
    <x v="0"/>
    <x v="8"/>
    <s v="Small Box"/>
    <s v="Staples® General Use 3-Ring Binders"/>
    <n v="0.37"/>
    <s v="United States"/>
    <x v="1"/>
    <s v="New Jersey"/>
    <s v="Fort Lee"/>
    <n v="7024"/>
    <x v="53"/>
    <d v="2015-04-15T00:00:00"/>
    <n v="-2.9095"/>
    <n v="1"/>
    <x v="98"/>
    <n v="87464"/>
    <x v="98"/>
  </r>
  <r>
    <n v="5361"/>
    <s v="Critical"/>
    <n v="0.02"/>
    <n v="49.99"/>
    <n v="19.989999999999998"/>
    <n v="181"/>
    <s v="Wesley Waller"/>
    <s v="Regular Air"/>
    <s v="Small Business"/>
    <x v="2"/>
    <x v="13"/>
    <s v="Small Box"/>
    <s v="Zoom V.92 USB External Faxmodem"/>
    <n v="0.41"/>
    <s v="United States"/>
    <x v="0"/>
    <s v="California"/>
    <s v="San Francisco"/>
    <n v="94122"/>
    <x v="54"/>
    <d v="2015-02-21T00:00:00"/>
    <n v="-76.89"/>
    <n v="18"/>
    <x v="99"/>
    <n v="38087"/>
    <x v="99"/>
  </r>
  <r>
    <n v="522"/>
    <s v="High"/>
    <n v="7.0000000000000007E-2"/>
    <n v="1.68"/>
    <n v="1.57"/>
    <n v="181"/>
    <s v="Wesley Waller"/>
    <s v="Regular Air"/>
    <s v="Corporate"/>
    <x v="0"/>
    <x v="0"/>
    <s v="Wrap Bag"/>
    <s v="Newell 323"/>
    <n v="0.59"/>
    <s v="United States"/>
    <x v="0"/>
    <s v="California"/>
    <s v="San Francisco"/>
    <n v="94122"/>
    <x v="55"/>
    <d v="2015-05-23T00:00:00"/>
    <n v="-35.75"/>
    <n v="116"/>
    <x v="100"/>
    <n v="3585"/>
    <x v="100"/>
  </r>
  <r>
    <n v="23361"/>
    <s v="Critical"/>
    <n v="0.02"/>
    <n v="49.99"/>
    <n v="19.989999999999998"/>
    <n v="184"/>
    <s v="Phillip Holmes"/>
    <s v="Regular Air"/>
    <s v="Small Business"/>
    <x v="2"/>
    <x v="13"/>
    <s v="Small Box"/>
    <s v="Zoom V.92 USB External Faxmodem"/>
    <n v="0.41"/>
    <s v="United States"/>
    <x v="1"/>
    <s v="Massachusetts"/>
    <s v="Arlington"/>
    <n v="2474"/>
    <x v="54"/>
    <d v="2015-02-21T00:00:00"/>
    <n v="-76.89"/>
    <n v="5"/>
    <x v="101"/>
    <n v="88360"/>
    <x v="101"/>
  </r>
  <r>
    <n v="18521"/>
    <s v="High"/>
    <n v="7.0000000000000007E-2"/>
    <n v="10.06"/>
    <n v="2.06"/>
    <n v="188"/>
    <s v="Alex Harrell"/>
    <s v="Regular Air"/>
    <s v="Corporate"/>
    <x v="0"/>
    <x v="7"/>
    <s v="Wrap Bag"/>
    <s v="Riverleaf Stik-Withit® Designer Note Cubes®"/>
    <n v="0.39"/>
    <s v="United States"/>
    <x v="2"/>
    <s v="Texas"/>
    <s v="Gainesville"/>
    <n v="76240"/>
    <x v="55"/>
    <d v="2015-05-22T00:00:00"/>
    <n v="152.65559999999999"/>
    <n v="23"/>
    <x v="102"/>
    <n v="88361"/>
    <x v="102"/>
  </r>
  <r>
    <n v="18522"/>
    <s v="High"/>
    <n v="7.0000000000000007E-2"/>
    <n v="1.68"/>
    <n v="1.57"/>
    <n v="188"/>
    <s v="Alex Harrell"/>
    <s v="Regular Air"/>
    <s v="Corporate"/>
    <x v="0"/>
    <x v="0"/>
    <s v="Wrap Bag"/>
    <s v="Newell 323"/>
    <n v="0.59"/>
    <s v="United States"/>
    <x v="2"/>
    <s v="Texas"/>
    <s v="Gainesville"/>
    <n v="76240"/>
    <x v="55"/>
    <d v="2015-05-23T00:00:00"/>
    <n v="7.15"/>
    <n v="29"/>
    <x v="103"/>
    <n v="88361"/>
    <x v="103"/>
  </r>
  <r>
    <n v="18817"/>
    <s v="High"/>
    <n v="0.1"/>
    <n v="58.1"/>
    <n v="1.49"/>
    <n v="190"/>
    <s v="Lloyd Norris"/>
    <s v="Regular Air"/>
    <s v="Corporate"/>
    <x v="0"/>
    <x v="8"/>
    <s v="Small Box"/>
    <s v="Avery Arch Ring Binders"/>
    <n v="0.38"/>
    <s v="United States"/>
    <x v="2"/>
    <s v="Illinois"/>
    <s v="Arlington Heights"/>
    <n v="60004"/>
    <x v="6"/>
    <d v="2015-02-13T00:00:00"/>
    <n v="113.6499"/>
    <n v="3"/>
    <x v="104"/>
    <n v="89092"/>
    <x v="104"/>
  </r>
  <r>
    <n v="18818"/>
    <s v="High"/>
    <n v="0.01"/>
    <n v="80.48"/>
    <n v="4.5"/>
    <n v="191"/>
    <s v="Gerald Kearney"/>
    <s v="Regular Air"/>
    <s v="Corporate"/>
    <x v="0"/>
    <x v="15"/>
    <s v="Small Box"/>
    <s v="APC 7 Outlet Network SurgeArrest Surge Protector"/>
    <n v="0.55000000000000004"/>
    <s v="United States"/>
    <x v="2"/>
    <s v="Illinois"/>
    <s v="Aurora"/>
    <n v="60505"/>
    <x v="6"/>
    <d v="2015-02-15T00:00:00"/>
    <n v="-35.474400000000003"/>
    <n v="1"/>
    <x v="105"/>
    <n v="89092"/>
    <x v="105"/>
  </r>
  <r>
    <n v="20520"/>
    <s v="Not Specified"/>
    <n v="0.05"/>
    <n v="3.8"/>
    <n v="1.49"/>
    <n v="191"/>
    <s v="Gerald Kearney"/>
    <s v="Regular Air"/>
    <s v="Corporate"/>
    <x v="0"/>
    <x v="8"/>
    <s v="Small Box"/>
    <s v="Durable Pressboard Binders"/>
    <n v="0.38"/>
    <s v="United States"/>
    <x v="2"/>
    <s v="Illinois"/>
    <s v="Aurora"/>
    <n v="60505"/>
    <x v="37"/>
    <d v="2015-04-11T00:00:00"/>
    <n v="14.467000000000001"/>
    <n v="14"/>
    <x v="106"/>
    <n v="89093"/>
    <x v="106"/>
  </r>
  <r>
    <n v="20521"/>
    <s v="Not Specified"/>
    <n v="0.09"/>
    <n v="30.73"/>
    <n v="4"/>
    <n v="191"/>
    <s v="Gerald Kearney"/>
    <s v="Regular Air"/>
    <s v="Corporate"/>
    <x v="2"/>
    <x v="13"/>
    <s v="Small Box"/>
    <s v="Fellowes 17-key keypad for PS/2 interface"/>
    <n v="0.75"/>
    <s v="United States"/>
    <x v="2"/>
    <s v="Illinois"/>
    <s v="Aurora"/>
    <n v="60505"/>
    <x v="37"/>
    <d v="2015-04-09T00:00:00"/>
    <n v="-99.986400000000003"/>
    <n v="7"/>
    <x v="107"/>
    <n v="89093"/>
    <x v="107"/>
  </r>
  <r>
    <n v="20522"/>
    <s v="Not Specified"/>
    <n v="0"/>
    <n v="125.99"/>
    <n v="8.08"/>
    <n v="191"/>
    <s v="Gerald Kearney"/>
    <s v="Regular Air"/>
    <s v="Corporate"/>
    <x v="2"/>
    <x v="5"/>
    <s v="Small Box"/>
    <s v="StarTAC ST7762"/>
    <n v="0.56999999999999995"/>
    <s v="United States"/>
    <x v="2"/>
    <s v="Illinois"/>
    <s v="Aurora"/>
    <n v="60505"/>
    <x v="37"/>
    <d v="2015-04-10T00:00:00"/>
    <n v="1348.59672"/>
    <n v="22"/>
    <x v="108"/>
    <n v="89093"/>
    <x v="108"/>
  </r>
  <r>
    <n v="19663"/>
    <s v="Not Specified"/>
    <n v="0"/>
    <n v="213.45"/>
    <n v="14.7"/>
    <n v="193"/>
    <s v="Danny Hong"/>
    <s v="Delivery Truck"/>
    <s v="Corporate"/>
    <x v="2"/>
    <x v="6"/>
    <s v="Jumbo Drum"/>
    <s v="Panasonic KX-P2130 Dot Matrix Printer"/>
    <n v="0.59"/>
    <s v="United States"/>
    <x v="0"/>
    <s v="Utah"/>
    <s v="Layton"/>
    <n v="84041"/>
    <x v="35"/>
    <d v="2015-01-05T00:00:00"/>
    <n v="-560.81417999999996"/>
    <n v="1"/>
    <x v="109"/>
    <n v="90430"/>
    <x v="109"/>
  </r>
  <r>
    <n v="20645"/>
    <s v="Medium"/>
    <n v="7.0000000000000007E-2"/>
    <n v="6.54"/>
    <n v="5.27"/>
    <n v="193"/>
    <s v="Danny Hong"/>
    <s v="Regular Air"/>
    <s v="Corporate"/>
    <x v="0"/>
    <x v="8"/>
    <s v="Small Box"/>
    <s v="Wilson Jones® Four-Pocket Poly Binders"/>
    <n v="0.36"/>
    <s v="United States"/>
    <x v="0"/>
    <s v="Utah"/>
    <s v="Layton"/>
    <n v="84041"/>
    <x v="25"/>
    <d v="2015-04-01T00:00:00"/>
    <n v="-66.044499999999999"/>
    <n v="21"/>
    <x v="110"/>
    <n v="90432"/>
    <x v="110"/>
  </r>
  <r>
    <n v="24273"/>
    <s v="Not Specified"/>
    <n v="0.02"/>
    <n v="6.48"/>
    <n v="9.17"/>
    <n v="194"/>
    <s v="Tammy Goldman"/>
    <s v="Regular Air"/>
    <s v="Corporate"/>
    <x v="0"/>
    <x v="7"/>
    <s v="Small Box"/>
    <s v="Xerox 1996"/>
    <n v="0.37"/>
    <s v="United States"/>
    <x v="0"/>
    <s v="Utah"/>
    <s v="Lehi"/>
    <n v="84043"/>
    <x v="56"/>
    <d v="2015-01-11T00:00:00"/>
    <n v="-105.68519999999999"/>
    <n v="4"/>
    <x v="111"/>
    <n v="90431"/>
    <x v="111"/>
  </r>
  <r>
    <n v="20646"/>
    <s v="Medium"/>
    <n v="0.09"/>
    <n v="3.29"/>
    <n v="1.35"/>
    <n v="194"/>
    <s v="Tammy Goldman"/>
    <s v="Regular Air"/>
    <s v="Corporate"/>
    <x v="0"/>
    <x v="3"/>
    <s v="Wrap Bag"/>
    <s v="Acco® Hot Clips™ Clips to Go"/>
    <n v="0.4"/>
    <s v="United States"/>
    <x v="0"/>
    <s v="Utah"/>
    <s v="Lehi"/>
    <n v="84043"/>
    <x v="25"/>
    <d v="2015-04-01T00:00:00"/>
    <n v="15.66"/>
    <n v="23"/>
    <x v="112"/>
    <n v="90432"/>
    <x v="112"/>
  </r>
  <r>
    <n v="25158"/>
    <s v="Critical"/>
    <n v="0"/>
    <n v="161.55000000000001"/>
    <n v="19.989999999999998"/>
    <n v="197"/>
    <s v="Samantha Weaver"/>
    <s v="Regular Air"/>
    <s v="Small Business"/>
    <x v="0"/>
    <x v="10"/>
    <s v="Small Box"/>
    <s v="Fellowes Super Stor/Drawer® Files"/>
    <n v="0.66"/>
    <s v="United States"/>
    <x v="2"/>
    <s v="Kansas"/>
    <s v="Overland Park"/>
    <n v="66212"/>
    <x v="57"/>
    <d v="2015-04-04T00:00:00"/>
    <n v="1167.1579999999999"/>
    <n v="19"/>
    <x v="113"/>
    <n v="88921"/>
    <x v="113"/>
  </r>
  <r>
    <n v="7158"/>
    <s v="Critical"/>
    <n v="0"/>
    <n v="161.55000000000001"/>
    <n v="19.989999999999998"/>
    <n v="198"/>
    <s v="Leroy Blanchard"/>
    <s v="Regular Air"/>
    <s v="Small Business"/>
    <x v="0"/>
    <x v="10"/>
    <s v="Small Box"/>
    <s v="Fellowes Super Stor/Drawer® Files"/>
    <n v="0.66"/>
    <s v="United States"/>
    <x v="2"/>
    <s v="Michigan"/>
    <s v="Detroit"/>
    <n v="48138"/>
    <x v="57"/>
    <d v="2015-04-04T00:00:00"/>
    <n v="1014.92"/>
    <n v="77"/>
    <x v="114"/>
    <n v="51072"/>
    <x v="114"/>
  </r>
  <r>
    <n v="22136"/>
    <s v="Not Specified"/>
    <n v="0.09"/>
    <n v="12.28"/>
    <n v="4.8600000000000003"/>
    <n v="202"/>
    <s v="Max Small"/>
    <s v="Regular Air"/>
    <s v="Corporate"/>
    <x v="0"/>
    <x v="7"/>
    <s v="Small Box"/>
    <s v="Xerox 1933"/>
    <n v="0.38"/>
    <s v="United States"/>
    <x v="2"/>
    <s v="Oklahoma"/>
    <s v="Bartlesville"/>
    <n v="74006"/>
    <x v="58"/>
    <d v="2015-04-28T00:00:00"/>
    <n v="1.73"/>
    <n v="3"/>
    <x v="115"/>
    <n v="88971"/>
    <x v="115"/>
  </r>
  <r>
    <n v="18783"/>
    <s v="High"/>
    <n v="0.03"/>
    <n v="7.37"/>
    <n v="5.53"/>
    <n v="202"/>
    <s v="Max Small"/>
    <s v="Regular Air"/>
    <s v="Corporate"/>
    <x v="2"/>
    <x v="13"/>
    <s v="Small Pack"/>
    <s v="Imation 3.5&quot; Unformatted DS/HD Diskettes, 10/Box"/>
    <n v="0.69"/>
    <s v="United States"/>
    <x v="2"/>
    <s v="Oklahoma"/>
    <s v="Bartlesville"/>
    <n v="74006"/>
    <x v="59"/>
    <d v="2015-01-18T00:00:00"/>
    <n v="-133.69999999999999"/>
    <n v="11"/>
    <x v="116"/>
    <n v="88972"/>
    <x v="116"/>
  </r>
  <r>
    <n v="21401"/>
    <s v="Low"/>
    <n v="0.05"/>
    <n v="1.86"/>
    <n v="2.58"/>
    <n v="210"/>
    <s v="Floyd Dale"/>
    <s v="Regular Air"/>
    <s v="Home Office"/>
    <x v="0"/>
    <x v="3"/>
    <s v="Wrap Bag"/>
    <s v="Super Bands, 12/Pack"/>
    <n v="0.82"/>
    <s v="United States"/>
    <x v="1"/>
    <s v="New York"/>
    <s v="Troy"/>
    <n v="12180"/>
    <x v="60"/>
    <d v="2015-01-21T00:00:00"/>
    <n v="-66.62"/>
    <n v="9"/>
    <x v="117"/>
    <n v="85965"/>
    <x v="117"/>
  </r>
  <r>
    <n v="23097"/>
    <s v="Medium"/>
    <n v="0.09"/>
    <n v="5.4"/>
    <n v="7.78"/>
    <n v="210"/>
    <s v="Floyd Dale"/>
    <s v="Express Air"/>
    <s v="Home Office"/>
    <x v="0"/>
    <x v="8"/>
    <s v="Small Box"/>
    <s v="3M Organizer Strips"/>
    <n v="0.37"/>
    <s v="United States"/>
    <x v="1"/>
    <s v="New York"/>
    <s v="Troy"/>
    <n v="12180"/>
    <x v="42"/>
    <d v="2015-06-02T00:00:00"/>
    <n v="-21.487749999999998"/>
    <n v="4"/>
    <x v="118"/>
    <n v="85966"/>
    <x v="118"/>
  </r>
  <r>
    <n v="23098"/>
    <s v="Medium"/>
    <n v="0.02"/>
    <n v="20.28"/>
    <n v="6.68"/>
    <n v="210"/>
    <s v="Floyd Dale"/>
    <s v="Regular Air"/>
    <s v="Home Office"/>
    <x v="1"/>
    <x v="2"/>
    <s v="Small Box"/>
    <s v="Seth Thomas 8 1/2&quot; Cubicle Clock"/>
    <n v="0.53"/>
    <s v="United States"/>
    <x v="1"/>
    <s v="New York"/>
    <s v="Troy"/>
    <n v="12180"/>
    <x v="42"/>
    <d v="2015-06-02T00:00:00"/>
    <n v="44.677500000000002"/>
    <n v="3"/>
    <x v="119"/>
    <n v="85966"/>
    <x v="119"/>
  </r>
  <r>
    <n v="23099"/>
    <s v="Medium"/>
    <n v="0"/>
    <n v="11.55"/>
    <n v="2.36"/>
    <n v="210"/>
    <s v="Floyd Dale"/>
    <s v="Regular Air"/>
    <s v="Home Office"/>
    <x v="0"/>
    <x v="0"/>
    <s v="Wrap Bag"/>
    <s v="Newell 309"/>
    <n v="0.55000000000000004"/>
    <s v="United States"/>
    <x v="1"/>
    <s v="New York"/>
    <s v="Troy"/>
    <n v="12180"/>
    <x v="42"/>
    <d v="2015-06-03T00:00:00"/>
    <n v="23.594999999999999"/>
    <n v="5"/>
    <x v="120"/>
    <n v="85966"/>
    <x v="120"/>
  </r>
  <r>
    <n v="23605"/>
    <s v="Medium"/>
    <n v="0.01"/>
    <n v="10.06"/>
    <n v="2.06"/>
    <n v="211"/>
    <s v="Anna Wood"/>
    <s v="Regular Air"/>
    <s v="Consumer"/>
    <x v="0"/>
    <x v="7"/>
    <s v="Wrap Bag"/>
    <s v="Riverleaf Stik-Withit® Designer Note Cubes®"/>
    <n v="0.39"/>
    <s v="United States"/>
    <x v="1"/>
    <s v="New York"/>
    <s v="Utica"/>
    <n v="13501"/>
    <x v="61"/>
    <d v="2015-01-08T00:00:00"/>
    <n v="7.59"/>
    <n v="2"/>
    <x v="121"/>
    <n v="85964"/>
    <x v="121"/>
  </r>
  <r>
    <n v="23606"/>
    <s v="Medium"/>
    <n v="0"/>
    <n v="65.989999999999995"/>
    <n v="5.92"/>
    <n v="211"/>
    <s v="Anna Wood"/>
    <s v="Regular Air"/>
    <s v="Consumer"/>
    <x v="2"/>
    <x v="5"/>
    <s v="Small Box"/>
    <n v="252"/>
    <n v="0.55000000000000004"/>
    <s v="United States"/>
    <x v="1"/>
    <s v="New York"/>
    <s v="Utica"/>
    <n v="13501"/>
    <x v="61"/>
    <d v="2015-01-08T00:00:00"/>
    <n v="-107.98699999999999"/>
    <n v="3"/>
    <x v="122"/>
    <n v="85964"/>
    <x v="122"/>
  </r>
  <r>
    <n v="23100"/>
    <s v="Medium"/>
    <n v="0.05"/>
    <n v="2.08"/>
    <n v="2.56"/>
    <n v="211"/>
    <s v="Anna Wood"/>
    <s v="Regular Air"/>
    <s v="Home Office"/>
    <x v="0"/>
    <x v="12"/>
    <s v="Small Pack"/>
    <s v="Kleencut® Forged Office Shears by Acme United Corporation"/>
    <n v="0.55000000000000004"/>
    <s v="United States"/>
    <x v="1"/>
    <s v="New York"/>
    <s v="Utica"/>
    <n v="13501"/>
    <x v="42"/>
    <d v="2015-06-03T00:00:00"/>
    <n v="-36.25"/>
    <n v="20"/>
    <x v="123"/>
    <n v="85966"/>
    <x v="123"/>
  </r>
  <r>
    <n v="26303"/>
    <s v="Medium"/>
    <n v="0.05"/>
    <n v="119.99"/>
    <n v="56.14"/>
    <n v="218"/>
    <s v="Frances Saunders"/>
    <s v="Delivery Truck"/>
    <s v="Consumer"/>
    <x v="2"/>
    <x v="6"/>
    <s v="Jumbo Box"/>
    <s v="Hewlett-Packard 2600DN Business Color Inkjet Printer"/>
    <n v="0.39"/>
    <s v="United States"/>
    <x v="0"/>
    <s v="Utah"/>
    <s v="Murray"/>
    <n v="84107"/>
    <x v="62"/>
    <d v="2015-06-11T00:00:00"/>
    <n v="-102.5121"/>
    <n v="6"/>
    <x v="124"/>
    <n v="88048"/>
    <x v="124"/>
  </r>
  <r>
    <n v="21203"/>
    <s v="Medium"/>
    <n v="0.03"/>
    <n v="60.89"/>
    <n v="32.409999999999997"/>
    <n v="228"/>
    <s v="Colleen Andrews"/>
    <s v="Delivery Truck"/>
    <s v="Small Business"/>
    <x v="1"/>
    <x v="1"/>
    <s v="Jumbo Drum"/>
    <s v="Global Push Button Manager's Chair, Indigo"/>
    <n v="0.56000000000000005"/>
    <s v="United States"/>
    <x v="3"/>
    <s v="North Carolina"/>
    <s v="Mint Hill"/>
    <n v="28227"/>
    <x v="57"/>
    <d v="2015-04-03T00:00:00"/>
    <n v="36.353999999999999"/>
    <n v="7"/>
    <x v="125"/>
    <n v="88527"/>
    <x v="125"/>
  </r>
  <r>
    <n v="25500"/>
    <s v="Medium"/>
    <n v="7.0000000000000007E-2"/>
    <n v="5.81"/>
    <n v="8.49"/>
    <n v="233"/>
    <s v="Michele Bullard"/>
    <s v="Regular Air"/>
    <s v="Small Business"/>
    <x v="0"/>
    <x v="8"/>
    <s v="Small Box"/>
    <s v="Fellowes Black Plastic Comb Bindings"/>
    <n v="0.39"/>
    <s v="United States"/>
    <x v="2"/>
    <s v="Illinois"/>
    <s v="Orland Park"/>
    <n v="60462"/>
    <x v="63"/>
    <d v="2015-02-22T00:00:00"/>
    <n v="-243.23650000000001"/>
    <n v="10"/>
    <x v="126"/>
    <n v="90237"/>
    <x v="126"/>
  </r>
  <r>
    <n v="25501"/>
    <s v="Medium"/>
    <n v="0.04"/>
    <n v="9.65"/>
    <n v="6.22"/>
    <n v="233"/>
    <s v="Michele Bullard"/>
    <s v="Regular Air"/>
    <s v="Small Business"/>
    <x v="1"/>
    <x v="2"/>
    <s v="Small Box"/>
    <s v="Eldon Expressions™ Desk Accessory, Wood Pencil Holder, Oak"/>
    <n v="0.55000000000000004"/>
    <s v="United States"/>
    <x v="2"/>
    <s v="Illinois"/>
    <s v="Orland Park"/>
    <n v="60462"/>
    <x v="63"/>
    <d v="2015-02-21T00:00:00"/>
    <n v="-53.62"/>
    <n v="12"/>
    <x v="127"/>
    <n v="90237"/>
    <x v="127"/>
  </r>
  <r>
    <n v="23058"/>
    <s v="Critical"/>
    <n v="0.06"/>
    <n v="279.81"/>
    <n v="23.19"/>
    <n v="234"/>
    <s v="Don Cameron"/>
    <s v="Delivery Truck"/>
    <s v="Small Business"/>
    <x v="0"/>
    <x v="15"/>
    <s v="Jumbo Drum"/>
    <s v="Sanyo 2.5 Cubic Foot Mid-Size Office Refrigerators"/>
    <n v="0.59"/>
    <s v="United States"/>
    <x v="2"/>
    <s v="Iowa"/>
    <s v="Newton"/>
    <n v="50208"/>
    <x v="64"/>
    <d v="2015-02-06T00:00:00"/>
    <n v="1103.9724000000001"/>
    <n v="6"/>
    <x v="128"/>
    <n v="90236"/>
    <x v="128"/>
  </r>
  <r>
    <n v="25121"/>
    <s v="High"/>
    <n v="0.03"/>
    <n v="28.53"/>
    <n v="1.49"/>
    <n v="234"/>
    <s v="Don Cameron"/>
    <s v="Regular Air"/>
    <s v="Small Business"/>
    <x v="0"/>
    <x v="8"/>
    <s v="Small Box"/>
    <s v="Lock-Up Easel 'Spel-Binder'"/>
    <n v="0.38"/>
    <s v="United States"/>
    <x v="2"/>
    <s v="Iowa"/>
    <s v="Newton"/>
    <n v="50208"/>
    <x v="12"/>
    <d v="2015-03-29T00:00:00"/>
    <n v="136.33709999999999"/>
    <n v="7"/>
    <x v="129"/>
    <n v="90238"/>
    <x v="129"/>
  </r>
  <r>
    <n v="25122"/>
    <s v="High"/>
    <n v="0.01"/>
    <n v="15.28"/>
    <n v="1.99"/>
    <n v="234"/>
    <s v="Don Cameron"/>
    <s v="Regular Air"/>
    <s v="Small Business"/>
    <x v="2"/>
    <x v="13"/>
    <s v="Small Pack"/>
    <s v="Memorex 4.7GB DVD+R, 3/Pack"/>
    <n v="0.42"/>
    <s v="United States"/>
    <x v="2"/>
    <s v="Iowa"/>
    <s v="Newton"/>
    <n v="50208"/>
    <x v="12"/>
    <d v="2015-03-29T00:00:00"/>
    <n v="-12.46"/>
    <n v="2"/>
    <x v="130"/>
    <n v="90238"/>
    <x v="130"/>
  </r>
  <r>
    <n v="22044"/>
    <s v="Low"/>
    <n v="0.06"/>
    <n v="3.34"/>
    <n v="7.49"/>
    <n v="234"/>
    <s v="Don Cameron"/>
    <s v="Express Air"/>
    <s v="Small Business"/>
    <x v="0"/>
    <x v="0"/>
    <s v="Wrap Bag"/>
    <s v="Eldon Spacemaker® Box, Quick-Snap Lid, Clear"/>
    <n v="0.54"/>
    <s v="United States"/>
    <x v="2"/>
    <s v="Iowa"/>
    <s v="Newton"/>
    <n v="50208"/>
    <x v="65"/>
    <d v="2015-04-30T00:00:00"/>
    <n v="-175.86"/>
    <n v="8"/>
    <x v="131"/>
    <n v="90239"/>
    <x v="131"/>
  </r>
  <r>
    <n v="18885"/>
    <s v="Not Specified"/>
    <n v="0"/>
    <n v="442.14"/>
    <n v="14.7"/>
    <n v="236"/>
    <s v="Shawn McIntyre"/>
    <s v="Delivery Truck"/>
    <s v="Corporate"/>
    <x v="2"/>
    <x v="6"/>
    <s v="Jumbo Drum"/>
    <s v="Okidata ML390 Turbo Dot Matrix Printers"/>
    <n v="0.56000000000000005"/>
    <s v="United States"/>
    <x v="0"/>
    <s v="Colorado"/>
    <s v="Louisville"/>
    <n v="80027"/>
    <x v="11"/>
    <d v="2015-02-22T00:00:00"/>
    <n v="3294.8258999999998"/>
    <n v="10"/>
    <x v="132"/>
    <n v="86621"/>
    <x v="132"/>
  </r>
  <r>
    <n v="24327"/>
    <s v="Medium"/>
    <n v="0.1"/>
    <n v="19.98"/>
    <n v="5.77"/>
    <n v="240"/>
    <s v="Gilbert Scarborough"/>
    <s v="Express Air"/>
    <s v="Small Business"/>
    <x v="0"/>
    <x v="7"/>
    <s v="Small Box"/>
    <s v="Xerox Blank Computer Paper"/>
    <n v="0.38"/>
    <s v="United States"/>
    <x v="0"/>
    <s v="Colorado"/>
    <s v="Fountain"/>
    <n v="80817"/>
    <x v="18"/>
    <d v="2015-04-20T00:00:00"/>
    <n v="35.090000000000003"/>
    <n v="3"/>
    <x v="133"/>
    <n v="90479"/>
    <x v="133"/>
  </r>
  <r>
    <n v="24328"/>
    <s v="Medium"/>
    <n v="0.06"/>
    <n v="259.70999999999998"/>
    <n v="66.67"/>
    <n v="241"/>
    <s v="Amy Ellis Holder"/>
    <s v="Delivery Truck"/>
    <s v="Small Business"/>
    <x v="1"/>
    <x v="11"/>
    <s v="Jumbo Box"/>
    <s v="Bevis Round Bullnose 29&quot; High Table Top"/>
    <n v="0.61"/>
    <s v="United States"/>
    <x v="0"/>
    <s v="Colorado"/>
    <s v="Grand Junction"/>
    <n v="81503"/>
    <x v="18"/>
    <d v="2015-04-21T00:00:00"/>
    <n v="785.63"/>
    <n v="11"/>
    <x v="134"/>
    <n v="90479"/>
    <x v="134"/>
  </r>
  <r>
    <n v="25264"/>
    <s v="Low"/>
    <n v="0.01"/>
    <n v="5.94"/>
    <n v="9.92"/>
    <n v="241"/>
    <s v="Amy Ellis Holder"/>
    <s v="Regular Air"/>
    <s v="Small Business"/>
    <x v="0"/>
    <x v="8"/>
    <s v="Small Box"/>
    <s v="Storex Dura Pro™ Binders"/>
    <n v="0.38"/>
    <s v="United States"/>
    <x v="0"/>
    <s v="Colorado"/>
    <s v="Grand Junction"/>
    <n v="81503"/>
    <x v="66"/>
    <d v="2015-06-02T00:00:00"/>
    <n v="-256.51900000000001"/>
    <n v="13"/>
    <x v="135"/>
    <n v="90480"/>
    <x v="135"/>
  </r>
  <r>
    <n v="25265"/>
    <s v="Low"/>
    <n v="0.02"/>
    <n v="125.99"/>
    <n v="3"/>
    <n v="241"/>
    <s v="Amy Ellis Holder"/>
    <s v="Regular Air"/>
    <s v="Small Business"/>
    <x v="2"/>
    <x v="5"/>
    <s v="Small Box"/>
    <s v="270c"/>
    <n v="0.59"/>
    <s v="United States"/>
    <x v="0"/>
    <s v="Colorado"/>
    <s v="Grand Junction"/>
    <n v="81503"/>
    <x v="66"/>
    <d v="2015-05-26T00:00:00"/>
    <n v="398.358"/>
    <n v="8"/>
    <x v="136"/>
    <n v="90480"/>
    <x v="136"/>
  </r>
  <r>
    <n v="18849"/>
    <s v="Medium"/>
    <n v="0.02"/>
    <n v="146.05000000000001"/>
    <n v="80.2"/>
    <n v="247"/>
    <s v="Marshall Brandt Briggs"/>
    <s v="Delivery Truck"/>
    <s v="Corporate"/>
    <x v="1"/>
    <x v="11"/>
    <s v="Jumbo Box"/>
    <s v="BPI Conference Tables"/>
    <n v="0.71"/>
    <s v="United States"/>
    <x v="3"/>
    <s v="Tennessee"/>
    <s v="Maryville"/>
    <n v="37804"/>
    <x v="67"/>
    <d v="2015-02-23T00:00:00"/>
    <n v="-101.19199999999999"/>
    <n v="5"/>
    <x v="137"/>
    <n v="89139"/>
    <x v="137"/>
  </r>
  <r>
    <n v="18850"/>
    <s v="Medium"/>
    <n v="0.06"/>
    <n v="65.989999999999995"/>
    <n v="5.92"/>
    <n v="247"/>
    <s v="Marshall Brandt Briggs"/>
    <s v="Regular Air"/>
    <s v="Corporate"/>
    <x v="2"/>
    <x v="5"/>
    <s v="Small Box"/>
    <n v="252"/>
    <n v="0.55000000000000004"/>
    <s v="United States"/>
    <x v="3"/>
    <s v="Tennessee"/>
    <s v="Maryville"/>
    <n v="37804"/>
    <x v="67"/>
    <d v="2015-02-24T00:00:00"/>
    <n v="-3.3319999999999999"/>
    <n v="14"/>
    <x v="138"/>
    <n v="89139"/>
    <x v="138"/>
  </r>
  <r>
    <n v="18842"/>
    <s v="Medium"/>
    <n v="0.09"/>
    <n v="2.88"/>
    <n v="0.99"/>
    <n v="247"/>
    <s v="Marshall Brandt Briggs"/>
    <s v="Regular Air"/>
    <s v="Corporate"/>
    <x v="0"/>
    <x v="9"/>
    <s v="Small Box"/>
    <s v="Avery 514"/>
    <n v="0.36"/>
    <s v="United States"/>
    <x v="3"/>
    <s v="Tennessee"/>
    <s v="Maryville"/>
    <n v="37804"/>
    <x v="68"/>
    <d v="2015-03-23T00:00:00"/>
    <n v="-145.08199999999999"/>
    <n v="10"/>
    <x v="139"/>
    <n v="89140"/>
    <x v="139"/>
  </r>
  <r>
    <n v="18773"/>
    <s v="Critical"/>
    <n v="0.02"/>
    <n v="2.58"/>
    <n v="1.3"/>
    <n v="250"/>
    <s v="Brenda Nelson Blanchard"/>
    <s v="Express Air"/>
    <s v="Corporate"/>
    <x v="0"/>
    <x v="0"/>
    <s v="Wrap Bag"/>
    <s v="DIXON Oriole® Pencils"/>
    <n v="0.59"/>
    <s v="United States"/>
    <x v="2"/>
    <s v="Minnesota"/>
    <s v="Richfield"/>
    <n v="55423"/>
    <x v="5"/>
    <d v="2015-05-29T00:00:00"/>
    <n v="1.1080000000000001"/>
    <n v="39"/>
    <x v="140"/>
    <n v="87214"/>
    <x v="140"/>
  </r>
  <r>
    <n v="18774"/>
    <s v="Critical"/>
    <n v="0.02"/>
    <n v="65.989999999999995"/>
    <n v="3.9"/>
    <n v="250"/>
    <s v="Brenda Nelson Blanchard"/>
    <s v="Regular Air"/>
    <s v="Corporate"/>
    <x v="2"/>
    <x v="5"/>
    <s v="Small Box"/>
    <s v="StarTAC Series"/>
    <n v="0.55000000000000004"/>
    <s v="United States"/>
    <x v="2"/>
    <s v="Minnesota"/>
    <s v="Richfield"/>
    <n v="55423"/>
    <x v="5"/>
    <d v="2015-05-29T00:00:00"/>
    <n v="1061.3789999999999"/>
    <n v="27"/>
    <x v="141"/>
    <n v="87214"/>
    <x v="141"/>
  </r>
  <r>
    <n v="18801"/>
    <s v="Medium"/>
    <n v="0.1"/>
    <n v="280.98"/>
    <n v="35.67"/>
    <n v="254"/>
    <s v="Brett Hawkins"/>
    <s v="Delivery Truck"/>
    <s v="Home Office"/>
    <x v="1"/>
    <x v="11"/>
    <s v="Jumbo Box"/>
    <s v="Global Adaptabilities™ Conference Tables"/>
    <n v="0.66"/>
    <s v="United States"/>
    <x v="0"/>
    <s v="Colorado"/>
    <s v="Highlands Ranch"/>
    <n v="80126"/>
    <x v="69"/>
    <d v="2015-06-11T00:00:00"/>
    <n v="-53.744999999999997"/>
    <n v="5"/>
    <x v="142"/>
    <n v="86268"/>
    <x v="142"/>
  </r>
  <r>
    <n v="20577"/>
    <s v="Critical"/>
    <n v="0.03"/>
    <n v="8.34"/>
    <n v="2.64"/>
    <n v="256"/>
    <s v="Irene Li"/>
    <s v="Regular Air"/>
    <s v="Home Office"/>
    <x v="0"/>
    <x v="12"/>
    <s v="Small Pack"/>
    <s v="Acme® Elite Stainless Steel Scissors"/>
    <n v="0.59"/>
    <s v="United States"/>
    <x v="1"/>
    <s v="Pennsylvania"/>
    <s v="Hanover"/>
    <n v="17331"/>
    <x v="70"/>
    <d v="2015-02-02T00:00:00"/>
    <n v="0.68400000000000005"/>
    <n v="4"/>
    <x v="143"/>
    <n v="86267"/>
    <x v="143"/>
  </r>
  <r>
    <n v="24498"/>
    <s v="Medium"/>
    <n v="0.05"/>
    <n v="17.48"/>
    <n v="1.99"/>
    <n v="258"/>
    <s v="Allan Shields"/>
    <s v="Regular Air"/>
    <s v="Consumer"/>
    <x v="2"/>
    <x v="13"/>
    <s v="Small Pack"/>
    <s v="Maxell Pro 80 Minute CD-R, 10/Pack"/>
    <n v="0.45"/>
    <s v="United States"/>
    <x v="3"/>
    <s v="Florida"/>
    <s v="Seminole"/>
    <n v="33772"/>
    <x v="22"/>
    <d v="2015-01-04T00:00:00"/>
    <n v="-127.008"/>
    <n v="3"/>
    <x v="144"/>
    <n v="85858"/>
    <x v="144"/>
  </r>
  <r>
    <n v="18011"/>
    <s v="Low"/>
    <n v="0.09"/>
    <n v="2.88"/>
    <n v="0.7"/>
    <n v="259"/>
    <s v="Edward Pugh"/>
    <s v="Regular Air"/>
    <s v="Consumer"/>
    <x v="0"/>
    <x v="0"/>
    <s v="Wrap Bag"/>
    <s v="Newell 340"/>
    <n v="0.56000000000000005"/>
    <s v="United States"/>
    <x v="0"/>
    <s v="New Mexico"/>
    <s v="Santa Fe"/>
    <n v="87505"/>
    <x v="71"/>
    <d v="2015-01-19T00:00:00"/>
    <n v="5.7531999999999996"/>
    <n v="10"/>
    <x v="145"/>
    <n v="85857"/>
    <x v="145"/>
  </r>
  <r>
    <n v="22370"/>
    <s v="High"/>
    <n v="0.05"/>
    <n v="31.76"/>
    <n v="45.51"/>
    <n v="263"/>
    <s v="Carlos Hess"/>
    <s v="Delivery Truck"/>
    <s v="Small Business"/>
    <x v="1"/>
    <x v="11"/>
    <s v="Jumbo Box"/>
    <s v="Hon iLevel™ Computer Training Table"/>
    <n v="0.65"/>
    <s v="United States"/>
    <x v="1"/>
    <s v="Ohio"/>
    <s v="Cleveland Heights"/>
    <n v="44106"/>
    <x v="72"/>
    <d v="2015-01-23T00:00:00"/>
    <n v="-2177.9860960000001"/>
    <n v="9"/>
    <x v="146"/>
    <n v="86297"/>
    <x v="146"/>
  </r>
  <r>
    <n v="20858"/>
    <s v="Not Specified"/>
    <n v="0"/>
    <n v="73.98"/>
    <n v="12.14"/>
    <n v="266"/>
    <s v="Ross Frederick"/>
    <s v="Express Air"/>
    <s v="Corporate"/>
    <x v="2"/>
    <x v="13"/>
    <s v="Small Box"/>
    <s v="Keytronic 105-Key Spanish Keyboard"/>
    <n v="0.67"/>
    <s v="United States"/>
    <x v="2"/>
    <s v="Texas"/>
    <s v="San Antonio"/>
    <n v="78207"/>
    <x v="73"/>
    <d v="2015-05-20T00:00:00"/>
    <n v="326.25"/>
    <n v="17"/>
    <x v="147"/>
    <n v="90593"/>
    <x v="147"/>
  </r>
  <r>
    <n v="19823"/>
    <s v="Medium"/>
    <n v="0.08"/>
    <n v="6.48"/>
    <n v="7.03"/>
    <n v="266"/>
    <s v="Ross Frederick"/>
    <s v="Regular Air"/>
    <s v="Corporate"/>
    <x v="0"/>
    <x v="7"/>
    <s v="Small Box"/>
    <s v="Xerox 214"/>
    <n v="0.37"/>
    <s v="United States"/>
    <x v="2"/>
    <s v="Texas"/>
    <s v="San Antonio"/>
    <n v="78207"/>
    <x v="7"/>
    <d v="2015-05-16T00:00:00"/>
    <n v="8.9320000000000004"/>
    <n v="10"/>
    <x v="148"/>
    <n v="90594"/>
    <x v="148"/>
  </r>
  <r>
    <n v="19824"/>
    <s v="Medium"/>
    <n v="0.01"/>
    <n v="20.34"/>
    <n v="35"/>
    <n v="266"/>
    <s v="Ross Frederick"/>
    <s v="Regular Air"/>
    <s v="Corporate"/>
    <x v="0"/>
    <x v="10"/>
    <s v="Large Box"/>
    <s v="Tennsco Commercial Shelving"/>
    <n v="0.84"/>
    <s v="United States"/>
    <x v="2"/>
    <s v="Texas"/>
    <s v="San Antonio"/>
    <n v="78207"/>
    <x v="7"/>
    <d v="2015-05-16T00:00:00"/>
    <n v="229.63800000000001"/>
    <n v="33"/>
    <x v="149"/>
    <n v="90594"/>
    <x v="149"/>
  </r>
  <r>
    <n v="18770"/>
    <s v="Low"/>
    <n v="0.02"/>
    <n v="5.58"/>
    <n v="5.3"/>
    <n v="268"/>
    <s v="James Beck"/>
    <s v="Regular Air"/>
    <s v="Home Office"/>
    <x v="0"/>
    <x v="4"/>
    <s v="Small Box"/>
    <s v="Staples Brown Kraft Recycled Clasp Envelopes"/>
    <n v="0.35"/>
    <s v="United States"/>
    <x v="0"/>
    <s v="Arizona"/>
    <s v="Flagstaff"/>
    <n v="86001"/>
    <x v="74"/>
    <d v="2015-04-12T00:00:00"/>
    <n v="-22.48"/>
    <n v="3"/>
    <x v="150"/>
    <n v="88941"/>
    <x v="150"/>
  </r>
  <r>
    <n v="18771"/>
    <s v="Low"/>
    <n v="0.03"/>
    <n v="40.89"/>
    <n v="18.98"/>
    <n v="268"/>
    <s v="James Beck"/>
    <s v="Regular Air"/>
    <s v="Home Office"/>
    <x v="1"/>
    <x v="2"/>
    <s v="Small Box"/>
    <s v="Eldon Executive Woodline II Cherry Finish Desk Accessories"/>
    <n v="0.56999999999999995"/>
    <s v="United States"/>
    <x v="0"/>
    <s v="Arizona"/>
    <s v="Flagstaff"/>
    <n v="86001"/>
    <x v="74"/>
    <d v="2015-04-14T00:00:00"/>
    <n v="78.98"/>
    <n v="5"/>
    <x v="151"/>
    <n v="88941"/>
    <x v="151"/>
  </r>
  <r>
    <n v="23059"/>
    <s v="Low"/>
    <n v="0.09"/>
    <n v="35.94"/>
    <n v="6.66"/>
    <n v="269"/>
    <s v="Calvin Boyette"/>
    <s v="Regular Air"/>
    <s v="Home Office"/>
    <x v="0"/>
    <x v="4"/>
    <s v="Small Box"/>
    <s v="Tyvek ® Top-Opening Peel &amp; Seel ® Envelopes, Gray"/>
    <n v="0.4"/>
    <s v="United States"/>
    <x v="0"/>
    <s v="Arizona"/>
    <s v="Gilbert"/>
    <n v="85234"/>
    <x v="75"/>
    <d v="2015-06-10T00:00:00"/>
    <n v="144.2928"/>
    <n v="6"/>
    <x v="152"/>
    <n v="88942"/>
    <x v="152"/>
  </r>
  <r>
    <n v="23060"/>
    <s v="Low"/>
    <n v="0"/>
    <n v="170.98"/>
    <n v="13.99"/>
    <n v="269"/>
    <s v="Calvin Boyette"/>
    <s v="Regular Air"/>
    <s v="Home Office"/>
    <x v="1"/>
    <x v="2"/>
    <s v="Medium Box"/>
    <s v="Tenex Antistatic Computer Chair Mats"/>
    <n v="0.75"/>
    <s v="United States"/>
    <x v="0"/>
    <s v="Arizona"/>
    <s v="Gilbert"/>
    <n v="85234"/>
    <x v="75"/>
    <d v="2015-06-12T00:00:00"/>
    <n v="888.14729999999997"/>
    <n v="7"/>
    <x v="153"/>
    <n v="88942"/>
    <x v="153"/>
  </r>
  <r>
    <n v="23061"/>
    <s v="Low"/>
    <n v="0.09"/>
    <n v="4.9800000000000004"/>
    <n v="7.44"/>
    <n v="269"/>
    <s v="Calvin Boyette"/>
    <s v="Regular Air"/>
    <s v="Home Office"/>
    <x v="0"/>
    <x v="7"/>
    <s v="Small Box"/>
    <s v="Xerox 1922"/>
    <n v="0.36"/>
    <s v="United States"/>
    <x v="0"/>
    <s v="Arizona"/>
    <s v="Gilbert"/>
    <n v="85234"/>
    <x v="75"/>
    <d v="2015-06-07T00:00:00"/>
    <n v="-46.005000000000003"/>
    <n v="9"/>
    <x v="154"/>
    <n v="88942"/>
    <x v="154"/>
  </r>
  <r>
    <n v="19515"/>
    <s v="Medium"/>
    <n v="0.1"/>
    <n v="80.97"/>
    <n v="30.06"/>
    <n v="271"/>
    <s v="Sam Rouse"/>
    <s v="Delivery Truck"/>
    <s v="Small Business"/>
    <x v="2"/>
    <x v="6"/>
    <s v="Jumbo Box"/>
    <s v="Hewlett-Packard Deskjet 940 REFURBISHED Color Inkjet Printer"/>
    <n v="0.4"/>
    <s v="United States"/>
    <x v="3"/>
    <s v="Georgia"/>
    <s v="Forest Park"/>
    <n v="30297"/>
    <x v="25"/>
    <d v="2015-03-31T00:00:00"/>
    <n v="128.02529999999999"/>
    <n v="12"/>
    <x v="155"/>
    <n v="88940"/>
    <x v="155"/>
  </r>
  <r>
    <n v="770"/>
    <s v="Low"/>
    <n v="0.02"/>
    <n v="5.58"/>
    <n v="5.3"/>
    <n v="272"/>
    <s v="Eleanor Swain"/>
    <s v="Regular Air"/>
    <s v="Home Office"/>
    <x v="0"/>
    <x v="4"/>
    <s v="Small Box"/>
    <s v="Staples Brown Kraft Recycled Clasp Envelopes"/>
    <n v="0.35"/>
    <s v="United States"/>
    <x v="3"/>
    <s v="North Carolina"/>
    <s v="Charlotte"/>
    <n v="28204"/>
    <x v="74"/>
    <d v="2015-04-12T00:00:00"/>
    <n v="-29.898399999999999"/>
    <n v="11"/>
    <x v="156"/>
    <n v="5509"/>
    <x v="156"/>
  </r>
  <r>
    <n v="771"/>
    <s v="Low"/>
    <n v="0.03"/>
    <n v="40.89"/>
    <n v="18.98"/>
    <n v="272"/>
    <s v="Eleanor Swain"/>
    <s v="Regular Air"/>
    <s v="Home Office"/>
    <x v="1"/>
    <x v="2"/>
    <s v="Small Box"/>
    <s v="Eldon Executive Woodline II Cherry Finish Desk Accessories"/>
    <n v="0.56999999999999995"/>
    <s v="United States"/>
    <x v="3"/>
    <s v="North Carolina"/>
    <s v="Charlotte"/>
    <n v="28204"/>
    <x v="74"/>
    <d v="2015-04-14T00:00:00"/>
    <n v="52.916600000000003"/>
    <n v="21"/>
    <x v="157"/>
    <n v="5509"/>
    <x v="157"/>
  </r>
  <r>
    <n v="5059"/>
    <s v="Low"/>
    <n v="0.09"/>
    <n v="35.94"/>
    <n v="6.66"/>
    <n v="272"/>
    <s v="Eleanor Swain"/>
    <s v="Regular Air"/>
    <s v="Home Office"/>
    <x v="0"/>
    <x v="4"/>
    <s v="Small Box"/>
    <s v="Tyvek ® Top-Opening Peel &amp; Seel ® Envelopes, Gray"/>
    <n v="0.4"/>
    <s v="United States"/>
    <x v="3"/>
    <s v="North Carolina"/>
    <s v="Charlotte"/>
    <n v="28204"/>
    <x v="75"/>
    <d v="2015-06-10T00:00:00"/>
    <n v="72.1858"/>
    <n v="24"/>
    <x v="158"/>
    <n v="36069"/>
    <x v="158"/>
  </r>
  <r>
    <n v="5061"/>
    <s v="Low"/>
    <n v="0.09"/>
    <n v="4.9800000000000004"/>
    <n v="7.44"/>
    <n v="272"/>
    <s v="Eleanor Swain"/>
    <s v="Regular Air"/>
    <s v="Home Office"/>
    <x v="0"/>
    <x v="7"/>
    <s v="Small Box"/>
    <s v="Xerox 1922"/>
    <n v="0.36"/>
    <s v="United States"/>
    <x v="3"/>
    <s v="North Carolina"/>
    <s v="Charlotte"/>
    <n v="28204"/>
    <x v="75"/>
    <d v="2015-06-07T00:00:00"/>
    <n v="-122.3733"/>
    <n v="37"/>
    <x v="159"/>
    <n v="36069"/>
    <x v="159"/>
  </r>
  <r>
    <n v="22180"/>
    <s v="Not Specified"/>
    <n v="0.09"/>
    <n v="15.28"/>
    <n v="10.91"/>
    <n v="275"/>
    <s v="Roger Blalock Cassidy"/>
    <s v="Regular Air"/>
    <s v="Corporate"/>
    <x v="0"/>
    <x v="8"/>
    <s v="Small Box"/>
    <s v="Recycled Premium Regency Composition Covers"/>
    <n v="0.36"/>
    <s v="United States"/>
    <x v="1"/>
    <s v="Connecticut"/>
    <s v="Fairfield"/>
    <n v="6824"/>
    <x v="76"/>
    <d v="2015-01-25T00:00:00"/>
    <n v="-51.75"/>
    <n v="4"/>
    <x v="160"/>
    <n v="89292"/>
    <x v="160"/>
  </r>
  <r>
    <n v="23504"/>
    <s v="Critical"/>
    <n v="0.04"/>
    <n v="1.98"/>
    <n v="0.7"/>
    <n v="276"/>
    <s v="Lucille Rankin"/>
    <s v="Express Air"/>
    <s v="Corporate"/>
    <x v="0"/>
    <x v="3"/>
    <s v="Wrap Bag"/>
    <s v="Brites Rubber Bands, 1 1/2 oz. Box"/>
    <n v="0.83"/>
    <s v="United States"/>
    <x v="1"/>
    <s v="Connecticut"/>
    <s v="Newington"/>
    <n v="6111"/>
    <x v="8"/>
    <d v="2015-05-22T00:00:00"/>
    <n v="-1"/>
    <n v="3"/>
    <x v="161"/>
    <n v="89291"/>
    <x v="161"/>
  </r>
  <r>
    <n v="23503"/>
    <s v="Critical"/>
    <n v="0.03"/>
    <n v="55.99"/>
    <n v="5"/>
    <n v="282"/>
    <s v="Vickie Andrews"/>
    <s v="Regular Air"/>
    <s v="Corporate"/>
    <x v="2"/>
    <x v="5"/>
    <s v="Small Pack"/>
    <s v="Accessory36"/>
    <n v="0.83"/>
    <s v="United States"/>
    <x v="1"/>
    <s v="New Jersey"/>
    <s v="Belleville"/>
    <n v="7109"/>
    <x v="8"/>
    <d v="2015-05-22T00:00:00"/>
    <n v="-221.25399999999999"/>
    <n v="9"/>
    <x v="162"/>
    <n v="89291"/>
    <x v="162"/>
  </r>
  <r>
    <n v="24512"/>
    <s v="High"/>
    <n v="0.1"/>
    <n v="1.68"/>
    <n v="1.57"/>
    <n v="283"/>
    <s v="Pauline Boyette"/>
    <s v="Regular Air"/>
    <s v="Corporate"/>
    <x v="0"/>
    <x v="0"/>
    <s v="Wrap Bag"/>
    <s v="Newell 323"/>
    <n v="0.59"/>
    <s v="United States"/>
    <x v="1"/>
    <s v="New Jersey"/>
    <s v="Newark"/>
    <n v="7101"/>
    <x v="77"/>
    <d v="2015-06-18T00:00:00"/>
    <n v="-11.57"/>
    <n v="11"/>
    <x v="163"/>
    <n v="89293"/>
    <x v="163"/>
  </r>
  <r>
    <n v="19168"/>
    <s v="Low"/>
    <n v="0"/>
    <n v="4.13"/>
    <n v="5.34"/>
    <n v="286"/>
    <s v="Virginia Gay"/>
    <s v="Regular Air"/>
    <s v="Small Business"/>
    <x v="0"/>
    <x v="8"/>
    <s v="Small Box"/>
    <s v="ACCOHIDE® Binder by Acco"/>
    <n v="0.38"/>
    <s v="United States"/>
    <x v="2"/>
    <s v="Kansas"/>
    <s v="Shawnee"/>
    <n v="66203"/>
    <x v="77"/>
    <d v="2015-06-21T00:00:00"/>
    <n v="-61.87"/>
    <n v="9"/>
    <x v="164"/>
    <n v="89761"/>
    <x v="164"/>
  </r>
  <r>
    <n v="19169"/>
    <s v="Low"/>
    <n v="0.1"/>
    <n v="130.97999999999999"/>
    <n v="54.74"/>
    <n v="286"/>
    <s v="Virginia Gay"/>
    <s v="Delivery Truck"/>
    <s v="Small Business"/>
    <x v="1"/>
    <x v="14"/>
    <s v="Jumbo Box"/>
    <s v="O'Sullivan Elevations Bookcase, Cherry Finish"/>
    <n v="0.69"/>
    <s v="United States"/>
    <x v="2"/>
    <s v="Kansas"/>
    <s v="Shawnee"/>
    <n v="66203"/>
    <x v="77"/>
    <d v="2015-06-21T00:00:00"/>
    <n v="-530.24"/>
    <n v="9"/>
    <x v="165"/>
    <n v="89761"/>
    <x v="165"/>
  </r>
  <r>
    <n v="25624"/>
    <s v="Critical"/>
    <n v="0.09"/>
    <n v="28.48"/>
    <n v="1.99"/>
    <n v="288"/>
    <s v="Patricia Cole Blair"/>
    <s v="Regular Air"/>
    <s v="Small Business"/>
    <x v="2"/>
    <x v="13"/>
    <s v="Small Pack"/>
    <s v="Memorex 4.7GB DVD+RW, 3/Pack"/>
    <n v="0.4"/>
    <s v="United States"/>
    <x v="2"/>
    <s v="Kansas"/>
    <s v="Wichita"/>
    <n v="67212"/>
    <x v="59"/>
    <d v="2015-01-19T00:00:00"/>
    <n v="132.68700000000001"/>
    <n v="7"/>
    <x v="166"/>
    <n v="89762"/>
    <x v="166"/>
  </r>
  <r>
    <n v="25625"/>
    <s v="Critical"/>
    <n v="0.08"/>
    <n v="65.989999999999995"/>
    <n v="4.99"/>
    <n v="288"/>
    <s v="Patricia Cole Blair"/>
    <s v="Express Air"/>
    <s v="Small Business"/>
    <x v="2"/>
    <x v="5"/>
    <s v="Small Box"/>
    <s v="MicroTAC 650"/>
    <n v="0.57999999999999996"/>
    <s v="United States"/>
    <x v="2"/>
    <s v="Kansas"/>
    <s v="Wichita"/>
    <n v="67212"/>
    <x v="59"/>
    <d v="2015-01-18T00:00:00"/>
    <n v="496.89"/>
    <n v="14"/>
    <x v="167"/>
    <n v="89762"/>
    <x v="167"/>
  </r>
  <r>
    <n v="21223"/>
    <s v="Not Specified"/>
    <n v="0.04"/>
    <n v="4.9800000000000004"/>
    <n v="4.62"/>
    <n v="290"/>
    <s v="Sara O'Connor"/>
    <s v="Regular Air"/>
    <s v="Small Business"/>
    <x v="2"/>
    <x v="13"/>
    <s v="Small Pack"/>
    <s v="Imation 3.5&quot;, DISKETTE 44766 HGHLD3.52HD/FM, 10/Pack"/>
    <n v="0.64"/>
    <s v="United States"/>
    <x v="0"/>
    <s v="Colorado"/>
    <s v="Loveland"/>
    <n v="80538"/>
    <x v="78"/>
    <d v="2015-03-26T00:00:00"/>
    <n v="-135.16"/>
    <n v="20"/>
    <x v="168"/>
    <n v="90837"/>
    <x v="168"/>
  </r>
  <r>
    <n v="23302"/>
    <s v="High"/>
    <n v="0.01"/>
    <n v="8.33"/>
    <n v="1.99"/>
    <n v="306"/>
    <s v="Thomas McAllister"/>
    <s v="Regular Air"/>
    <s v="Small Business"/>
    <x v="2"/>
    <x v="13"/>
    <s v="Small Pack"/>
    <s v="80 Minute Slim Jewel Case CD-R , 10/Pack - Staples"/>
    <n v="0.52"/>
    <s v="United States"/>
    <x v="1"/>
    <s v="Maryland"/>
    <s v="Pikesville"/>
    <n v="21208"/>
    <x v="79"/>
    <d v="2015-02-15T00:00:00"/>
    <n v="15.895200000000001"/>
    <n v="8"/>
    <x v="169"/>
    <n v="87057"/>
    <x v="169"/>
  </r>
  <r>
    <n v="23303"/>
    <s v="High"/>
    <n v="0.04"/>
    <n v="85.99"/>
    <n v="0.99"/>
    <n v="306"/>
    <s v="Thomas McAllister"/>
    <s v="Regular Air"/>
    <s v="Small Business"/>
    <x v="2"/>
    <x v="5"/>
    <s v="Wrap Bag"/>
    <s v="Accessory34"/>
    <n v="0.55000000000000004"/>
    <s v="United States"/>
    <x v="1"/>
    <s v="Maryland"/>
    <s v="Pikesville"/>
    <n v="21208"/>
    <x v="79"/>
    <d v="2015-02-16T00:00:00"/>
    <n v="855.99329999999998"/>
    <n v="17"/>
    <x v="170"/>
    <n v="87057"/>
    <x v="170"/>
  </r>
  <r>
    <n v="5302"/>
    <s v="High"/>
    <n v="0.01"/>
    <n v="8.33"/>
    <n v="1.99"/>
    <n v="308"/>
    <s v="Glen Caldwell"/>
    <s v="Regular Air"/>
    <s v="Small Business"/>
    <x v="2"/>
    <x v="13"/>
    <s v="Small Pack"/>
    <s v="80 Minute Slim Jewel Case CD-R , 10/Pack - Staples"/>
    <n v="0.52"/>
    <s v="United States"/>
    <x v="0"/>
    <s v="Washington"/>
    <s v="Seattle"/>
    <n v="98115"/>
    <x v="79"/>
    <d v="2015-02-15T00:00:00"/>
    <n v="10.74"/>
    <n v="32"/>
    <x v="171"/>
    <n v="37760"/>
    <x v="171"/>
  </r>
  <r>
    <n v="18853"/>
    <s v="Medium"/>
    <n v="0.04"/>
    <n v="1637.53"/>
    <n v="24.49"/>
    <n v="314"/>
    <s v="Ruby Gibbons"/>
    <s v="Regular Air"/>
    <s v="Corporate"/>
    <x v="0"/>
    <x v="12"/>
    <s v="Medium Box"/>
    <s v="High Speed Automatic Electric Letter Opener"/>
    <n v="0.81"/>
    <s v="United States"/>
    <x v="2"/>
    <s v="Illinois"/>
    <s v="Forest Park"/>
    <n v="60130"/>
    <x v="80"/>
    <d v="2015-03-22T00:00:00"/>
    <n v="-1759.58"/>
    <n v="2"/>
    <x v="172"/>
    <n v="89166"/>
    <x v="172"/>
  </r>
  <r>
    <n v="18852"/>
    <s v="Medium"/>
    <n v="0.01"/>
    <n v="19.98"/>
    <n v="4"/>
    <n v="315"/>
    <s v="Benjamin Kaufman"/>
    <s v="Regular Air"/>
    <s v="Corporate"/>
    <x v="2"/>
    <x v="13"/>
    <s v="Small Box"/>
    <s v="Belkin 105-Key Black Keyboard"/>
    <n v="0.68"/>
    <s v="United States"/>
    <x v="1"/>
    <s v="Massachusetts"/>
    <s v="Belchertown"/>
    <n v="1007"/>
    <x v="80"/>
    <d v="2015-03-20T00:00:00"/>
    <n v="-72.23"/>
    <n v="2"/>
    <x v="173"/>
    <n v="89166"/>
    <x v="173"/>
  </r>
  <r>
    <n v="18032"/>
    <s v="Not Specified"/>
    <n v="0.09"/>
    <n v="7.38"/>
    <n v="5.21"/>
    <n v="317"/>
    <s v="Katherine Kearney"/>
    <s v="Regular Air"/>
    <s v="Corporate"/>
    <x v="1"/>
    <x v="2"/>
    <s v="Small Box"/>
    <s v="Eldon® Expressions™ Wood Desk Accessories, Oak"/>
    <n v="0.56000000000000005"/>
    <s v="United States"/>
    <x v="0"/>
    <s v="California"/>
    <s v="Lemon Grove"/>
    <n v="91945"/>
    <x v="77"/>
    <d v="2015-06-18T00:00:00"/>
    <n v="-27.16"/>
    <n v="9"/>
    <x v="174"/>
    <n v="86041"/>
    <x v="174"/>
  </r>
  <r>
    <n v="18033"/>
    <s v="Not Specified"/>
    <n v="0.04"/>
    <n v="5.98"/>
    <n v="5.15"/>
    <n v="317"/>
    <s v="Katherine Kearney"/>
    <s v="Regular Air"/>
    <s v="Corporate"/>
    <x v="0"/>
    <x v="7"/>
    <s v="Small Box"/>
    <s v="Xerox 193"/>
    <n v="0.36"/>
    <s v="United States"/>
    <x v="0"/>
    <s v="California"/>
    <s v="Lemon Grove"/>
    <n v="91945"/>
    <x v="77"/>
    <d v="2015-06-18T00:00:00"/>
    <n v="-52.344000000000001"/>
    <n v="17"/>
    <x v="175"/>
    <n v="86041"/>
    <x v="175"/>
  </r>
  <r>
    <n v="18034"/>
    <s v="Not Specified"/>
    <n v="0.04"/>
    <n v="15.42"/>
    <n v="10.68"/>
    <n v="317"/>
    <s v="Katherine Kearney"/>
    <s v="Regular Air"/>
    <s v="Corporate"/>
    <x v="0"/>
    <x v="10"/>
    <s v="Small Box"/>
    <s v="Decoflex Hanging Personal Folder File, Blue"/>
    <n v="0.57999999999999996"/>
    <s v="United States"/>
    <x v="0"/>
    <s v="California"/>
    <s v="Lemon Grove"/>
    <n v="91945"/>
    <x v="77"/>
    <d v="2015-06-18T00:00:00"/>
    <n v="-119.93600000000001"/>
    <n v="12"/>
    <x v="176"/>
    <n v="86041"/>
    <x v="176"/>
  </r>
  <r>
    <n v="20641"/>
    <s v="Low"/>
    <n v="0.04"/>
    <n v="8.33"/>
    <n v="1.99"/>
    <n v="321"/>
    <s v="Arthur Lowe Nash"/>
    <s v="Regular Air"/>
    <s v="Consumer"/>
    <x v="2"/>
    <x v="13"/>
    <s v="Small Pack"/>
    <s v="80 Minute Slim Jewel Case CD-R , 10/Pack - Staples"/>
    <n v="0.52"/>
    <s v="United States"/>
    <x v="1"/>
    <s v="Maryland"/>
    <s v="Potomac"/>
    <n v="20854"/>
    <x v="36"/>
    <d v="2015-04-09T00:00:00"/>
    <n v="9.9268000000000001"/>
    <n v="11"/>
    <x v="177"/>
    <n v="91057"/>
    <x v="177"/>
  </r>
  <r>
    <n v="25111"/>
    <s v="Not Specified"/>
    <n v="0.06"/>
    <n v="7.99"/>
    <n v="5.03"/>
    <n v="326"/>
    <s v="Brenda May"/>
    <s v="Regular Air"/>
    <s v="Consumer"/>
    <x v="2"/>
    <x v="5"/>
    <s v="Medium Box"/>
    <s v="Bell Sonecor JB700 Caller ID"/>
    <n v="0.6"/>
    <s v="United States"/>
    <x v="2"/>
    <s v="Illinois"/>
    <s v="Batavia"/>
    <n v="60510"/>
    <x v="62"/>
    <d v="2015-06-10T00:00:00"/>
    <n v="-29.172000000000001"/>
    <n v="4"/>
    <x v="178"/>
    <n v="90973"/>
    <x v="178"/>
  </r>
  <r>
    <n v="19159"/>
    <s v="Medium"/>
    <n v="0.06"/>
    <n v="296.18"/>
    <n v="54.12"/>
    <n v="329"/>
    <s v="Faye Dyer"/>
    <s v="Delivery Truck"/>
    <s v="Home Office"/>
    <x v="1"/>
    <x v="11"/>
    <s v="Jumbo Box"/>
    <s v="Hon 94000 Series Round Tables"/>
    <n v="0.76"/>
    <s v="United States"/>
    <x v="1"/>
    <s v="Maine"/>
    <s v="Sanford"/>
    <n v="4073"/>
    <x v="81"/>
    <d v="2015-04-15T00:00:00"/>
    <n v="-715.77820599999995"/>
    <n v="5"/>
    <x v="179"/>
    <n v="89726"/>
    <x v="179"/>
  </r>
  <r>
    <n v="19158"/>
    <s v="Medium"/>
    <n v="0.01"/>
    <n v="29.1"/>
    <n v="4"/>
    <n v="331"/>
    <s v="Bradley Pollock"/>
    <s v="Express Air"/>
    <s v="Home Office"/>
    <x v="2"/>
    <x v="13"/>
    <s v="Small Box"/>
    <s v="Acco Keyboard-In-A-Box®"/>
    <n v="0.78"/>
    <s v="United States"/>
    <x v="1"/>
    <s v="New Hampshire"/>
    <s v="Goffstown"/>
    <n v="3045"/>
    <x v="81"/>
    <d v="2015-04-16T00:00:00"/>
    <n v="-22.82"/>
    <n v="8"/>
    <x v="180"/>
    <n v="89726"/>
    <x v="180"/>
  </r>
  <r>
    <n v="18261"/>
    <s v="Critical"/>
    <n v="0.06"/>
    <n v="276.2"/>
    <n v="24.49"/>
    <n v="335"/>
    <s v="Curtis O'Connell"/>
    <s v="Regular Air"/>
    <s v="Corporate"/>
    <x v="1"/>
    <x v="1"/>
    <s v="Large Box"/>
    <s v="SAFCO Arco Folding Chair"/>
    <m/>
    <s v="United States"/>
    <x v="0"/>
    <s v="Oregon"/>
    <s v="Medford"/>
    <n v="97504"/>
    <x v="82"/>
    <d v="2015-05-05T00:00:00"/>
    <n v="2639.4708000000001"/>
    <n v="14"/>
    <x v="181"/>
    <n v="87277"/>
    <x v="181"/>
  </r>
  <r>
    <n v="18262"/>
    <s v="Critical"/>
    <n v="0.09"/>
    <n v="6.28"/>
    <n v="5.29"/>
    <n v="335"/>
    <s v="Curtis O'Connell"/>
    <s v="Regular Air"/>
    <s v="Corporate"/>
    <x v="1"/>
    <x v="2"/>
    <s v="Small Box"/>
    <s v="Eldon® 200 Class™ Desk Accessories, Burgundy"/>
    <n v="0.43"/>
    <s v="United States"/>
    <x v="0"/>
    <s v="Oregon"/>
    <s v="Medford"/>
    <n v="97504"/>
    <x v="82"/>
    <d v="2015-05-04T00:00:00"/>
    <n v="-5.2"/>
    <n v="1"/>
    <x v="182"/>
    <n v="87277"/>
    <x v="182"/>
  </r>
  <r>
    <n v="23481"/>
    <s v="Medium"/>
    <n v="0.08"/>
    <n v="7.77"/>
    <n v="9.23"/>
    <n v="339"/>
    <s v="Bobby Clements"/>
    <s v="Regular Air"/>
    <s v="Corporate"/>
    <x v="0"/>
    <x v="15"/>
    <s v="Small Box"/>
    <s v="Hoover Commercial Soft Guard Upright Vacuum And Disposable Filtration Bags"/>
    <n v="0.57999999999999996"/>
    <s v="United States"/>
    <x v="1"/>
    <s v="Ohio"/>
    <s v="Columbus"/>
    <n v="43229"/>
    <x v="83"/>
    <d v="2015-03-18T00:00:00"/>
    <n v="-83.65"/>
    <n v="5"/>
    <x v="183"/>
    <n v="90583"/>
    <x v="183"/>
  </r>
  <r>
    <n v="23482"/>
    <s v="Medium"/>
    <n v="7.0000000000000007E-2"/>
    <n v="7.59"/>
    <n v="4"/>
    <n v="339"/>
    <s v="Bobby Clements"/>
    <s v="Regular Air"/>
    <s v="Corporate"/>
    <x v="1"/>
    <x v="2"/>
    <s v="Wrap Bag"/>
    <s v="Master Giant Foot® Doorstop, Safety Yellow"/>
    <n v="0.42"/>
    <s v="United States"/>
    <x v="1"/>
    <s v="Ohio"/>
    <s v="Columbus"/>
    <n v="43229"/>
    <x v="83"/>
    <d v="2015-03-19T00:00:00"/>
    <n v="24.39"/>
    <n v="15"/>
    <x v="184"/>
    <n v="90583"/>
    <x v="184"/>
  </r>
  <r>
    <n v="480"/>
    <s v="Critical"/>
    <n v="0.01"/>
    <n v="3.26"/>
    <n v="1.86"/>
    <n v="342"/>
    <s v="Jacqueline Noble"/>
    <s v="Regular Air"/>
    <s v="Corporate"/>
    <x v="0"/>
    <x v="0"/>
    <s v="Wrap Bag"/>
    <s v="Avery Hi-Liter GlideStik Fluorescent Highlighter, Yellow Ink"/>
    <n v="0.41"/>
    <s v="United States"/>
    <x v="3"/>
    <s v="Florida"/>
    <s v="Miami"/>
    <n v="33181"/>
    <x v="82"/>
    <d v="2015-05-06T00:00:00"/>
    <n v="-4.6683000000000003"/>
    <n v="20"/>
    <x v="185"/>
    <n v="3332"/>
    <x v="185"/>
  </r>
  <r>
    <n v="22784"/>
    <s v="Critical"/>
    <n v="0.03"/>
    <n v="15.23"/>
    <n v="27.75"/>
    <n v="343"/>
    <s v="Lynn Epstein"/>
    <s v="Delivery Truck"/>
    <s v="Corporate"/>
    <x v="1"/>
    <x v="11"/>
    <s v="Jumbo Box"/>
    <s v="Anderson Hickey Conga Table Tops &amp; Accessories"/>
    <n v="0.76"/>
    <s v="United States"/>
    <x v="1"/>
    <s v="Maine"/>
    <s v="Bangor"/>
    <n v="4401"/>
    <x v="70"/>
    <d v="2015-02-01T00:00:00"/>
    <n v="11.65095"/>
    <n v="7"/>
    <x v="186"/>
    <n v="88151"/>
    <x v="186"/>
  </r>
  <r>
    <n v="18480"/>
    <s v="Critical"/>
    <n v="0.01"/>
    <n v="3.26"/>
    <n v="1.86"/>
    <n v="344"/>
    <s v="Rosemary English"/>
    <s v="Regular Air"/>
    <s v="Corporate"/>
    <x v="0"/>
    <x v="0"/>
    <s v="Wrap Bag"/>
    <s v="Avery Hi-Liter GlideStik Fluorescent Highlighter, Yellow Ink"/>
    <n v="0.41"/>
    <s v="United States"/>
    <x v="1"/>
    <s v="Maine"/>
    <s v="Portland"/>
    <n v="4101"/>
    <x v="82"/>
    <d v="2015-05-06T00:00:00"/>
    <n v="0.70199999999999996"/>
    <n v="5"/>
    <x v="187"/>
    <n v="88152"/>
    <x v="187"/>
  </r>
  <r>
    <n v="2408"/>
    <s v="Critical"/>
    <n v="0"/>
    <n v="8.34"/>
    <n v="2.64"/>
    <n v="349"/>
    <s v="Kim Weiss"/>
    <s v="Express Air"/>
    <s v="Home Office"/>
    <x v="0"/>
    <x v="12"/>
    <s v="Small Pack"/>
    <s v="Acme® Elite Stainless Steel Scissors"/>
    <n v="0.59"/>
    <s v="United States"/>
    <x v="3"/>
    <s v="Florida"/>
    <s v="Miami"/>
    <n v="33132"/>
    <x v="62"/>
    <d v="2015-06-11T00:00:00"/>
    <n v="5.8624999999999998"/>
    <n v="23"/>
    <x v="188"/>
    <n v="17446"/>
    <x v="188"/>
  </r>
  <r>
    <n v="1595"/>
    <s v="Medium"/>
    <n v="0.04"/>
    <n v="99.23"/>
    <n v="8.99"/>
    <n v="349"/>
    <s v="Kim Weiss"/>
    <s v="Regular Air"/>
    <s v="Home Office"/>
    <x v="1"/>
    <x v="2"/>
    <s v="Small Pack"/>
    <s v="GE 48&quot; Fluorescent Tube, Cool White Energy Saver, 34 Watts, 30/Box"/>
    <n v="0.35"/>
    <s v="United States"/>
    <x v="3"/>
    <s v="Florida"/>
    <s v="Miami"/>
    <n v="33132"/>
    <x v="22"/>
    <d v="2015-01-04T00:00:00"/>
    <n v="1916.6757"/>
    <n v="54"/>
    <x v="189"/>
    <n v="11527"/>
    <x v="189"/>
  </r>
  <r>
    <n v="20408"/>
    <s v="Critical"/>
    <n v="0"/>
    <n v="8.34"/>
    <n v="2.64"/>
    <n v="351"/>
    <s v="Juanita Coley Knox"/>
    <s v="Express Air"/>
    <s v="Home Office"/>
    <x v="0"/>
    <x v="12"/>
    <s v="Small Pack"/>
    <s v="Acme® Elite Stainless Steel Scissors"/>
    <n v="0.59"/>
    <s v="United States"/>
    <x v="1"/>
    <s v="New York"/>
    <s v="Watertown"/>
    <n v="13601"/>
    <x v="62"/>
    <d v="2015-06-11T00:00:00"/>
    <n v="10.5"/>
    <n v="6"/>
    <x v="190"/>
    <n v="88685"/>
    <x v="190"/>
  </r>
  <r>
    <n v="19595"/>
    <s v="Medium"/>
    <n v="0.04"/>
    <n v="99.23"/>
    <n v="8.99"/>
    <n v="351"/>
    <s v="Juanita Coley Knox"/>
    <s v="Regular Air"/>
    <s v="Home Office"/>
    <x v="1"/>
    <x v="2"/>
    <s v="Small Pack"/>
    <s v="GE 48&quot; Fluorescent Tube, Cool White Energy Saver, 34 Watts, 30/Box"/>
    <n v="0.35"/>
    <s v="United States"/>
    <x v="1"/>
    <s v="New York"/>
    <s v="Watertown"/>
    <n v="13601"/>
    <x v="22"/>
    <d v="2015-01-04T00:00:00"/>
    <n v="993.83460000000002"/>
    <n v="14"/>
    <x v="191"/>
    <n v="88686"/>
    <x v="191"/>
  </r>
  <r>
    <n v="19107"/>
    <s v="Low"/>
    <n v="0.08"/>
    <n v="4.8899999999999997"/>
    <n v="4.93"/>
    <n v="353"/>
    <s v="Bonnie Chambers"/>
    <s v="Express Air"/>
    <s v="Home Office"/>
    <x v="2"/>
    <x v="13"/>
    <s v="Small Pack"/>
    <s v="Maxell 3.5&quot; DS/HD IBM-Formatted Diskettes, 10/Pack"/>
    <n v="0.66"/>
    <s v="United States"/>
    <x v="0"/>
    <s v="Arizona"/>
    <s v="Glendale"/>
    <n v="85301"/>
    <x v="50"/>
    <d v="2015-05-14T00:00:00"/>
    <n v="-165.45"/>
    <n v="17"/>
    <x v="192"/>
    <n v="89647"/>
    <x v="192"/>
  </r>
  <r>
    <n v="19108"/>
    <s v="Low"/>
    <n v="7.0000000000000007E-2"/>
    <n v="6.68"/>
    <n v="6.92"/>
    <n v="353"/>
    <s v="Bonnie Chambers"/>
    <s v="Regular Air"/>
    <s v="Home Office"/>
    <x v="0"/>
    <x v="7"/>
    <s v="Small Box"/>
    <s v="Xerox 1898"/>
    <n v="0.37"/>
    <s v="United States"/>
    <x v="0"/>
    <s v="Arizona"/>
    <s v="Glendale"/>
    <n v="85301"/>
    <x v="50"/>
    <d v="2015-05-21T00:00:00"/>
    <n v="-141.12"/>
    <n v="16"/>
    <x v="193"/>
    <n v="89647"/>
    <x v="193"/>
  </r>
  <r>
    <n v="20760"/>
    <s v="Critical"/>
    <n v="7.0000000000000007E-2"/>
    <n v="124.49"/>
    <n v="51.94"/>
    <n v="357"/>
    <s v="Barbara McNamara"/>
    <s v="Delivery Truck"/>
    <s v="Corporate"/>
    <x v="1"/>
    <x v="11"/>
    <s v="Jumbo Box"/>
    <s v="Bevis 36 x 72 Conference Tables"/>
    <n v="0.63"/>
    <s v="United States"/>
    <x v="0"/>
    <s v="Arizona"/>
    <s v="Kingman"/>
    <n v="86401"/>
    <x v="84"/>
    <d v="2015-05-25T00:00:00"/>
    <n v="1074.44"/>
    <n v="14"/>
    <x v="194"/>
    <n v="91131"/>
    <x v="194"/>
  </r>
  <r>
    <n v="24627"/>
    <s v="Low"/>
    <n v="0.04"/>
    <n v="125.99"/>
    <n v="8.99"/>
    <n v="358"/>
    <s v="Chris F Brandt"/>
    <s v="Regular Air"/>
    <s v="Corporate"/>
    <x v="2"/>
    <x v="5"/>
    <s v="Small Box"/>
    <s v="M70"/>
    <n v="0.59"/>
    <s v="United States"/>
    <x v="1"/>
    <s v="Pennsylvania"/>
    <s v="King of Prussia"/>
    <n v="19406"/>
    <x v="85"/>
    <d v="2015-01-16T00:00:00"/>
    <n v="-627.82191999999998"/>
    <n v="1"/>
    <x v="195"/>
    <n v="91130"/>
    <x v="195"/>
  </r>
  <r>
    <n v="18278"/>
    <s v="Medium"/>
    <n v="0.05"/>
    <n v="328.14"/>
    <n v="91.05"/>
    <n v="366"/>
    <s v="Patrick Rosenthal"/>
    <s v="Delivery Truck"/>
    <s v="Small Business"/>
    <x v="0"/>
    <x v="15"/>
    <s v="Jumbo Drum"/>
    <s v="Sanyo Counter Height Refrigerator with Crisper, 3.6 Cubic Foot, Stainless Steel/Black"/>
    <n v="0.56999999999999995"/>
    <s v="United States"/>
    <x v="1"/>
    <s v="Rhode Island"/>
    <s v="Cranston"/>
    <n v="2910"/>
    <x v="60"/>
    <d v="2015-01-19T00:00:00"/>
    <n v="411.5172"/>
    <n v="6"/>
    <x v="196"/>
    <n v="87347"/>
    <x v="196"/>
  </r>
  <r>
    <n v="24794"/>
    <s v="Low"/>
    <n v="0.09"/>
    <n v="19.23"/>
    <n v="6.15"/>
    <n v="369"/>
    <s v="Troy Moon"/>
    <s v="Express Air"/>
    <s v="Corporate"/>
    <x v="1"/>
    <x v="2"/>
    <s v="Small Pack"/>
    <s v="Executive Impressions 13&quot; Clairmont Wall Clock"/>
    <n v="0.44"/>
    <s v="United States"/>
    <x v="0"/>
    <s v="California"/>
    <s v="Oakland"/>
    <n v="94601"/>
    <x v="86"/>
    <d v="2015-04-13T00:00:00"/>
    <n v="211.232"/>
    <n v="21"/>
    <x v="197"/>
    <n v="90292"/>
    <x v="197"/>
  </r>
  <r>
    <n v="20401"/>
    <s v="Not Specified"/>
    <n v="0.02"/>
    <n v="20.99"/>
    <n v="4.8099999999999996"/>
    <n v="370"/>
    <s v="Sam Oh"/>
    <s v="Regular Air"/>
    <s v="Corporate"/>
    <x v="2"/>
    <x v="5"/>
    <s v="Medium Box"/>
    <s v="1726 Digital Answering Machine"/>
    <n v="0.57999999999999996"/>
    <s v="United States"/>
    <x v="1"/>
    <s v="Maine"/>
    <s v="Lewiston"/>
    <n v="4240"/>
    <x v="87"/>
    <d v="2015-05-29T00:00:00"/>
    <n v="49.787999999999997"/>
    <n v="15"/>
    <x v="198"/>
    <n v="90291"/>
    <x v="198"/>
  </r>
  <r>
    <n v="20400"/>
    <s v="Not Specified"/>
    <n v="0.05"/>
    <n v="5.4"/>
    <n v="7.78"/>
    <n v="371"/>
    <s v="Roberta Mullins Peters"/>
    <s v="Express Air"/>
    <s v="Corporate"/>
    <x v="0"/>
    <x v="8"/>
    <s v="Small Box"/>
    <s v="3M Organizer Strips"/>
    <n v="0.37"/>
    <s v="United States"/>
    <x v="1"/>
    <s v="Massachusetts"/>
    <s v="Everett"/>
    <n v="2149"/>
    <x v="87"/>
    <d v="2015-05-29T00:00:00"/>
    <n v="-132.62950000000001"/>
    <n v="9"/>
    <x v="199"/>
    <n v="90291"/>
    <x v="199"/>
  </r>
  <r>
    <n v="3392"/>
    <s v="Not Specified"/>
    <n v="0.02"/>
    <n v="200.98"/>
    <n v="55.96"/>
    <n v="373"/>
    <s v="Jeanne Werner"/>
    <s v="Delivery Truck"/>
    <s v="Small Business"/>
    <x v="1"/>
    <x v="14"/>
    <s v="Jumbo Box"/>
    <s v="O'Sullivan Living Dimensions 3-Shelf Bookcases"/>
    <n v="0.75"/>
    <s v="United States"/>
    <x v="2"/>
    <s v="Michigan"/>
    <s v="Detroit"/>
    <n v="48234"/>
    <x v="88"/>
    <d v="2015-03-16T00:00:00"/>
    <n v="-163.63"/>
    <n v="45"/>
    <x v="200"/>
    <n v="24193"/>
    <x v="200"/>
  </r>
  <r>
    <n v="3393"/>
    <s v="Not Specified"/>
    <n v="0.02"/>
    <n v="4.28"/>
    <n v="5.17"/>
    <n v="373"/>
    <s v="Jeanne Werner"/>
    <s v="Regular Air"/>
    <s v="Small Business"/>
    <x v="0"/>
    <x v="7"/>
    <s v="Small Box"/>
    <s v="Xerox 1971"/>
    <n v="0.4"/>
    <s v="United States"/>
    <x v="2"/>
    <s v="Michigan"/>
    <s v="Detroit"/>
    <n v="48234"/>
    <x v="88"/>
    <d v="2015-03-15T00:00:00"/>
    <n v="-63.87"/>
    <n v="24"/>
    <x v="201"/>
    <n v="24193"/>
    <x v="201"/>
  </r>
  <r>
    <n v="3394"/>
    <s v="Not Specified"/>
    <n v="0.04"/>
    <n v="85.99"/>
    <n v="0.99"/>
    <n v="373"/>
    <s v="Jeanne Werner"/>
    <s v="Regular Air"/>
    <s v="Small Business"/>
    <x v="2"/>
    <x v="5"/>
    <s v="Wrap Bag"/>
    <s v="Accessory4"/>
    <n v="0.85"/>
    <s v="United States"/>
    <x v="2"/>
    <s v="Michigan"/>
    <s v="Detroit"/>
    <n v="48234"/>
    <x v="88"/>
    <d v="2015-03-16T00:00:00"/>
    <n v="-175.17500000000001"/>
    <n v="19"/>
    <x v="202"/>
    <n v="24193"/>
    <x v="202"/>
  </r>
  <r>
    <n v="21392"/>
    <s v="Not Specified"/>
    <n v="0.02"/>
    <n v="200.98"/>
    <n v="55.96"/>
    <n v="375"/>
    <s v="Sandra Sharma"/>
    <s v="Delivery Truck"/>
    <s v="Small Business"/>
    <x v="1"/>
    <x v="14"/>
    <s v="Jumbo Box"/>
    <s v="O'Sullivan Living Dimensions 3-Shelf Bookcases"/>
    <n v="0.75"/>
    <s v="United States"/>
    <x v="3"/>
    <s v="Tennessee"/>
    <s v="Morristown"/>
    <n v="37814"/>
    <x v="88"/>
    <d v="2015-03-16T00:00:00"/>
    <n v="-224.9478"/>
    <n v="11"/>
    <x v="203"/>
    <n v="90917"/>
    <x v="203"/>
  </r>
  <r>
    <n v="21393"/>
    <s v="Not Specified"/>
    <n v="0.02"/>
    <n v="4.28"/>
    <n v="5.17"/>
    <n v="375"/>
    <s v="Sandra Sharma"/>
    <s v="Regular Air"/>
    <s v="Small Business"/>
    <x v="0"/>
    <x v="7"/>
    <s v="Small Box"/>
    <s v="Xerox 1971"/>
    <n v="0.4"/>
    <s v="United States"/>
    <x v="3"/>
    <s v="Tennessee"/>
    <s v="Morristown"/>
    <n v="37814"/>
    <x v="88"/>
    <d v="2015-03-15T00:00:00"/>
    <n v="196.8"/>
    <n v="6"/>
    <x v="204"/>
    <n v="90917"/>
    <x v="204"/>
  </r>
  <r>
    <n v="19073"/>
    <s v="Medium"/>
    <n v="0.03"/>
    <n v="25.98"/>
    <n v="5.37"/>
    <n v="377"/>
    <s v="Sylvia Bush"/>
    <s v="Regular Air"/>
    <s v="Consumer"/>
    <x v="0"/>
    <x v="15"/>
    <s v="Medium Box"/>
    <s v="3M Office Air Cleaner"/>
    <n v="0.5"/>
    <s v="United States"/>
    <x v="2"/>
    <s v="Illinois"/>
    <s v="Batavia"/>
    <n v="60510"/>
    <x v="89"/>
    <d v="2015-04-17T00:00:00"/>
    <n v="250.0376"/>
    <n v="17"/>
    <x v="205"/>
    <n v="89579"/>
    <x v="205"/>
  </r>
  <r>
    <n v="22401"/>
    <s v="Not Specified"/>
    <n v="7.0000000000000007E-2"/>
    <n v="415.88"/>
    <n v="11.37"/>
    <n v="381"/>
    <s v="Danielle Watts"/>
    <s v="Regular Air"/>
    <s v="Corporate"/>
    <x v="0"/>
    <x v="10"/>
    <s v="Small Box"/>
    <s v="Deluxe Rollaway Locking File with Drawer"/>
    <n v="0.56999999999999995"/>
    <s v="United States"/>
    <x v="2"/>
    <s v="Illinois"/>
    <s v="Bloomington"/>
    <n v="61701"/>
    <x v="90"/>
    <d v="2015-05-01T00:00:00"/>
    <n v="-539.59"/>
    <n v="1"/>
    <x v="206"/>
    <n v="88929"/>
    <x v="206"/>
  </r>
  <r>
    <n v="21281"/>
    <s v="Critical"/>
    <n v="0.06"/>
    <n v="5.34"/>
    <n v="5.63"/>
    <n v="383"/>
    <s v="Renee Alston"/>
    <s v="Regular Air"/>
    <s v="Corporate"/>
    <x v="0"/>
    <x v="8"/>
    <s v="Small Box"/>
    <s v="Pressboard Data Binder, Crimson, 12&quot; X 8 1/2&quot;"/>
    <n v="0.39"/>
    <s v="United States"/>
    <x v="1"/>
    <s v="Pennsylvania"/>
    <s v="Drexel Hill"/>
    <n v="19026"/>
    <x v="91"/>
    <d v="2015-03-19T00:00:00"/>
    <n v="-82.822999999999993"/>
    <n v="7"/>
    <x v="207"/>
    <n v="88928"/>
    <x v="207"/>
  </r>
  <r>
    <n v="21282"/>
    <s v="Critical"/>
    <n v="7.0000000000000007E-2"/>
    <n v="65.989999999999995"/>
    <n v="5.26"/>
    <n v="383"/>
    <s v="Renee Alston"/>
    <s v="Express Air"/>
    <s v="Corporate"/>
    <x v="2"/>
    <x v="5"/>
    <s v="Small Box"/>
    <n v="8860"/>
    <n v="0.56000000000000005"/>
    <s v="United States"/>
    <x v="1"/>
    <s v="Pennsylvania"/>
    <s v="Drexel Hill"/>
    <n v="19026"/>
    <x v="91"/>
    <d v="2015-03-21T00:00:00"/>
    <n v="107.08199999999999"/>
    <n v="5"/>
    <x v="208"/>
    <n v="88928"/>
    <x v="208"/>
  </r>
  <r>
    <n v="20919"/>
    <s v="High"/>
    <n v="0.1"/>
    <n v="8.8800000000000008"/>
    <n v="6.28"/>
    <n v="387"/>
    <s v="Angela Howe"/>
    <s v="Express Air"/>
    <s v="Corporate"/>
    <x v="0"/>
    <x v="8"/>
    <s v="Small Box"/>
    <s v="GBC Instant Index™ System for Binding Systems"/>
    <n v="0.35"/>
    <s v="United States"/>
    <x v="2"/>
    <s v="Nebraska"/>
    <s v="Grand Island"/>
    <n v="68801"/>
    <x v="20"/>
    <d v="2015-06-14T00:00:00"/>
    <n v="-27.283750000000001"/>
    <n v="15"/>
    <x v="209"/>
    <n v="90339"/>
    <x v="209"/>
  </r>
  <r>
    <n v="22223"/>
    <s v="Critical"/>
    <n v="0.03"/>
    <n v="5.28"/>
    <n v="5.66"/>
    <n v="388"/>
    <s v="Roger Schwartz"/>
    <s v="Regular Air"/>
    <s v="Corporate"/>
    <x v="0"/>
    <x v="7"/>
    <s v="Small Box"/>
    <s v="Xerox 4200 Series MultiUse Premium Copy Paper (20Lb. and 84 Bright)"/>
    <n v="0.4"/>
    <s v="United States"/>
    <x v="2"/>
    <s v="Nebraska"/>
    <s v="Kearney"/>
    <n v="68847"/>
    <x v="35"/>
    <d v="2015-01-05T00:00:00"/>
    <n v="-51.559199999999997"/>
    <n v="4"/>
    <x v="210"/>
    <n v="90337"/>
    <x v="210"/>
  </r>
  <r>
    <n v="22224"/>
    <s v="Critical"/>
    <n v="0.01"/>
    <n v="110.99"/>
    <n v="2.5"/>
    <n v="388"/>
    <s v="Roger Schwartz"/>
    <s v="Regular Air"/>
    <s v="Corporate"/>
    <x v="2"/>
    <x v="5"/>
    <s v="Small Box"/>
    <s v="T18"/>
    <n v="0.56999999999999995"/>
    <s v="United States"/>
    <x v="2"/>
    <s v="Nebraska"/>
    <s v="Kearney"/>
    <n v="68847"/>
    <x v="35"/>
    <d v="2015-01-06T00:00:00"/>
    <n v="-263.56572"/>
    <n v="2"/>
    <x v="211"/>
    <n v="90337"/>
    <x v="211"/>
  </r>
  <r>
    <n v="23853"/>
    <s v="Low"/>
    <n v="0.03"/>
    <n v="160.97999999999999"/>
    <n v="30"/>
    <n v="389"/>
    <s v="Joel Buckley"/>
    <s v="Delivery Truck"/>
    <s v="Corporate"/>
    <x v="1"/>
    <x v="1"/>
    <s v="Jumbo Drum"/>
    <s v="Office Star - Mid Back Dual function Ergonomic High Back Chair with 2-Way Adjustable Arms"/>
    <n v="0.62"/>
    <s v="United States"/>
    <x v="2"/>
    <s v="Nebraska"/>
    <s v="Lincoln"/>
    <n v="68502"/>
    <x v="92"/>
    <d v="2015-02-10T00:00:00"/>
    <n v="1273.2086999999999"/>
    <n v="11"/>
    <x v="212"/>
    <n v="90338"/>
    <x v="212"/>
  </r>
  <r>
    <n v="25449"/>
    <s v="Medium"/>
    <n v="0.02"/>
    <n v="34.979999999999997"/>
    <n v="7.53"/>
    <n v="392"/>
    <s v="Erica R Fuller"/>
    <s v="Regular Air"/>
    <s v="Corporate"/>
    <x v="2"/>
    <x v="13"/>
    <s v="Small Box"/>
    <s v="Fellowes EZ Multi-Media Keyboard"/>
    <n v="0.76"/>
    <s v="United States"/>
    <x v="2"/>
    <s v="Missouri"/>
    <s v="Clayton"/>
    <n v="63105"/>
    <x v="93"/>
    <d v="2015-03-07T00:00:00"/>
    <n v="-159.68"/>
    <n v="1"/>
    <x v="213"/>
    <n v="86383"/>
    <x v="213"/>
  </r>
  <r>
    <n v="25450"/>
    <s v="Medium"/>
    <n v="0.01"/>
    <n v="19.989999999999998"/>
    <n v="11.17"/>
    <n v="392"/>
    <s v="Erica R Fuller"/>
    <s v="Regular Air"/>
    <s v="Corporate"/>
    <x v="1"/>
    <x v="2"/>
    <s v="Large Box"/>
    <s v="Telescoping Adjustable Floor Lamp"/>
    <n v="0.6"/>
    <s v="United States"/>
    <x v="2"/>
    <s v="Missouri"/>
    <s v="Clayton"/>
    <n v="63105"/>
    <x v="93"/>
    <d v="2015-03-08T00:00:00"/>
    <n v="27.91"/>
    <n v="2"/>
    <x v="214"/>
    <n v="86383"/>
    <x v="214"/>
  </r>
  <r>
    <n v="22598"/>
    <s v="Low"/>
    <n v="7.0000000000000007E-2"/>
    <n v="9.7100000000000009"/>
    <n v="9.4499999999999993"/>
    <n v="393"/>
    <s v="Shawn Combs"/>
    <s v="Regular Air"/>
    <s v="Corporate"/>
    <x v="0"/>
    <x v="10"/>
    <s v="Small Box"/>
    <s v="Filing/Storage Totes and Swivel Casters"/>
    <n v="0.6"/>
    <s v="United States"/>
    <x v="1"/>
    <s v="New York"/>
    <s v="Auburn"/>
    <n v="13021"/>
    <x v="2"/>
    <d v="2015-02-22T00:00:00"/>
    <n v="-81.77"/>
    <n v="3"/>
    <x v="215"/>
    <n v="86382"/>
    <x v="215"/>
  </r>
  <r>
    <n v="24638"/>
    <s v="Critical"/>
    <n v="0.04"/>
    <n v="15.98"/>
    <n v="4"/>
    <n v="395"/>
    <s v="Monica McCormick"/>
    <s v="Regular Air"/>
    <s v="Corporate"/>
    <x v="2"/>
    <x v="13"/>
    <s v="Small Box"/>
    <s v="Logitech Access Keyboard"/>
    <n v="0.37"/>
    <s v="United States"/>
    <x v="3"/>
    <s v="North Carolina"/>
    <s v="Albemarle"/>
    <n v="28001"/>
    <x v="49"/>
    <d v="2015-06-19T00:00:00"/>
    <n v="-19.207999999999998"/>
    <n v="4"/>
    <x v="216"/>
    <n v="86384"/>
    <x v="216"/>
  </r>
  <r>
    <n v="24639"/>
    <s v="Critical"/>
    <n v="0.06"/>
    <n v="22.84"/>
    <n v="5.47"/>
    <n v="395"/>
    <s v="Monica McCormick"/>
    <s v="Regular Air"/>
    <s v="Corporate"/>
    <x v="0"/>
    <x v="7"/>
    <s v="Small Box"/>
    <s v="Xerox 1929"/>
    <n v="0.39"/>
    <s v="United States"/>
    <x v="3"/>
    <s v="North Carolina"/>
    <s v="Albemarle"/>
    <n v="28001"/>
    <x v="49"/>
    <d v="2015-06-20T00:00:00"/>
    <n v="7.44"/>
    <n v="20"/>
    <x v="217"/>
    <n v="86384"/>
    <x v="217"/>
  </r>
  <r>
    <n v="20693"/>
    <s v="Critical"/>
    <n v="0.1"/>
    <n v="154.13"/>
    <n v="69"/>
    <n v="397"/>
    <s v="Denise Carver"/>
    <s v="Regular Air"/>
    <s v="Corporate"/>
    <x v="1"/>
    <x v="11"/>
    <s v="Large Box"/>
    <s v="Laminate Occasional Tables"/>
    <n v="0.68"/>
    <s v="United States"/>
    <x v="1"/>
    <s v="Ohio"/>
    <s v="Cuyahoga Falls"/>
    <n v="44221"/>
    <x v="23"/>
    <d v="2015-02-03T00:00:00"/>
    <n v="-372.48597100000001"/>
    <n v="8"/>
    <x v="218"/>
    <n v="89319"/>
    <x v="218"/>
  </r>
  <r>
    <n v="24471"/>
    <s v="Medium"/>
    <n v="0.05"/>
    <n v="63.94"/>
    <n v="14.48"/>
    <n v="398"/>
    <s v="Bruce Stark"/>
    <s v="Regular Air"/>
    <s v="Corporate"/>
    <x v="1"/>
    <x v="2"/>
    <s v="Small Box"/>
    <s v="Howard Miller 16&quot; Diameter Gallery Wall Clock"/>
    <n v="0.46"/>
    <s v="United States"/>
    <x v="1"/>
    <s v="Ohio"/>
    <s v="Dayton"/>
    <n v="45406"/>
    <x v="94"/>
    <d v="2015-05-25T00:00:00"/>
    <n v="1372.6307999999999"/>
    <n v="31"/>
    <x v="219"/>
    <n v="89320"/>
    <x v="219"/>
  </r>
  <r>
    <n v="21570"/>
    <s v="High"/>
    <n v="0.03"/>
    <n v="4.9800000000000004"/>
    <n v="0.8"/>
    <n v="406"/>
    <s v="June Frank Hammond"/>
    <s v="Regular Air"/>
    <s v="Small Business"/>
    <x v="0"/>
    <x v="7"/>
    <s v="Wrap Bag"/>
    <s v="Rediform S.O.S. Phone Message Books"/>
    <n v="0.36"/>
    <s v="United States"/>
    <x v="1"/>
    <s v="New Jersey"/>
    <s v="South Vineland"/>
    <n v="8360"/>
    <x v="8"/>
    <d v="2015-05-22T00:00:00"/>
    <n v="50.2044"/>
    <n v="15"/>
    <x v="220"/>
    <n v="87804"/>
    <x v="220"/>
  </r>
  <r>
    <n v="19104"/>
    <s v="Low"/>
    <n v="7.0000000000000007E-2"/>
    <n v="29.17"/>
    <n v="6.27"/>
    <n v="408"/>
    <s v="Calvin Parsons Walter"/>
    <s v="Regular Air"/>
    <s v="Corporate"/>
    <x v="0"/>
    <x v="8"/>
    <s v="Small Box"/>
    <s v="Binding Machine Supplies"/>
    <n v="0.37"/>
    <s v="United States"/>
    <x v="2"/>
    <s v="Texas"/>
    <s v="San Juan"/>
    <n v="78589"/>
    <x v="10"/>
    <d v="2015-05-06T00:00:00"/>
    <n v="236.2371"/>
    <n v="14"/>
    <x v="221"/>
    <n v="89639"/>
    <x v="221"/>
  </r>
  <r>
    <n v="18428"/>
    <s v="High"/>
    <n v="0.05"/>
    <n v="178.47"/>
    <n v="19.989999999999998"/>
    <n v="411"/>
    <s v="Carolyn Proctor"/>
    <s v="Express Air"/>
    <s v="Consumer"/>
    <x v="0"/>
    <x v="10"/>
    <s v="Small Box"/>
    <s v="Hot File® 7-Pocket, Floor Stand"/>
    <n v="0.55000000000000004"/>
    <s v="United States"/>
    <x v="0"/>
    <s v="California"/>
    <s v="Oakland"/>
    <n v="94601"/>
    <x v="82"/>
    <d v="2015-05-07T00:00:00"/>
    <n v="943"/>
    <n v="9"/>
    <x v="222"/>
    <n v="87905"/>
    <x v="222"/>
  </r>
  <r>
    <n v="21739"/>
    <s v="Critical"/>
    <n v="0.09"/>
    <n v="999.99"/>
    <n v="13.99"/>
    <n v="421"/>
    <s v="Scott Feldman"/>
    <s v="Regular Air"/>
    <s v="Small Business"/>
    <x v="2"/>
    <x v="6"/>
    <s v="Medium Box"/>
    <s v="Polycom Soundstation EX Audio-Conferencing Telephone, Black"/>
    <n v="0.36"/>
    <s v="United States"/>
    <x v="1"/>
    <s v="New Jersey"/>
    <s v="Elizabeth"/>
    <n v="7201"/>
    <x v="92"/>
    <d v="2015-02-08T00:00:00"/>
    <n v="-2531.4825000000001"/>
    <n v="1"/>
    <x v="223"/>
    <n v="87700"/>
    <x v="223"/>
  </r>
  <r>
    <n v="22355"/>
    <s v="High"/>
    <n v="0.02"/>
    <n v="15.28"/>
    <n v="1.99"/>
    <n v="428"/>
    <s v="Ernest Barber"/>
    <s v="Regular Air"/>
    <s v="Corporate"/>
    <x v="2"/>
    <x v="13"/>
    <s v="Small Pack"/>
    <s v="Memorex 4.7GB DVD+R, 3/Pack"/>
    <n v="0.42"/>
    <s v="United States"/>
    <x v="0"/>
    <s v="Nevada"/>
    <s v="Carson City"/>
    <n v="89701"/>
    <x v="43"/>
    <d v="2015-01-16T00:00:00"/>
    <n v="163.1574"/>
    <n v="15"/>
    <x v="224"/>
    <n v="88479"/>
    <x v="224"/>
  </r>
  <r>
    <n v="22356"/>
    <s v="High"/>
    <n v="0"/>
    <n v="85.99"/>
    <n v="3.3"/>
    <n v="428"/>
    <s v="Ernest Barber"/>
    <s v="Regular Air"/>
    <s v="Corporate"/>
    <x v="2"/>
    <x v="5"/>
    <s v="Small Pack"/>
    <s v="Accessory20"/>
    <n v="0.37"/>
    <s v="United States"/>
    <x v="0"/>
    <s v="Nevada"/>
    <s v="Carson City"/>
    <n v="89701"/>
    <x v="43"/>
    <d v="2015-01-16T00:00:00"/>
    <n v="-302.22500000000002"/>
    <n v="1"/>
    <x v="225"/>
    <n v="88479"/>
    <x v="225"/>
  </r>
  <r>
    <n v="25351"/>
    <s v="Not Specified"/>
    <n v="0.05"/>
    <n v="10.98"/>
    <n v="4.8"/>
    <n v="428"/>
    <s v="Ernest Barber"/>
    <s v="Regular Air"/>
    <s v="Corporate"/>
    <x v="0"/>
    <x v="4"/>
    <s v="Small Box"/>
    <s v="Manila Recycled Extra-Heavyweight Clasp Envelopes, 6&quot; x 9&quot;"/>
    <n v="0.36"/>
    <s v="United States"/>
    <x v="0"/>
    <s v="Nevada"/>
    <s v="Carson City"/>
    <n v="89701"/>
    <x v="95"/>
    <d v="2015-03-05T00:00:00"/>
    <n v="90.62"/>
    <n v="22"/>
    <x v="226"/>
    <n v="88480"/>
    <x v="226"/>
  </r>
  <r>
    <n v="19988"/>
    <s v="Low"/>
    <n v="0.05"/>
    <n v="125.99"/>
    <n v="8.08"/>
    <n v="437"/>
    <s v="Alice Berger McIntyre"/>
    <s v="Regular Air"/>
    <s v="Small Business"/>
    <x v="2"/>
    <x v="5"/>
    <s v="Small Box"/>
    <s v="StarTAC ST7762"/>
    <n v="0.56999999999999995"/>
    <s v="United States"/>
    <x v="1"/>
    <s v="Massachusetts"/>
    <s v="Lunenburg"/>
    <n v="1462"/>
    <x v="33"/>
    <d v="2015-06-27T00:00:00"/>
    <n v="427.11840000000001"/>
    <n v="9"/>
    <x v="227"/>
    <n v="90695"/>
    <x v="227"/>
  </r>
  <r>
    <n v="25813"/>
    <s v="Critical"/>
    <n v="0"/>
    <n v="7.59"/>
    <n v="4"/>
    <n v="444"/>
    <s v="Thelma Abrams"/>
    <s v="Regular Air"/>
    <s v="Small Business"/>
    <x v="1"/>
    <x v="2"/>
    <s v="Wrap Bag"/>
    <s v="Master Giant Foot® Doorstop, Safety Yellow"/>
    <n v="0.42"/>
    <s v="United States"/>
    <x v="2"/>
    <s v="Illinois"/>
    <s v="Urbana"/>
    <n v="61801"/>
    <x v="40"/>
    <d v="2015-05-28T00:00:00"/>
    <n v="86.438000000000002"/>
    <n v="43"/>
    <x v="228"/>
    <n v="88085"/>
    <x v="228"/>
  </r>
  <r>
    <n v="23153"/>
    <s v="Not Specified"/>
    <n v="0.03"/>
    <n v="48.04"/>
    <n v="19.989999999999998"/>
    <n v="445"/>
    <s v="Judy Barrett"/>
    <s v="Regular Air"/>
    <s v="Small Business"/>
    <x v="0"/>
    <x v="7"/>
    <s v="Small Box"/>
    <s v="14-7/8 x 11 Blue Bar Computer Printout Paper"/>
    <n v="0.37"/>
    <s v="United States"/>
    <x v="2"/>
    <s v="Nebraska"/>
    <s v="Norfolk"/>
    <n v="68701"/>
    <x v="86"/>
    <d v="2015-04-13T00:00:00"/>
    <n v="-4.46"/>
    <n v="2"/>
    <x v="229"/>
    <n v="88083"/>
    <x v="229"/>
  </r>
  <r>
    <n v="23862"/>
    <s v="High"/>
    <n v="0.09"/>
    <n v="200.98"/>
    <n v="55.96"/>
    <n v="445"/>
    <s v="Judy Barrett"/>
    <s v="Delivery Truck"/>
    <s v="Small Business"/>
    <x v="1"/>
    <x v="14"/>
    <s v="Jumbo Box"/>
    <s v="O'Sullivan Living Dimensions 3-Shelf Bookcases"/>
    <n v="0.75"/>
    <s v="United States"/>
    <x v="2"/>
    <s v="Nebraska"/>
    <s v="Norfolk"/>
    <n v="68701"/>
    <x v="96"/>
    <d v="2015-06-24T00:00:00"/>
    <n v="-512.87199999999996"/>
    <n v="9"/>
    <x v="230"/>
    <n v="88084"/>
    <x v="230"/>
  </r>
  <r>
    <n v="23863"/>
    <s v="High"/>
    <n v="0.09"/>
    <n v="2.78"/>
    <n v="0.97"/>
    <n v="445"/>
    <s v="Judy Barrett"/>
    <s v="Regular Air"/>
    <s v="Small Business"/>
    <x v="0"/>
    <x v="0"/>
    <s v="Wrap Bag"/>
    <s v="Newell 333"/>
    <n v="0.59"/>
    <s v="United States"/>
    <x v="2"/>
    <s v="Nebraska"/>
    <s v="Norfolk"/>
    <n v="68701"/>
    <x v="96"/>
    <d v="2015-06-24T00:00:00"/>
    <n v="-3.7839999999999998"/>
    <n v="11"/>
    <x v="231"/>
    <n v="88084"/>
    <x v="231"/>
  </r>
  <r>
    <n v="19694"/>
    <s v="Not Specified"/>
    <n v="0.04"/>
    <n v="130.97999999999999"/>
    <n v="30"/>
    <n v="447"/>
    <s v="Valerie Moon"/>
    <s v="Delivery Truck"/>
    <s v="Corporate"/>
    <x v="1"/>
    <x v="1"/>
    <s v="Jumbo Drum"/>
    <s v="Office Star - Contemporary Task Swivel chair with 2-way adjustable arms, Plum"/>
    <n v="0.78"/>
    <s v="United States"/>
    <x v="2"/>
    <s v="Minnesota"/>
    <s v="Roseville"/>
    <n v="55113"/>
    <x v="97"/>
    <d v="2015-06-28T00:00:00"/>
    <n v="-82.903999999999996"/>
    <n v="1"/>
    <x v="232"/>
    <n v="90449"/>
    <x v="232"/>
  </r>
  <r>
    <n v="19695"/>
    <s v="Not Specified"/>
    <n v="0.05"/>
    <n v="200.99"/>
    <n v="4.2"/>
    <n v="447"/>
    <s v="Valerie Moon"/>
    <s v="Regular Air"/>
    <s v="Corporate"/>
    <x v="2"/>
    <x v="5"/>
    <s v="Small Box"/>
    <s v="2160i"/>
    <n v="0.59"/>
    <s v="United States"/>
    <x v="2"/>
    <s v="Minnesota"/>
    <s v="Roseville"/>
    <n v="55113"/>
    <x v="97"/>
    <d v="2015-06-25T00:00:00"/>
    <n v="1268.8064999999999"/>
    <n v="11"/>
    <x v="233"/>
    <n v="90449"/>
    <x v="233"/>
  </r>
  <r>
    <n v="20851"/>
    <s v="High"/>
    <n v="0.03"/>
    <n v="15.99"/>
    <n v="11.28"/>
    <n v="451"/>
    <s v="Joyce Murray"/>
    <s v="Regular Air"/>
    <s v="Home Office"/>
    <x v="2"/>
    <x v="6"/>
    <s v="Medium Box"/>
    <s v="210 Trimline Phone, White"/>
    <n v="0.38"/>
    <s v="United States"/>
    <x v="0"/>
    <s v="California"/>
    <s v="Los Altos"/>
    <n v="94024"/>
    <x v="98"/>
    <d v="2015-04-11T00:00:00"/>
    <n v="-53.296199999999999"/>
    <n v="2"/>
    <x v="234"/>
    <n v="86010"/>
    <x v="234"/>
  </r>
  <r>
    <n v="21117"/>
    <s v="Critical"/>
    <n v="0.04"/>
    <n v="37.700000000000003"/>
    <n v="2.99"/>
    <n v="451"/>
    <s v="Joyce Murray"/>
    <s v="Regular Air"/>
    <s v="Home Office"/>
    <x v="0"/>
    <x v="8"/>
    <s v="Small Box"/>
    <s v="Vinyl Sectional Post Binders"/>
    <n v="0.35"/>
    <s v="United States"/>
    <x v="0"/>
    <s v="California"/>
    <s v="Los Altos"/>
    <n v="94024"/>
    <x v="87"/>
    <d v="2015-05-28T00:00:00"/>
    <n v="299.6739"/>
    <n v="12"/>
    <x v="235"/>
    <n v="86012"/>
    <x v="235"/>
  </r>
  <r>
    <n v="18536"/>
    <s v="Low"/>
    <n v="0.01"/>
    <n v="8.8800000000000008"/>
    <n v="6.28"/>
    <n v="451"/>
    <s v="Joyce Murray"/>
    <s v="Regular Air"/>
    <s v="Home Office"/>
    <x v="0"/>
    <x v="8"/>
    <s v="Small Box"/>
    <s v="GBC Instant Index™ System for Binding Systems"/>
    <n v="0.35"/>
    <s v="United States"/>
    <x v="0"/>
    <s v="California"/>
    <s v="Los Altos"/>
    <n v="94024"/>
    <x v="99"/>
    <d v="2015-01-10T00:00:00"/>
    <n v="-15.456"/>
    <n v="2"/>
    <x v="236"/>
    <n v="86013"/>
    <x v="236"/>
  </r>
  <r>
    <n v="18537"/>
    <s v="Low"/>
    <n v="0.06"/>
    <n v="2.88"/>
    <n v="0.99"/>
    <n v="451"/>
    <s v="Joyce Murray"/>
    <s v="Regular Air"/>
    <s v="Home Office"/>
    <x v="0"/>
    <x v="9"/>
    <s v="Small Box"/>
    <s v="Avery 514"/>
    <n v="0.36"/>
    <s v="United States"/>
    <x v="0"/>
    <s v="California"/>
    <s v="Los Altos"/>
    <n v="94024"/>
    <x v="99"/>
    <d v="2015-01-14T00:00:00"/>
    <n v="16.049399999999999"/>
    <n v="8"/>
    <x v="237"/>
    <n v="86013"/>
    <x v="237"/>
  </r>
  <r>
    <n v="21118"/>
    <s v="Critical"/>
    <n v="0.01"/>
    <n v="55.99"/>
    <n v="5"/>
    <n v="452"/>
    <s v="Leslie Rowland"/>
    <s v="Regular Air"/>
    <s v="Home Office"/>
    <x v="2"/>
    <x v="5"/>
    <s v="Small Pack"/>
    <s v="Accessory36"/>
    <n v="0.83"/>
    <s v="United States"/>
    <x v="0"/>
    <s v="California"/>
    <s v="Los Banos"/>
    <n v="93635"/>
    <x v="87"/>
    <d v="2015-05-28T00:00:00"/>
    <n v="-235.89500000000001"/>
    <n v="1"/>
    <x v="238"/>
    <n v="86012"/>
    <x v="238"/>
  </r>
  <r>
    <n v="22318"/>
    <s v="Not Specified"/>
    <n v="0.03"/>
    <n v="29.34"/>
    <n v="7.87"/>
    <n v="453"/>
    <s v="George Terry"/>
    <s v="Regular Air"/>
    <s v="Corporate"/>
    <x v="1"/>
    <x v="2"/>
    <s v="Small Box"/>
    <s v="Seth Thomas 14&quot; Putty-Colored Wall Clock"/>
    <n v="0.54"/>
    <s v="United States"/>
    <x v="0"/>
    <s v="California"/>
    <s v="Los Gatos"/>
    <n v="95032"/>
    <x v="100"/>
    <d v="2015-05-10T00:00:00"/>
    <n v="-41.32"/>
    <n v="1"/>
    <x v="239"/>
    <n v="86011"/>
    <x v="239"/>
  </r>
  <r>
    <n v="22874"/>
    <s v="Low"/>
    <n v="7.0000000000000007E-2"/>
    <n v="16.91"/>
    <n v="6.25"/>
    <n v="460"/>
    <s v="Anne Armstrong"/>
    <s v="Regular Air"/>
    <s v="Home Office"/>
    <x v="0"/>
    <x v="10"/>
    <s v="Small Box"/>
    <s v="Tenex Personal Self-Stacking Standard File Box, Black/Gray"/>
    <n v="0.57999999999999996"/>
    <s v="United States"/>
    <x v="1"/>
    <s v="New Jersey"/>
    <s v="Millville"/>
    <n v="8332"/>
    <x v="94"/>
    <d v="2015-05-30T00:00:00"/>
    <n v="7.9"/>
    <n v="31"/>
    <x v="240"/>
    <n v="86014"/>
    <x v="240"/>
  </r>
  <r>
    <n v="18467"/>
    <s v="Low"/>
    <n v="7.0000000000000007E-2"/>
    <n v="165.2"/>
    <n v="19.989999999999998"/>
    <n v="463"/>
    <s v="Debbie Stevenson"/>
    <s v="Regular Air"/>
    <s v="Small Business"/>
    <x v="0"/>
    <x v="10"/>
    <s v="Small Box"/>
    <s v="Economy Rollaway Files"/>
    <n v="0.59"/>
    <s v="United States"/>
    <x v="0"/>
    <s v="California"/>
    <s v="West Hollywood"/>
    <n v="90069"/>
    <x v="101"/>
    <d v="2015-01-16T00:00:00"/>
    <n v="521.69000000000005"/>
    <n v="7"/>
    <x v="241"/>
    <n v="88061"/>
    <x v="241"/>
  </r>
  <r>
    <n v="22754"/>
    <s v="Not Specified"/>
    <n v="0.08"/>
    <n v="297.64"/>
    <n v="14.7"/>
    <n v="466"/>
    <s v="Marc Nash"/>
    <s v="Delivery Truck"/>
    <s v="Small Business"/>
    <x v="2"/>
    <x v="6"/>
    <s v="Jumbo Drum"/>
    <s v="Panasonic KX-P3200 Dot Matrix Printer"/>
    <n v="0.56999999999999995"/>
    <s v="United States"/>
    <x v="1"/>
    <s v="Massachusetts"/>
    <s v="Bellingham"/>
    <n v="2019"/>
    <x v="52"/>
    <d v="2015-01-11T00:00:00"/>
    <n v="496.79680000000002"/>
    <n v="5"/>
    <x v="242"/>
    <n v="88060"/>
    <x v="242"/>
  </r>
  <r>
    <n v="22755"/>
    <s v="Not Specified"/>
    <n v="0.02"/>
    <n v="12.99"/>
    <n v="14.37"/>
    <n v="467"/>
    <s v="Maria Thomas"/>
    <s v="Regular Air"/>
    <s v="Small Business"/>
    <x v="1"/>
    <x v="2"/>
    <s v="Large Box"/>
    <s v="Tensor &quot;Hersey Kiss&quot; Styled Floor Lamp"/>
    <n v="0.73"/>
    <s v="United States"/>
    <x v="1"/>
    <s v="Massachusetts"/>
    <s v="Beverly"/>
    <n v="1915"/>
    <x v="52"/>
    <d v="2015-01-12T00:00:00"/>
    <n v="-556.80960000000005"/>
    <n v="11"/>
    <x v="243"/>
    <n v="88060"/>
    <x v="243"/>
  </r>
  <r>
    <n v="22756"/>
    <s v="Not Specified"/>
    <n v="0.06"/>
    <n v="14.42"/>
    <n v="6.75"/>
    <n v="468"/>
    <s v="Craig Bennett"/>
    <s v="Regular Air"/>
    <s v="Small Business"/>
    <x v="0"/>
    <x v="15"/>
    <s v="Medium Box"/>
    <s v="Holmes Odor Grabber"/>
    <n v="0.52"/>
    <s v="United States"/>
    <x v="1"/>
    <s v="Massachusetts"/>
    <s v="Hanson"/>
    <n v="2341"/>
    <x v="52"/>
    <d v="2015-01-12T00:00:00"/>
    <n v="-27.738800000000001"/>
    <n v="5"/>
    <x v="244"/>
    <n v="88060"/>
    <x v="244"/>
  </r>
  <r>
    <n v="22757"/>
    <s v="Not Specified"/>
    <n v="0.05"/>
    <n v="4.1399999999999997"/>
    <n v="6.6"/>
    <n v="469"/>
    <s v="Marion Bowling"/>
    <s v="Express Air"/>
    <s v="Small Business"/>
    <x v="1"/>
    <x v="2"/>
    <s v="Small Box"/>
    <s v="Eldon Image Series Black Desk Accessories"/>
    <n v="0.49"/>
    <s v="United States"/>
    <x v="1"/>
    <s v="New Jersey"/>
    <s v="Hawthorne"/>
    <n v="7506"/>
    <x v="52"/>
    <d v="2015-01-13T00:00:00"/>
    <n v="-128.68719999999999"/>
    <n v="7"/>
    <x v="245"/>
    <n v="88060"/>
    <x v="245"/>
  </r>
  <r>
    <n v="22758"/>
    <s v="Not Specified"/>
    <n v="0.03"/>
    <n v="11.34"/>
    <n v="5.01"/>
    <n v="470"/>
    <s v="Tony Doyle"/>
    <s v="Regular Air"/>
    <s v="Small Business"/>
    <x v="0"/>
    <x v="7"/>
    <s v="Small Box"/>
    <s v="Xerox 188"/>
    <n v="0.36"/>
    <s v="United States"/>
    <x v="1"/>
    <s v="New Jersey"/>
    <s v="Trenton"/>
    <n v="8601"/>
    <x v="52"/>
    <d v="2015-01-11T00:00:00"/>
    <n v="23.2028"/>
    <n v="5"/>
    <x v="246"/>
    <n v="88060"/>
    <x v="246"/>
  </r>
  <r>
    <n v="462"/>
    <s v="Not Specified"/>
    <n v="7.0000000000000007E-2"/>
    <n v="179.99"/>
    <n v="19.989999999999998"/>
    <n v="471"/>
    <s v="Ross Simpson"/>
    <s v="Express Air"/>
    <s v="Consumer"/>
    <x v="2"/>
    <x v="13"/>
    <s v="Small Box"/>
    <s v="Motorola SB4200 Cable Modem"/>
    <n v="0.48"/>
    <s v="United States"/>
    <x v="3"/>
    <s v="Georgia"/>
    <s v="Atlanta"/>
    <n v="30318"/>
    <x v="102"/>
    <d v="2015-02-08T00:00:00"/>
    <n v="-568.53510000000006"/>
    <n v="4"/>
    <x v="247"/>
    <n v="3138"/>
    <x v="247"/>
  </r>
  <r>
    <n v="18462"/>
    <s v="Not Specified"/>
    <n v="7.0000000000000007E-2"/>
    <n v="179.99"/>
    <n v="19.989999999999998"/>
    <n v="472"/>
    <s v="Donna Craven"/>
    <s v="Express Air"/>
    <s v="Consumer"/>
    <x v="2"/>
    <x v="13"/>
    <s v="Small Box"/>
    <s v="Motorola SB4200 Cable Modem"/>
    <n v="0.48"/>
    <s v="United States"/>
    <x v="1"/>
    <s v="Maryland"/>
    <s v="Randallstown"/>
    <n v="21133"/>
    <x v="102"/>
    <d v="2015-02-08T00:00:00"/>
    <n v="-427.47"/>
    <n v="1"/>
    <x v="248"/>
    <n v="88023"/>
    <x v="248"/>
  </r>
  <r>
    <n v="20637"/>
    <s v="Critical"/>
    <n v="0.03"/>
    <n v="11.97"/>
    <n v="4.9800000000000004"/>
    <n v="483"/>
    <s v="Edgar McKenzie"/>
    <s v="Regular Air"/>
    <s v="Corporate"/>
    <x v="0"/>
    <x v="15"/>
    <s v="Small Box"/>
    <s v="Staples 6 Outlet Surge"/>
    <n v="0.57999999999999996"/>
    <s v="United States"/>
    <x v="2"/>
    <s v="Illinois"/>
    <s v="Oswego"/>
    <n v="60543"/>
    <x v="39"/>
    <d v="2015-01-28T00:00:00"/>
    <n v="-18.190000000000001"/>
    <n v="6"/>
    <x v="249"/>
    <n v="90353"/>
    <x v="249"/>
  </r>
  <r>
    <n v="22864"/>
    <s v="Not Specified"/>
    <n v="0.06"/>
    <n v="3.36"/>
    <n v="6.27"/>
    <n v="483"/>
    <s v="Edgar McKenzie"/>
    <s v="Regular Air"/>
    <s v="Corporate"/>
    <x v="0"/>
    <x v="8"/>
    <s v="Small Box"/>
    <s v="Cardinal Poly Pocket Divider Pockets for Ring Binders"/>
    <n v="0.4"/>
    <s v="United States"/>
    <x v="2"/>
    <s v="Illinois"/>
    <s v="Oswego"/>
    <n v="60543"/>
    <x v="45"/>
    <d v="2015-04-24T00:00:00"/>
    <n v="-24.057539999999999"/>
    <n v="2"/>
    <x v="250"/>
    <n v="90354"/>
    <x v="250"/>
  </r>
  <r>
    <n v="22865"/>
    <s v="Not Specified"/>
    <n v="7.0000000000000007E-2"/>
    <n v="699.99"/>
    <n v="24.49"/>
    <n v="483"/>
    <s v="Edgar McKenzie"/>
    <s v="Regular Air"/>
    <s v="Corporate"/>
    <x v="2"/>
    <x v="16"/>
    <s v="Large Box"/>
    <s v="Canon PC1060 Personal Laser Copier"/>
    <n v="0.41"/>
    <s v="United States"/>
    <x v="2"/>
    <s v="Illinois"/>
    <s v="Oswego"/>
    <n v="60543"/>
    <x v="45"/>
    <d v="2015-04-25T00:00:00"/>
    <n v="2583.5614799999998"/>
    <n v="9"/>
    <x v="251"/>
    <n v="90354"/>
    <x v="251"/>
  </r>
  <r>
    <n v="20668"/>
    <s v="Not Specified"/>
    <n v="0.05"/>
    <n v="2.88"/>
    <n v="0.5"/>
    <n v="485"/>
    <s v="Edward Leonard"/>
    <s v="Regular Air"/>
    <s v="Corporate"/>
    <x v="0"/>
    <x v="9"/>
    <s v="Small Box"/>
    <s v="Avery 49"/>
    <n v="0.36"/>
    <s v="United States"/>
    <x v="0"/>
    <s v="California"/>
    <s v="Fresno"/>
    <n v="93727"/>
    <x v="103"/>
    <d v="2015-03-20T00:00:00"/>
    <n v="6.0513000000000003"/>
    <n v="3"/>
    <x v="252"/>
    <n v="91062"/>
    <x v="252"/>
  </r>
  <r>
    <n v="23394"/>
    <s v="Medium"/>
    <n v="0.1"/>
    <n v="3.36"/>
    <n v="6.27"/>
    <n v="487"/>
    <s v="Molly Vincent"/>
    <s v="Express Air"/>
    <s v="Corporate"/>
    <x v="0"/>
    <x v="8"/>
    <s v="Small Box"/>
    <s v="Cardinal Poly Pocket Divider Pockets for Ring Binders"/>
    <n v="0.4"/>
    <s v="United States"/>
    <x v="1"/>
    <s v="Maine"/>
    <s v="Sanford"/>
    <n v="4073"/>
    <x v="73"/>
    <d v="2015-05-19T00:00:00"/>
    <n v="-67.0565"/>
    <n v="5"/>
    <x v="253"/>
    <n v="91063"/>
    <x v="253"/>
  </r>
  <r>
    <n v="23395"/>
    <s v="Medium"/>
    <n v="7.0000000000000007E-2"/>
    <n v="12.28"/>
    <n v="4.8600000000000003"/>
    <n v="488"/>
    <s v="Ronnie Creech"/>
    <s v="Regular Air"/>
    <s v="Corporate"/>
    <x v="0"/>
    <x v="7"/>
    <s v="Small Box"/>
    <s v="Xerox 1933"/>
    <n v="0.38"/>
    <s v="United States"/>
    <x v="1"/>
    <s v="Maine"/>
    <s v="South Portland"/>
    <n v="4106"/>
    <x v="73"/>
    <d v="2015-05-20T00:00:00"/>
    <n v="-7.94"/>
    <n v="2"/>
    <x v="254"/>
    <n v="91063"/>
    <x v="254"/>
  </r>
  <r>
    <n v="23393"/>
    <s v="Medium"/>
    <n v="0.09"/>
    <n v="20.99"/>
    <n v="0.99"/>
    <n v="489"/>
    <s v="Eileen Cheek"/>
    <s v="Regular Air"/>
    <s v="Corporate"/>
    <x v="2"/>
    <x v="5"/>
    <s v="Wrap Bag"/>
    <s v="Accessory25"/>
    <n v="0.56999999999999995"/>
    <s v="United States"/>
    <x v="1"/>
    <s v="Massachusetts"/>
    <s v="Norwood"/>
    <n v="2062"/>
    <x v="73"/>
    <d v="2015-05-18T00:00:00"/>
    <n v="122.292"/>
    <n v="14"/>
    <x v="255"/>
    <n v="91063"/>
    <x v="255"/>
  </r>
  <r>
    <n v="1147"/>
    <s v="Medium"/>
    <n v="0.08"/>
    <n v="2.94"/>
    <n v="0.96"/>
    <n v="491"/>
    <s v="Toni Swanson"/>
    <s v="Regular Air"/>
    <s v="Consumer"/>
    <x v="0"/>
    <x v="0"/>
    <s v="Wrap Bag"/>
    <s v="Newell 343"/>
    <n v="0.57999999999999996"/>
    <s v="United States"/>
    <x v="1"/>
    <s v="New York"/>
    <s v="New York City"/>
    <n v="10154"/>
    <x v="7"/>
    <d v="2015-05-17T00:00:00"/>
    <n v="-2.12"/>
    <n v="23"/>
    <x v="256"/>
    <n v="8353"/>
    <x v="256"/>
  </r>
  <r>
    <n v="1450"/>
    <s v="Critical"/>
    <n v="0.01"/>
    <n v="4.9800000000000004"/>
    <n v="6.07"/>
    <n v="491"/>
    <s v="Toni Swanson"/>
    <s v="Regular Air"/>
    <s v="Consumer"/>
    <x v="0"/>
    <x v="7"/>
    <s v="Small Box"/>
    <s v="Xerox 1897"/>
    <n v="0.36"/>
    <s v="United States"/>
    <x v="1"/>
    <s v="New York"/>
    <s v="New York City"/>
    <n v="10154"/>
    <x v="104"/>
    <d v="2015-02-11T00:00:00"/>
    <n v="-69.069999999999993"/>
    <n v="41"/>
    <x v="257"/>
    <n v="10464"/>
    <x v="257"/>
  </r>
  <r>
    <n v="914"/>
    <s v="Critical"/>
    <n v="0.02"/>
    <n v="1360.14"/>
    <n v="14.7"/>
    <n v="491"/>
    <s v="Toni Swanson"/>
    <s v="Delivery Truck"/>
    <s v="Consumer"/>
    <x v="2"/>
    <x v="6"/>
    <s v="Jumbo Drum"/>
    <s v="Okidata ML395C Color Dot Matrix Printer"/>
    <n v="0.59"/>
    <s v="United States"/>
    <x v="1"/>
    <s v="New York"/>
    <s v="New York City"/>
    <n v="10154"/>
    <x v="105"/>
    <d v="2015-06-22T00:00:00"/>
    <n v="2028.12"/>
    <n v="22"/>
    <x v="258"/>
    <n v="6562"/>
    <x v="258"/>
  </r>
  <r>
    <n v="6046"/>
    <s v="Not Specified"/>
    <n v="0.02"/>
    <n v="9.06"/>
    <n v="9.86"/>
    <n v="491"/>
    <s v="Toni Swanson"/>
    <s v="Regular Air"/>
    <s v="Consumer"/>
    <x v="0"/>
    <x v="7"/>
    <s v="Small Box"/>
    <s v="Southworth 25% Cotton Linen-Finish Paper &amp; Envelopes"/>
    <n v="0.4"/>
    <s v="United States"/>
    <x v="1"/>
    <s v="New York"/>
    <s v="New York City"/>
    <n v="10154"/>
    <x v="105"/>
    <d v="2015-06-22T00:00:00"/>
    <n v="-63.51"/>
    <n v="24"/>
    <x v="259"/>
    <n v="42852"/>
    <x v="259"/>
  </r>
  <r>
    <n v="18757"/>
    <s v="Not Specified"/>
    <n v="0.02"/>
    <n v="6.48"/>
    <n v="6.6"/>
    <n v="493"/>
    <s v="Douglas Buck"/>
    <s v="Regular Air"/>
    <s v="Consumer"/>
    <x v="0"/>
    <x v="7"/>
    <s v="Small Box"/>
    <s v="Xerox 21"/>
    <n v="0.37"/>
    <s v="United States"/>
    <x v="0"/>
    <s v="Washington"/>
    <s v="Seatac"/>
    <n v="98158"/>
    <x v="13"/>
    <d v="2015-01-22T00:00:00"/>
    <n v="-92.05"/>
    <n v="10"/>
    <x v="260"/>
    <n v="88906"/>
    <x v="260"/>
  </r>
  <r>
    <n v="18758"/>
    <s v="Not Specified"/>
    <n v="0.04"/>
    <n v="17.149999999999999"/>
    <n v="4.96"/>
    <n v="493"/>
    <s v="Douglas Buck"/>
    <s v="Regular Air"/>
    <s v="Consumer"/>
    <x v="0"/>
    <x v="10"/>
    <s v="Small Box"/>
    <s v="Advantus Rolling Storage Box"/>
    <n v="0.57999999999999996"/>
    <s v="United States"/>
    <x v="0"/>
    <s v="Washington"/>
    <s v="Seatac"/>
    <n v="98158"/>
    <x v="13"/>
    <d v="2015-01-21T00:00:00"/>
    <n v="6.11"/>
    <n v="5"/>
    <x v="261"/>
    <n v="88906"/>
    <x v="261"/>
  </r>
  <r>
    <n v="19146"/>
    <s v="Medium"/>
    <n v="0.06"/>
    <n v="8.32"/>
    <n v="2.38"/>
    <n v="494"/>
    <s v="Jimmy Alston Holder"/>
    <s v="Regular Air"/>
    <s v="Consumer"/>
    <x v="2"/>
    <x v="13"/>
    <s v="Small Pack"/>
    <s v="Imation 3.5 IBM Formatted Diskettes, 10/Box"/>
    <n v="0.74"/>
    <s v="United States"/>
    <x v="0"/>
    <s v="Washington"/>
    <s v="Seattle"/>
    <n v="98115"/>
    <x v="7"/>
    <d v="2015-05-17T00:00:00"/>
    <n v="-36.630000000000003"/>
    <n v="12"/>
    <x v="262"/>
    <n v="88905"/>
    <x v="262"/>
  </r>
  <r>
    <n v="19147"/>
    <s v="Medium"/>
    <n v="0.08"/>
    <n v="2.94"/>
    <n v="0.96"/>
    <n v="494"/>
    <s v="Jimmy Alston Holder"/>
    <s v="Regular Air"/>
    <s v="Consumer"/>
    <x v="0"/>
    <x v="0"/>
    <s v="Wrap Bag"/>
    <s v="Newell 343"/>
    <n v="0.57999999999999996"/>
    <s v="United States"/>
    <x v="0"/>
    <s v="Washington"/>
    <s v="Seattle"/>
    <n v="98115"/>
    <x v="7"/>
    <d v="2015-05-17T00:00:00"/>
    <n v="-2.12"/>
    <n v="6"/>
    <x v="263"/>
    <n v="88905"/>
    <x v="263"/>
  </r>
  <r>
    <n v="19450"/>
    <s v="Critical"/>
    <n v="0.01"/>
    <n v="4.9800000000000004"/>
    <n v="6.07"/>
    <n v="494"/>
    <s v="Jimmy Alston Holder"/>
    <s v="Regular Air"/>
    <s v="Consumer"/>
    <x v="0"/>
    <x v="7"/>
    <s v="Small Box"/>
    <s v="Xerox 1897"/>
    <n v="0.36"/>
    <s v="United States"/>
    <x v="0"/>
    <s v="Washington"/>
    <s v="Seattle"/>
    <n v="98115"/>
    <x v="104"/>
    <d v="2015-02-11T00:00:00"/>
    <n v="-35.916400000000003"/>
    <n v="10"/>
    <x v="264"/>
    <n v="88907"/>
    <x v="264"/>
  </r>
  <r>
    <n v="18914"/>
    <s v="Critical"/>
    <n v="0.02"/>
    <n v="1360.14"/>
    <n v="14.7"/>
    <n v="494"/>
    <s v="Jimmy Alston Holder"/>
    <s v="Delivery Truck"/>
    <s v="Consumer"/>
    <x v="2"/>
    <x v="6"/>
    <s v="Jumbo Drum"/>
    <s v="Okidata ML395C Color Dot Matrix Printer"/>
    <n v="0.59"/>
    <s v="United States"/>
    <x v="0"/>
    <s v="Washington"/>
    <s v="Seattle"/>
    <n v="98115"/>
    <x v="105"/>
    <d v="2015-06-22T00:00:00"/>
    <n v="3042.18"/>
    <n v="6"/>
    <x v="265"/>
    <n v="88908"/>
    <x v="265"/>
  </r>
  <r>
    <n v="24046"/>
    <s v="Not Specified"/>
    <n v="0.02"/>
    <n v="9.06"/>
    <n v="9.86"/>
    <n v="494"/>
    <s v="Jimmy Alston Holder"/>
    <s v="Regular Air"/>
    <s v="Consumer"/>
    <x v="0"/>
    <x v="7"/>
    <s v="Small Box"/>
    <s v="Southworth 25% Cotton Linen-Finish Paper &amp; Envelopes"/>
    <n v="0.4"/>
    <s v="United States"/>
    <x v="0"/>
    <s v="Washington"/>
    <s v="Seattle"/>
    <n v="98115"/>
    <x v="105"/>
    <d v="2015-06-22T00:00:00"/>
    <n v="-31.754999999999999"/>
    <n v="6"/>
    <x v="266"/>
    <n v="88908"/>
    <x v="266"/>
  </r>
  <r>
    <n v="26315"/>
    <s v="Critical"/>
    <n v="7.0000000000000007E-2"/>
    <n v="152.47999999999999"/>
    <n v="6.5"/>
    <n v="497"/>
    <s v="Steve McKee"/>
    <s v="Regular Air"/>
    <s v="Small Business"/>
    <x v="2"/>
    <x v="13"/>
    <s v="Small Box"/>
    <s v="Adesso Programmable 142-Key Keyboard"/>
    <n v="0.74"/>
    <s v="United States"/>
    <x v="3"/>
    <s v="Tennessee"/>
    <s v="Murfreesboro"/>
    <n v="37130"/>
    <x v="50"/>
    <d v="2015-05-16T00:00:00"/>
    <n v="171.83879999999999"/>
    <n v="35"/>
    <x v="267"/>
    <n v="90706"/>
    <x v="267"/>
  </r>
  <r>
    <n v="18303"/>
    <s v="Critical"/>
    <n v="0.01"/>
    <n v="55.98"/>
    <n v="4.8600000000000003"/>
    <n v="507"/>
    <s v="Carol Saunders"/>
    <s v="Express Air"/>
    <s v="Corporate"/>
    <x v="0"/>
    <x v="7"/>
    <s v="Small Box"/>
    <s v="Xerox 1908"/>
    <n v="0.36"/>
    <s v="United States"/>
    <x v="3"/>
    <s v="Kentucky"/>
    <s v="Bowling Green"/>
    <n v="42104"/>
    <x v="106"/>
    <d v="2015-04-20T00:00:00"/>
    <n v="32.940899999999999"/>
    <n v="11"/>
    <x v="268"/>
    <n v="87357"/>
    <x v="268"/>
  </r>
  <r>
    <n v="18304"/>
    <s v="Critical"/>
    <n v="0.04"/>
    <n v="65.989999999999995"/>
    <n v="8.99"/>
    <n v="507"/>
    <s v="Carol Saunders"/>
    <s v="Regular Air"/>
    <s v="Corporate"/>
    <x v="2"/>
    <x v="5"/>
    <s v="Small Box"/>
    <s v="Talkabout T8367"/>
    <n v="0.56000000000000005"/>
    <s v="United States"/>
    <x v="3"/>
    <s v="Kentucky"/>
    <s v="Bowling Green"/>
    <n v="42104"/>
    <x v="106"/>
    <d v="2015-04-19T00:00:00"/>
    <n v="131.334"/>
    <n v="17"/>
    <x v="269"/>
    <n v="87357"/>
    <x v="269"/>
  </r>
  <r>
    <n v="21958"/>
    <s v="High"/>
    <n v="0.01"/>
    <n v="20.98"/>
    <n v="53.03"/>
    <n v="508"/>
    <s v="Cameron Owens"/>
    <s v="Delivery Truck"/>
    <s v="Corporate"/>
    <x v="0"/>
    <x v="10"/>
    <s v="Jumbo Drum"/>
    <s v="Tennsco Lockers, Gray"/>
    <n v="0.78"/>
    <s v="United States"/>
    <x v="3"/>
    <s v="Kentucky"/>
    <s v="Covington"/>
    <n v="41011"/>
    <x v="67"/>
    <d v="2015-02-23T00:00:00"/>
    <n v="-282.08179999999999"/>
    <n v="5"/>
    <x v="270"/>
    <n v="87356"/>
    <x v="270"/>
  </r>
  <r>
    <n v="18305"/>
    <s v="Critical"/>
    <n v="0.01"/>
    <n v="128.24"/>
    <n v="12.65"/>
    <n v="508"/>
    <s v="Cameron Owens"/>
    <s v="Regular Air"/>
    <s v="Corporate"/>
    <x v="1"/>
    <x v="1"/>
    <s v="Medium Box"/>
    <s v="SAFCO Folding Chair Trolley"/>
    <m/>
    <s v="United States"/>
    <x v="3"/>
    <s v="Kentucky"/>
    <s v="Covington"/>
    <n v="41011"/>
    <x v="106"/>
    <d v="2015-04-21T00:00:00"/>
    <n v="140.1354"/>
    <n v="4"/>
    <x v="271"/>
    <n v="87357"/>
    <x v="271"/>
  </r>
  <r>
    <n v="19895"/>
    <s v="Low"/>
    <n v="0.02"/>
    <n v="48.04"/>
    <n v="5.09"/>
    <n v="510"/>
    <s v="Gregory Rao"/>
    <s v="Regular Air"/>
    <s v="Corporate"/>
    <x v="0"/>
    <x v="7"/>
    <s v="Small Box"/>
    <s v="Xerox 1910"/>
    <n v="0.37"/>
    <s v="United States"/>
    <x v="0"/>
    <s v="California"/>
    <s v="Manteca"/>
    <n v="95336"/>
    <x v="107"/>
    <d v="2015-01-13T00:00:00"/>
    <n v="105.2526"/>
    <n v="3"/>
    <x v="272"/>
    <n v="90058"/>
    <x v="272"/>
  </r>
  <r>
    <n v="20007"/>
    <s v="Critical"/>
    <n v="0.03"/>
    <n v="6.37"/>
    <n v="5.19"/>
    <n v="510"/>
    <s v="Gregory Rao"/>
    <s v="Regular Air"/>
    <s v="Corporate"/>
    <x v="0"/>
    <x v="8"/>
    <s v="Small Box"/>
    <s v="C-Line Peel &amp; Stick Add-On Filing Pockets, 8-3/4 x 5-1/8, 10/Pack"/>
    <n v="0.38"/>
    <s v="United States"/>
    <x v="0"/>
    <s v="California"/>
    <s v="Manteca"/>
    <n v="95336"/>
    <x v="108"/>
    <d v="2015-02-02T00:00:00"/>
    <n v="-29.092700000000001"/>
    <n v="14"/>
    <x v="273"/>
    <n v="90059"/>
    <x v="273"/>
  </r>
  <r>
    <n v="20216"/>
    <s v="Low"/>
    <n v="7.0000000000000007E-2"/>
    <n v="12.64"/>
    <n v="4.9800000000000004"/>
    <n v="518"/>
    <s v="Mark Ritchie"/>
    <s v="Regular Air"/>
    <s v="Home Office"/>
    <x v="1"/>
    <x v="2"/>
    <s v="Small Pack"/>
    <s v="Nu-Dell Executive Frame"/>
    <n v="0.48"/>
    <s v="United States"/>
    <x v="2"/>
    <s v="Missouri"/>
    <s v="Clayton"/>
    <n v="63105"/>
    <x v="75"/>
    <d v="2015-06-12T00:00:00"/>
    <n v="113.41500000000001"/>
    <n v="16"/>
    <x v="274"/>
    <n v="90867"/>
    <x v="274"/>
  </r>
  <r>
    <n v="23200"/>
    <s v="Medium"/>
    <n v="0.02"/>
    <n v="150.97999999999999"/>
    <n v="13.99"/>
    <n v="522"/>
    <s v="Aaron Riggs"/>
    <s v="Express Air"/>
    <s v="Small Business"/>
    <x v="2"/>
    <x v="6"/>
    <s v="Medium Box"/>
    <s v="Canon MP41DH Printing Calculator"/>
    <n v="0.38"/>
    <s v="United States"/>
    <x v="0"/>
    <s v="Oregon"/>
    <s v="Redmond"/>
    <n v="97756"/>
    <x v="33"/>
    <d v="2015-06-24T00:00:00"/>
    <n v="26.1"/>
    <n v="3"/>
    <x v="275"/>
    <n v="89327"/>
    <x v="275"/>
  </r>
  <r>
    <n v="23201"/>
    <s v="Medium"/>
    <n v="0.1"/>
    <n v="5.43"/>
    <n v="0.95"/>
    <n v="522"/>
    <s v="Aaron Riggs"/>
    <s v="Regular Air"/>
    <s v="Small Business"/>
    <x v="0"/>
    <x v="7"/>
    <s v="Wrap Bag"/>
    <s v="Wirebound Message Book, 4 per Page"/>
    <n v="0.36"/>
    <s v="United States"/>
    <x v="0"/>
    <s v="Oregon"/>
    <s v="Redmond"/>
    <n v="97756"/>
    <x v="33"/>
    <d v="2015-06-24T00:00:00"/>
    <n v="-2.58"/>
    <n v="1"/>
    <x v="276"/>
    <n v="89327"/>
    <x v="276"/>
  </r>
  <r>
    <n v="23202"/>
    <s v="Medium"/>
    <n v="0.01"/>
    <n v="179.29"/>
    <n v="29.21"/>
    <n v="522"/>
    <s v="Aaron Riggs"/>
    <s v="Delivery Truck"/>
    <s v="Small Business"/>
    <x v="1"/>
    <x v="11"/>
    <s v="Jumbo Box"/>
    <s v="Bevis Round Conference Table Top, X-Base"/>
    <n v="0.74"/>
    <s v="United States"/>
    <x v="0"/>
    <s v="Oregon"/>
    <s v="Redmond"/>
    <n v="97756"/>
    <x v="33"/>
    <d v="2015-06-23T00:00:00"/>
    <n v="2800.12"/>
    <n v="21"/>
    <x v="277"/>
    <n v="89327"/>
    <x v="277"/>
  </r>
  <r>
    <n v="21517"/>
    <s v="Not Specified"/>
    <n v="0.03"/>
    <n v="1270.99"/>
    <n v="19.989999999999998"/>
    <n v="524"/>
    <s v="Gina McKnight"/>
    <s v="Regular Air"/>
    <s v="Consumer"/>
    <x v="0"/>
    <x v="8"/>
    <s v="Small Box"/>
    <s v="Fellowes PB500 Electric Punch Plastic Comb Binding Machine with Manual Bind"/>
    <n v="0.35"/>
    <s v="United States"/>
    <x v="3"/>
    <s v="Tennessee"/>
    <s v="Farragut"/>
    <n v="37922"/>
    <x v="13"/>
    <d v="2015-01-22T00:00:00"/>
    <n v="363.55200000000002"/>
    <n v="2"/>
    <x v="278"/>
    <n v="91127"/>
    <x v="278"/>
  </r>
  <r>
    <n v="21518"/>
    <s v="Not Specified"/>
    <n v="7.0000000000000007E-2"/>
    <n v="2036.48"/>
    <n v="14.7"/>
    <n v="524"/>
    <s v="Gina McKnight"/>
    <s v="Delivery Truck"/>
    <s v="Consumer"/>
    <x v="2"/>
    <x v="6"/>
    <s v="Jumbo Drum"/>
    <s v="Lexmark 4227 Plus Dot Matrix Printer"/>
    <n v="0.55000000000000004"/>
    <s v="United States"/>
    <x v="3"/>
    <s v="Tennessee"/>
    <s v="Farragut"/>
    <n v="37922"/>
    <x v="13"/>
    <d v="2015-01-22T00:00:00"/>
    <n v="-11.536"/>
    <n v="1"/>
    <x v="279"/>
    <n v="91127"/>
    <x v="279"/>
  </r>
  <r>
    <n v="22176"/>
    <s v="High"/>
    <n v="0.09"/>
    <n v="17.98"/>
    <n v="8.51"/>
    <n v="526"/>
    <s v="April Hu"/>
    <s v="Regular Air"/>
    <s v="Home Office"/>
    <x v="2"/>
    <x v="6"/>
    <s v="Medium Box"/>
    <s v="Canon P1-DHIII Palm Printing Calculator"/>
    <n v="0.4"/>
    <s v="United States"/>
    <x v="0"/>
    <s v="Arizona"/>
    <s v="Mesa"/>
    <n v="85204"/>
    <x v="40"/>
    <d v="2015-05-27T00:00:00"/>
    <n v="-6.6120000000000001"/>
    <n v="12"/>
    <x v="280"/>
    <n v="90026"/>
    <x v="280"/>
  </r>
  <r>
    <n v="20494"/>
    <s v="Not Specified"/>
    <n v="0"/>
    <n v="1.88"/>
    <n v="1.49"/>
    <n v="526"/>
    <s v="April Hu"/>
    <s v="Regular Air"/>
    <s v="Home Office"/>
    <x v="0"/>
    <x v="8"/>
    <s v="Small Box"/>
    <s v="Staples® General Use 3-Ring Binders"/>
    <n v="0.37"/>
    <s v="United States"/>
    <x v="0"/>
    <s v="Arizona"/>
    <s v="Mesa"/>
    <n v="85204"/>
    <x v="60"/>
    <d v="2015-01-18T00:00:00"/>
    <n v="-15.5595"/>
    <n v="13"/>
    <x v="281"/>
    <n v="90027"/>
    <x v="281"/>
  </r>
  <r>
    <n v="20495"/>
    <s v="Not Specified"/>
    <n v="0.06"/>
    <n v="5.78"/>
    <n v="5.67"/>
    <n v="526"/>
    <s v="April Hu"/>
    <s v="Regular Air"/>
    <s v="Home Office"/>
    <x v="0"/>
    <x v="7"/>
    <s v="Small Box"/>
    <s v="Xerox 1978"/>
    <n v="0.36"/>
    <s v="United States"/>
    <x v="0"/>
    <s v="Arizona"/>
    <s v="Mesa"/>
    <n v="85204"/>
    <x v="60"/>
    <d v="2015-01-18T00:00:00"/>
    <n v="-108.19"/>
    <n v="15"/>
    <x v="282"/>
    <n v="90027"/>
    <x v="282"/>
  </r>
  <r>
    <n v="26210"/>
    <s v="Low"/>
    <n v="0"/>
    <n v="15.99"/>
    <n v="13.18"/>
    <n v="535"/>
    <s v="Jill Clements"/>
    <s v="Regular Air"/>
    <s v="Corporate"/>
    <x v="0"/>
    <x v="8"/>
    <s v="Small Box"/>
    <s v="GBC Pre-Punched Binding Paper, Plastic, White, 8-1/2&quot; x 11&quot;"/>
    <n v="0.37"/>
    <s v="United States"/>
    <x v="3"/>
    <s v="Virginia"/>
    <s v="Montclair"/>
    <n v="22025"/>
    <x v="109"/>
    <d v="2015-04-25T00:00:00"/>
    <n v="46.488"/>
    <n v="23"/>
    <x v="283"/>
    <n v="88511"/>
    <x v="283"/>
  </r>
  <r>
    <n v="20811"/>
    <s v="Medium"/>
    <n v="0.05"/>
    <n v="59.78"/>
    <n v="10.29"/>
    <n v="539"/>
    <s v="Alice Coley"/>
    <s v="Regular Air"/>
    <s v="Small Business"/>
    <x v="0"/>
    <x v="8"/>
    <s v="Small Box"/>
    <s v="GBC Recycled Regency Composition Covers"/>
    <n v="0.39"/>
    <s v="United States"/>
    <x v="2"/>
    <s v="Illinois"/>
    <s v="Urbana"/>
    <n v="61801"/>
    <x v="50"/>
    <d v="2015-05-15T00:00:00"/>
    <n v="159.52969999999999"/>
    <n v="7"/>
    <x v="284"/>
    <n v="91174"/>
    <x v="284"/>
  </r>
  <r>
    <n v="20812"/>
    <s v="Medium"/>
    <n v="0.08"/>
    <n v="20.99"/>
    <n v="1.25"/>
    <n v="540"/>
    <s v="Ruth Lamm"/>
    <s v="Regular Air"/>
    <s v="Small Business"/>
    <x v="2"/>
    <x v="5"/>
    <s v="Small Pack"/>
    <s v="Accessory29"/>
    <n v="0.83"/>
    <s v="United States"/>
    <x v="2"/>
    <s v="Illinois"/>
    <s v="Vernon Hills"/>
    <n v="60061"/>
    <x v="50"/>
    <d v="2015-05-16T00:00:00"/>
    <n v="15.3714"/>
    <n v="28"/>
    <x v="285"/>
    <n v="91174"/>
    <x v="285"/>
  </r>
  <r>
    <n v="24783"/>
    <s v="Medium"/>
    <n v="0.05"/>
    <n v="204.1"/>
    <n v="13.99"/>
    <n v="540"/>
    <s v="Ruth Lamm"/>
    <s v="Regular Air"/>
    <s v="Small Business"/>
    <x v="2"/>
    <x v="6"/>
    <s v="Medium Box"/>
    <s v="Soundgear Copyboard Conference Phone, Optional Battery"/>
    <n v="0.37"/>
    <s v="United States"/>
    <x v="2"/>
    <s v="Illinois"/>
    <s v="Vernon Hills"/>
    <n v="60061"/>
    <x v="94"/>
    <d v="2015-05-25T00:00:00"/>
    <n v="5924.1122999999998"/>
    <n v="41"/>
    <x v="286"/>
    <n v="91175"/>
    <x v="286"/>
  </r>
  <r>
    <n v="23401"/>
    <s v="Not Specified"/>
    <n v="0.03"/>
    <n v="13.73"/>
    <n v="6.85"/>
    <n v="547"/>
    <s v="Henry Ball"/>
    <s v="Express Air"/>
    <s v="Corporate"/>
    <x v="1"/>
    <x v="2"/>
    <s v="Wrap Bag"/>
    <s v="DAX Wood Document Frame."/>
    <n v="0.54"/>
    <s v="United States"/>
    <x v="1"/>
    <s v="West Virginia"/>
    <s v="Morgantown"/>
    <n v="26501"/>
    <x v="110"/>
    <d v="2015-06-15T00:00:00"/>
    <n v="39.585299999999997"/>
    <n v="4"/>
    <x v="287"/>
    <n v="86250"/>
    <x v="287"/>
  </r>
  <r>
    <n v="25806"/>
    <s v="Not Specified"/>
    <n v="0.02"/>
    <n v="7.1"/>
    <n v="6.05"/>
    <n v="549"/>
    <s v="Dennis Boykin Townsend"/>
    <s v="Regular Air"/>
    <s v="Corporate"/>
    <x v="0"/>
    <x v="8"/>
    <s v="Small Box"/>
    <s v="Wilson Jones Hanging View Binder, White, 1&quot;"/>
    <n v="0.39"/>
    <s v="United States"/>
    <x v="0"/>
    <s v="New Mexico"/>
    <s v="Roswell"/>
    <n v="88201"/>
    <x v="13"/>
    <d v="2015-01-20T00:00:00"/>
    <n v="-66.378"/>
    <n v="9"/>
    <x v="288"/>
    <n v="90908"/>
    <x v="288"/>
  </r>
  <r>
    <n v="24132"/>
    <s v="High"/>
    <n v="0.05"/>
    <n v="1.68"/>
    <n v="1.57"/>
    <n v="550"/>
    <s v="Edna Monroe Talley"/>
    <s v="Regular Air"/>
    <s v="Corporate"/>
    <x v="0"/>
    <x v="0"/>
    <s v="Wrap Bag"/>
    <s v="Newell 323"/>
    <n v="0.59"/>
    <s v="United States"/>
    <x v="2"/>
    <s v="Texas"/>
    <s v="Seguin"/>
    <n v="78155"/>
    <x v="111"/>
    <d v="2015-01-31T00:00:00"/>
    <n v="-33.340000000000003"/>
    <n v="11"/>
    <x v="289"/>
    <n v="90909"/>
    <x v="289"/>
  </r>
  <r>
    <n v="24133"/>
    <s v="High"/>
    <n v="0.1"/>
    <n v="218.75"/>
    <n v="69.64"/>
    <n v="550"/>
    <s v="Edna Monroe Talley"/>
    <s v="Delivery Truck"/>
    <s v="Corporate"/>
    <x v="1"/>
    <x v="11"/>
    <s v="Jumbo Box"/>
    <s v="BoxOffice By Design Rectangular and Half-Moon Meeting Room Tables"/>
    <n v="0.77"/>
    <s v="United States"/>
    <x v="2"/>
    <s v="Texas"/>
    <s v="Seguin"/>
    <n v="78155"/>
    <x v="111"/>
    <d v="2015-02-01T00:00:00"/>
    <n v="-201.27600000000001"/>
    <n v="1"/>
    <x v="290"/>
    <n v="90909"/>
    <x v="290"/>
  </r>
  <r>
    <n v="23209"/>
    <s v="Medium"/>
    <n v="0.06"/>
    <n v="549.99"/>
    <n v="49"/>
    <n v="550"/>
    <s v="Edna Monroe Talley"/>
    <s v="Delivery Truck"/>
    <s v="Corporate"/>
    <x v="2"/>
    <x v="16"/>
    <s v="Jumbo Drum"/>
    <s v="Sharp 1540cs Digital Laser Copier"/>
    <n v="0.35"/>
    <s v="United States"/>
    <x v="2"/>
    <s v="Texas"/>
    <s v="Seguin"/>
    <n v="78155"/>
    <x v="20"/>
    <d v="2015-06-13T00:00:00"/>
    <n v="4637.4071999999996"/>
    <n v="13"/>
    <x v="291"/>
    <n v="90910"/>
    <x v="291"/>
  </r>
  <r>
    <n v="23210"/>
    <s v="Medium"/>
    <n v="0.08"/>
    <n v="115.99"/>
    <n v="5.99"/>
    <n v="550"/>
    <s v="Edna Monroe Talley"/>
    <s v="Express Air"/>
    <s v="Corporate"/>
    <x v="2"/>
    <x v="5"/>
    <s v="Small Box"/>
    <n v="2160"/>
    <n v="0.56999999999999995"/>
    <s v="United States"/>
    <x v="2"/>
    <s v="Texas"/>
    <s v="Seguin"/>
    <n v="78155"/>
    <x v="20"/>
    <d v="2015-06-13T00:00:00"/>
    <n v="-239.54150000000001"/>
    <n v="1"/>
    <x v="292"/>
    <n v="90910"/>
    <x v="292"/>
  </r>
  <r>
    <n v="24134"/>
    <s v="High"/>
    <n v="0"/>
    <n v="15.04"/>
    <n v="1.97"/>
    <n v="551"/>
    <s v="Peggy Chan"/>
    <s v="Regular Air"/>
    <s v="Corporate"/>
    <x v="0"/>
    <x v="7"/>
    <s v="Wrap Bag"/>
    <s v="White GlueTop Scratch Pads"/>
    <n v="0.39"/>
    <s v="United States"/>
    <x v="2"/>
    <s v="Texas"/>
    <s v="Sherman"/>
    <n v="75090"/>
    <x v="111"/>
    <d v="2015-02-01T00:00:00"/>
    <n v="21.514199999999999"/>
    <n v="2"/>
    <x v="293"/>
    <n v="90909"/>
    <x v="293"/>
  </r>
  <r>
    <n v="2368"/>
    <s v="Medium"/>
    <n v="0"/>
    <n v="6.88"/>
    <n v="2"/>
    <n v="553"/>
    <s v="Kristine Connolly"/>
    <s v="Express Air"/>
    <s v="Home Office"/>
    <x v="0"/>
    <x v="7"/>
    <s v="Wrap Bag"/>
    <s v="Adams Phone Message Book, 200 Message Capacity, 8 1/16” x 11”"/>
    <n v="0.39"/>
    <s v="United States"/>
    <x v="0"/>
    <s v="California"/>
    <s v="Los Angeles"/>
    <n v="90008"/>
    <x v="9"/>
    <d v="2015-01-29T00:00:00"/>
    <n v="34.067999999999998"/>
    <n v="36"/>
    <x v="294"/>
    <n v="17155"/>
    <x v="294"/>
  </r>
  <r>
    <n v="349"/>
    <s v="Not Specified"/>
    <n v="7.0000000000000007E-2"/>
    <n v="2036.48"/>
    <n v="14.7"/>
    <n v="553"/>
    <s v="Kristine Connolly"/>
    <s v="Delivery Truck"/>
    <s v="Corporate"/>
    <x v="2"/>
    <x v="6"/>
    <s v="Jumbo Drum"/>
    <s v="Lexmark 4227 Plus Dot Matrix Printer"/>
    <n v="0.55000000000000004"/>
    <s v="United States"/>
    <x v="0"/>
    <s v="California"/>
    <s v="Los Angeles"/>
    <n v="90008"/>
    <x v="54"/>
    <d v="2015-02-21T00:00:00"/>
    <n v="4073.25"/>
    <n v="25"/>
    <x v="295"/>
    <n v="2433"/>
    <x v="295"/>
  </r>
  <r>
    <n v="1115"/>
    <s v="Low"/>
    <n v="0.01"/>
    <n v="4.9800000000000004"/>
    <n v="7.44"/>
    <n v="553"/>
    <s v="Kristine Connolly"/>
    <s v="Regular Air"/>
    <s v="Corporate"/>
    <x v="0"/>
    <x v="7"/>
    <s v="Small Box"/>
    <s v="Xerox 1922"/>
    <n v="0.36"/>
    <s v="United States"/>
    <x v="0"/>
    <s v="California"/>
    <s v="Los Angeles"/>
    <n v="90008"/>
    <x v="112"/>
    <d v="2015-04-24T00:00:00"/>
    <n v="-179.59200000000001"/>
    <n v="63"/>
    <x v="296"/>
    <n v="8165"/>
    <x v="296"/>
  </r>
  <r>
    <n v="64"/>
    <s v="Medium"/>
    <n v="0.08"/>
    <n v="124.49"/>
    <n v="51.94"/>
    <n v="553"/>
    <s v="Kristine Connolly"/>
    <s v="Delivery Truck"/>
    <s v="Corporate"/>
    <x v="1"/>
    <x v="11"/>
    <s v="Jumbo Box"/>
    <s v="Bevis 36 x 72 Conference Tables"/>
    <n v="0.63"/>
    <s v="United States"/>
    <x v="0"/>
    <s v="California"/>
    <s v="Los Angeles"/>
    <n v="90008"/>
    <x v="49"/>
    <d v="2015-06-19T00:00:00"/>
    <n v="-500.38"/>
    <n v="56"/>
    <x v="297"/>
    <n v="359"/>
    <x v="297"/>
  </r>
  <r>
    <n v="18349"/>
    <s v="Not Specified"/>
    <n v="7.0000000000000007E-2"/>
    <n v="2036.48"/>
    <n v="14.7"/>
    <n v="555"/>
    <s v="Walter Young"/>
    <s v="Delivery Truck"/>
    <s v="Corporate"/>
    <x v="2"/>
    <x v="6"/>
    <s v="Jumbo Drum"/>
    <s v="Lexmark 4227 Plus Dot Matrix Printer"/>
    <n v="0.55000000000000004"/>
    <s v="United States"/>
    <x v="0"/>
    <s v="Utah"/>
    <s v="Pleasant Grove"/>
    <n v="84062"/>
    <x v="54"/>
    <d v="2015-02-21T00:00:00"/>
    <n v="6028.41"/>
    <n v="6"/>
    <x v="298"/>
    <n v="86190"/>
    <x v="298"/>
  </r>
  <r>
    <n v="19115"/>
    <s v="Low"/>
    <n v="0.01"/>
    <n v="4.9800000000000004"/>
    <n v="7.44"/>
    <n v="555"/>
    <s v="Walter Young"/>
    <s v="Regular Air"/>
    <s v="Corporate"/>
    <x v="0"/>
    <x v="7"/>
    <s v="Small Box"/>
    <s v="Xerox 1922"/>
    <n v="0.36"/>
    <s v="United States"/>
    <x v="0"/>
    <s v="Utah"/>
    <s v="Pleasant Grove"/>
    <n v="84062"/>
    <x v="112"/>
    <d v="2015-04-24T00:00:00"/>
    <n v="-161.6328"/>
    <n v="16"/>
    <x v="299"/>
    <n v="86191"/>
    <x v="299"/>
  </r>
  <r>
    <n v="18064"/>
    <s v="Medium"/>
    <n v="0.08"/>
    <n v="124.49"/>
    <n v="51.94"/>
    <n v="555"/>
    <s v="Walter Young"/>
    <s v="Delivery Truck"/>
    <s v="Corporate"/>
    <x v="1"/>
    <x v="11"/>
    <s v="Jumbo Box"/>
    <s v="Bevis 36 x 72 Conference Tables"/>
    <n v="0.63"/>
    <s v="United States"/>
    <x v="0"/>
    <s v="Utah"/>
    <s v="Pleasant Grove"/>
    <n v="84062"/>
    <x v="49"/>
    <d v="2015-06-19T00:00:00"/>
    <n v="-250.19"/>
    <n v="14"/>
    <x v="300"/>
    <n v="86192"/>
    <x v="300"/>
  </r>
  <r>
    <n v="20368"/>
    <s v="Medium"/>
    <n v="0"/>
    <n v="6.88"/>
    <n v="2"/>
    <n v="556"/>
    <s v="Kristina Sanders"/>
    <s v="Express Air"/>
    <s v="Home Office"/>
    <x v="0"/>
    <x v="7"/>
    <s v="Wrap Bag"/>
    <s v="Adams Phone Message Book, 200 Message Capacity, 8 1/16” x 11”"/>
    <n v="0.39"/>
    <s v="United States"/>
    <x v="0"/>
    <s v="Utah"/>
    <s v="Provo"/>
    <n v="84604"/>
    <x v="9"/>
    <d v="2015-01-29T00:00:00"/>
    <n v="46.147199999999998"/>
    <n v="9"/>
    <x v="301"/>
    <n v="86189"/>
    <x v="301"/>
  </r>
  <r>
    <n v="20369"/>
    <s v="Medium"/>
    <n v="0.03"/>
    <n v="32.479999999999997"/>
    <n v="35"/>
    <n v="556"/>
    <s v="Kristina Sanders"/>
    <s v="Express Air"/>
    <s v="Home Office"/>
    <x v="0"/>
    <x v="10"/>
    <s v="Large Box"/>
    <s v="Fellowes Neat Ideas® Storage Cubes"/>
    <n v="0.81"/>
    <s v="United States"/>
    <x v="0"/>
    <s v="Utah"/>
    <s v="Provo"/>
    <n v="84604"/>
    <x v="9"/>
    <d v="2015-01-28T00:00:00"/>
    <n v="-1116.3348000000001"/>
    <n v="8"/>
    <x v="302"/>
    <n v="86189"/>
    <x v="302"/>
  </r>
  <r>
    <n v="21966"/>
    <s v="Critical"/>
    <n v="0.02"/>
    <n v="280.98"/>
    <n v="57"/>
    <n v="568"/>
    <s v="Peter McConnell"/>
    <s v="Delivery Truck"/>
    <s v="Consumer"/>
    <x v="1"/>
    <x v="1"/>
    <s v="Jumbo Drum"/>
    <s v="Hon 2090 “Pillow Soft” Series Mid Back Swivel/Tilt Chairs"/>
    <n v="0.78"/>
    <s v="United States"/>
    <x v="3"/>
    <s v="Mississippi"/>
    <s v="Columbus"/>
    <n v="39701"/>
    <x v="30"/>
    <d v="2015-03-05T00:00:00"/>
    <n v="1141.7940000000001"/>
    <n v="4"/>
    <x v="303"/>
    <n v="88879"/>
    <x v="303"/>
  </r>
  <r>
    <n v="22667"/>
    <s v="Not Specified"/>
    <n v="0.09"/>
    <n v="70.97"/>
    <n v="3.5"/>
    <n v="568"/>
    <s v="Peter McConnell"/>
    <s v="Regular Air"/>
    <s v="Consumer"/>
    <x v="0"/>
    <x v="15"/>
    <s v="Small Box"/>
    <s v="Tripp Lite Isotel 8 Ultra 8 Outlet Metal Surge"/>
    <n v="0.59"/>
    <s v="United States"/>
    <x v="3"/>
    <s v="Mississippi"/>
    <s v="Columbus"/>
    <n v="39701"/>
    <x v="112"/>
    <d v="2015-04-15T00:00:00"/>
    <n v="-99.567999999999998"/>
    <n v="12"/>
    <x v="304"/>
    <n v="88880"/>
    <x v="304"/>
  </r>
  <r>
    <n v="22736"/>
    <s v="Medium"/>
    <n v="0.08"/>
    <n v="67.28"/>
    <n v="19.989999999999998"/>
    <n v="568"/>
    <s v="Peter McConnell"/>
    <s v="Express Air"/>
    <s v="Consumer"/>
    <x v="0"/>
    <x v="8"/>
    <s v="Small Box"/>
    <s v="Catalog Binders with Expanding Posts"/>
    <n v="0.4"/>
    <s v="United States"/>
    <x v="3"/>
    <s v="Mississippi"/>
    <s v="Columbus"/>
    <n v="39701"/>
    <x v="113"/>
    <d v="2015-04-03T00:00:00"/>
    <n v="224.85059999999999"/>
    <n v="16"/>
    <x v="305"/>
    <n v="88882"/>
    <x v="305"/>
  </r>
  <r>
    <n v="26038"/>
    <s v="Low"/>
    <n v="0.06"/>
    <n v="7.99"/>
    <n v="5.03"/>
    <n v="570"/>
    <s v="Katharine Bass"/>
    <s v="Regular Air"/>
    <s v="Consumer"/>
    <x v="2"/>
    <x v="5"/>
    <s v="Medium Box"/>
    <s v="Bell Sonecor JB700 Caller ID"/>
    <n v="0.6"/>
    <s v="United States"/>
    <x v="0"/>
    <s v="Nevada"/>
    <s v="Henderson"/>
    <n v="89015"/>
    <x v="107"/>
    <d v="2015-01-13T00:00:00"/>
    <n v="-122.133"/>
    <n v="10"/>
    <x v="306"/>
    <n v="88881"/>
    <x v="306"/>
  </r>
  <r>
    <n v="23719"/>
    <s v="Critical"/>
    <n v="0.05"/>
    <n v="4.13"/>
    <n v="5.04"/>
    <n v="573"/>
    <s v="Vanessa Winstead"/>
    <s v="Regular Air"/>
    <s v="Home Office"/>
    <x v="0"/>
    <x v="8"/>
    <s v="Small Box"/>
    <s v="ACCOHIDE® 3-Ring Binder, Blue, 1&quot;"/>
    <n v="0.38"/>
    <s v="United States"/>
    <x v="2"/>
    <s v="Illinois"/>
    <s v="Pekin"/>
    <n v="61554"/>
    <x v="114"/>
    <d v="2015-03-14T00:00:00"/>
    <n v="-12.1555"/>
    <n v="1"/>
    <x v="307"/>
    <n v="86555"/>
    <x v="307"/>
  </r>
  <r>
    <n v="21992"/>
    <s v="High"/>
    <n v="0.08"/>
    <n v="415.88"/>
    <n v="11.37"/>
    <n v="573"/>
    <s v="Vanessa Winstead"/>
    <s v="Regular Air"/>
    <s v="Corporate"/>
    <x v="0"/>
    <x v="10"/>
    <s v="Small Box"/>
    <s v="Deluxe Rollaway Locking File with Drawer"/>
    <n v="0.56999999999999995"/>
    <s v="United States"/>
    <x v="2"/>
    <s v="Illinois"/>
    <s v="Pekin"/>
    <n v="61554"/>
    <x v="115"/>
    <d v="2015-02-27T00:00:00"/>
    <n v="-269.08440000000002"/>
    <n v="1"/>
    <x v="308"/>
    <n v="86556"/>
    <x v="308"/>
  </r>
  <r>
    <n v="21325"/>
    <s v="Low"/>
    <n v="0.06"/>
    <n v="4.4800000000000004"/>
    <n v="49"/>
    <n v="576"/>
    <s v="Gordon Lyon"/>
    <s v="Regular Air"/>
    <s v="Corporate"/>
    <x v="0"/>
    <x v="15"/>
    <s v="Large Box"/>
    <s v="Hoover Portapower™ Portable Vacuum"/>
    <n v="0.6"/>
    <s v="United States"/>
    <x v="0"/>
    <s v="California"/>
    <s v="Pomona"/>
    <n v="91767"/>
    <x v="107"/>
    <d v="2015-01-17T00:00:00"/>
    <n v="-566"/>
    <n v="4"/>
    <x v="309"/>
    <n v="88645"/>
    <x v="309"/>
  </r>
  <r>
    <n v="18664"/>
    <s v="Medium"/>
    <n v="0.03"/>
    <n v="162.93"/>
    <n v="19.989999999999998"/>
    <n v="578"/>
    <s v="Evan K Bullard"/>
    <s v="Regular Air"/>
    <s v="Corporate"/>
    <x v="0"/>
    <x v="4"/>
    <s v="Small Box"/>
    <s v="Multimedia Mailers"/>
    <n v="0.39"/>
    <s v="United States"/>
    <x v="1"/>
    <s v="Connecticut"/>
    <s v="Naugatuck"/>
    <n v="6770"/>
    <x v="116"/>
    <d v="2015-05-14T00:00:00"/>
    <n v="293.14"/>
    <n v="3"/>
    <x v="310"/>
    <n v="88644"/>
    <x v="310"/>
  </r>
  <r>
    <n v="18665"/>
    <s v="Medium"/>
    <n v="0.01"/>
    <n v="11.58"/>
    <n v="5.72"/>
    <n v="579"/>
    <s v="Marlene Abrams"/>
    <s v="Regular Air"/>
    <s v="Corporate"/>
    <x v="0"/>
    <x v="4"/>
    <s v="Small Box"/>
    <s v="Peel &amp; Seel® Recycled Catalog Envelopes, Brown"/>
    <n v="0.35"/>
    <s v="United States"/>
    <x v="1"/>
    <s v="Connecticut"/>
    <s v="Seymour"/>
    <n v="6478"/>
    <x v="116"/>
    <d v="2015-05-15T00:00:00"/>
    <n v="-6.61"/>
    <n v="2"/>
    <x v="311"/>
    <n v="88644"/>
    <x v="311"/>
  </r>
  <r>
    <n v="18662"/>
    <s v="Medium"/>
    <n v="0.01"/>
    <n v="55.99"/>
    <n v="5"/>
    <n v="580"/>
    <s v="Kathryn Patrick"/>
    <s v="Regular Air"/>
    <s v="Corporate"/>
    <x v="2"/>
    <x v="5"/>
    <s v="Small Pack"/>
    <s v="Accessory6"/>
    <n v="0.8"/>
    <s v="United States"/>
    <x v="1"/>
    <s v="Maine"/>
    <s v="Auburn"/>
    <n v="4210"/>
    <x v="116"/>
    <d v="2015-05-14T00:00:00"/>
    <n v="-57.540999999999997"/>
    <n v="12"/>
    <x v="312"/>
    <n v="88644"/>
    <x v="312"/>
  </r>
  <r>
    <n v="24180"/>
    <s v="Not Specified"/>
    <n v="0.04"/>
    <n v="15.51"/>
    <n v="17.78"/>
    <n v="584"/>
    <s v="Timothy Currie"/>
    <s v="Regular Air"/>
    <s v="Corporate"/>
    <x v="0"/>
    <x v="10"/>
    <s v="Small Box"/>
    <s v="Tenex File Box, Personal Filing Tote with Lid, Black"/>
    <n v="0.59"/>
    <s v="United States"/>
    <x v="1"/>
    <s v="Massachusetts"/>
    <s v="Woburn"/>
    <n v="1801"/>
    <x v="72"/>
    <d v="2015-01-23T00:00:00"/>
    <n v="-266.22000000000003"/>
    <n v="7"/>
    <x v="313"/>
    <n v="88646"/>
    <x v="313"/>
  </r>
  <r>
    <n v="18663"/>
    <s v="Medium"/>
    <n v="0.06"/>
    <n v="13.9"/>
    <n v="7.59"/>
    <n v="585"/>
    <s v="William Larson"/>
    <s v="Regular Air"/>
    <s v="Corporate"/>
    <x v="0"/>
    <x v="12"/>
    <s v="Small Pack"/>
    <s v="Acme Hot Forged Carbon Steel Scissors with Nickel-Plated Handles, 3 7/8&quot; Cut, 8&quot;L"/>
    <n v="0.56000000000000005"/>
    <s v="United States"/>
    <x v="1"/>
    <s v="New Hampshire"/>
    <s v="Concord"/>
    <n v="3301"/>
    <x v="116"/>
    <d v="2015-05-14T00:00:00"/>
    <n v="-67.59"/>
    <n v="12"/>
    <x v="314"/>
    <n v="88644"/>
    <x v="314"/>
  </r>
  <r>
    <n v="19781"/>
    <s v="Critical"/>
    <n v="0.08"/>
    <n v="30.53"/>
    <n v="19.989999999999998"/>
    <n v="592"/>
    <s v="Eva Silverman"/>
    <s v="Regular Air"/>
    <s v="Small Business"/>
    <x v="0"/>
    <x v="9"/>
    <s v="Small Box"/>
    <s v="Avery 4027 File Folder Labels for Dot Matrix Printers, 5000 Labels per Box, White"/>
    <n v="0.39"/>
    <s v="United States"/>
    <x v="2"/>
    <s v="Illinois"/>
    <s v="Wilmette"/>
    <n v="60091"/>
    <x v="60"/>
    <d v="2015-01-17T00:00:00"/>
    <n v="-239.8656"/>
    <n v="10"/>
    <x v="315"/>
    <n v="86307"/>
    <x v="315"/>
  </r>
  <r>
    <n v="19782"/>
    <s v="Critical"/>
    <n v="0.01"/>
    <n v="1.68"/>
    <n v="1.57"/>
    <n v="593"/>
    <s v="Joel Huffman"/>
    <s v="Regular Air"/>
    <s v="Small Business"/>
    <x v="0"/>
    <x v="0"/>
    <s v="Wrap Bag"/>
    <s v="Newell 323"/>
    <n v="0.59"/>
    <s v="United States"/>
    <x v="2"/>
    <s v="Illinois"/>
    <s v="Woodridge"/>
    <n v="60517"/>
    <x v="60"/>
    <d v="2015-01-19T00:00:00"/>
    <n v="-53.444000000000003"/>
    <n v="12"/>
    <x v="316"/>
    <n v="86307"/>
    <x v="316"/>
  </r>
  <r>
    <n v="22996"/>
    <s v="Critical"/>
    <n v="0.09"/>
    <n v="13.79"/>
    <n v="8.7799999999999994"/>
    <n v="594"/>
    <s v="Charlie Moore"/>
    <s v="Regular Air"/>
    <s v="Consumer"/>
    <x v="1"/>
    <x v="2"/>
    <s v="Small Box"/>
    <s v="9-3/4 Diameter Round Wall Clock"/>
    <n v="0.43"/>
    <s v="United States"/>
    <x v="2"/>
    <s v="Indiana"/>
    <s v="Anderson"/>
    <n v="46016"/>
    <x v="24"/>
    <d v="2015-03-17T00:00:00"/>
    <n v="-22.12"/>
    <n v="1"/>
    <x v="317"/>
    <n v="86309"/>
    <x v="317"/>
  </r>
  <r>
    <n v="21662"/>
    <s v="Critical"/>
    <n v="0.04"/>
    <n v="39.479999999999997"/>
    <n v="1.99"/>
    <n v="594"/>
    <s v="Charlie Moore"/>
    <s v="Regular Air"/>
    <s v="Consumer"/>
    <x v="2"/>
    <x v="13"/>
    <s v="Small Pack"/>
    <s v="80 Minute CD-R Spindle, 100/Pack - Staples"/>
    <n v="0.54"/>
    <s v="United States"/>
    <x v="2"/>
    <s v="Indiana"/>
    <s v="Anderson"/>
    <n v="46016"/>
    <x v="117"/>
    <d v="2015-06-22T00:00:00"/>
    <n v="484.8492"/>
    <n v="18"/>
    <x v="318"/>
    <n v="86311"/>
    <x v="318"/>
  </r>
  <r>
    <n v="21663"/>
    <s v="Critical"/>
    <n v="0.04"/>
    <n v="3.7"/>
    <n v="1.61"/>
    <n v="594"/>
    <s v="Charlie Moore"/>
    <s v="Regular Air"/>
    <s v="Consumer"/>
    <x v="1"/>
    <x v="2"/>
    <s v="Wrap Bag"/>
    <s v="3M Hangers With Command Adhesive"/>
    <n v="0.44"/>
    <s v="United States"/>
    <x v="2"/>
    <s v="Indiana"/>
    <s v="Anderson"/>
    <n v="46016"/>
    <x v="117"/>
    <d v="2015-06-20T00:00:00"/>
    <n v="18"/>
    <n v="18"/>
    <x v="319"/>
    <n v="86311"/>
    <x v="319"/>
  </r>
  <r>
    <n v="24480"/>
    <s v="Critical"/>
    <n v="0.03"/>
    <n v="3.8"/>
    <n v="1.49"/>
    <n v="596"/>
    <s v="Doris Fitzpatrick"/>
    <s v="Regular Air"/>
    <s v="Consumer"/>
    <x v="0"/>
    <x v="8"/>
    <s v="Small Box"/>
    <s v="Durable Pressboard Binders"/>
    <n v="0.38"/>
    <s v="United States"/>
    <x v="2"/>
    <s v="Indiana"/>
    <s v="Carmel"/>
    <n v="46032"/>
    <x v="2"/>
    <d v="2015-02-17T00:00:00"/>
    <n v="15.2745"/>
    <n v="6"/>
    <x v="320"/>
    <n v="86308"/>
    <x v="320"/>
  </r>
  <r>
    <n v="24481"/>
    <s v="Critical"/>
    <n v="7.0000000000000007E-2"/>
    <n v="7.98"/>
    <n v="1.25"/>
    <n v="596"/>
    <s v="Doris Fitzpatrick"/>
    <s v="Regular Air"/>
    <s v="Consumer"/>
    <x v="0"/>
    <x v="7"/>
    <s v="Wrap Bag"/>
    <s v="Adams Telephone Message Book w/Frequently-Called Numbers Space, 400 Messages per Book"/>
    <n v="0.35"/>
    <s v="United States"/>
    <x v="2"/>
    <s v="Indiana"/>
    <s v="Carmel"/>
    <n v="46032"/>
    <x v="2"/>
    <d v="2015-02-17T00:00:00"/>
    <n v="26.585699999999999"/>
    <n v="5"/>
    <x v="321"/>
    <n v="86308"/>
    <x v="321"/>
  </r>
  <r>
    <n v="24482"/>
    <s v="Critical"/>
    <n v="7.0000000000000007E-2"/>
    <n v="417.4"/>
    <n v="75.23"/>
    <n v="596"/>
    <s v="Doris Fitzpatrick"/>
    <s v="Delivery Truck"/>
    <s v="Consumer"/>
    <x v="1"/>
    <x v="11"/>
    <s v="Jumbo Box"/>
    <s v="Bretford “Just In Time” Height-Adjustable Multi-Task Work Tables"/>
    <n v="0.79"/>
    <s v="United States"/>
    <x v="2"/>
    <s v="Indiana"/>
    <s v="Carmel"/>
    <n v="46032"/>
    <x v="2"/>
    <d v="2015-02-16T00:00:00"/>
    <n v="-575.35199999999998"/>
    <n v="12"/>
    <x v="322"/>
    <n v="86308"/>
    <x v="322"/>
  </r>
  <r>
    <n v="25949"/>
    <s v="Not Specified"/>
    <n v="0.1"/>
    <n v="6.48"/>
    <n v="5.9"/>
    <n v="597"/>
    <s v="Alexandra Wise"/>
    <s v="Regular Air"/>
    <s v="Small Business"/>
    <x v="0"/>
    <x v="7"/>
    <s v="Small Box"/>
    <s v="Xerox 1976"/>
    <n v="0.37"/>
    <s v="United States"/>
    <x v="2"/>
    <s v="Indiana"/>
    <s v="Columbus"/>
    <n v="47201"/>
    <x v="69"/>
    <d v="2015-06-10T00:00:00"/>
    <n v="-51.634999999999998"/>
    <n v="19"/>
    <x v="323"/>
    <n v="86310"/>
    <x v="323"/>
  </r>
  <r>
    <n v="21274"/>
    <s v="Medium"/>
    <n v="0.06"/>
    <n v="6.48"/>
    <n v="7.37"/>
    <n v="600"/>
    <s v="Vickie Morse"/>
    <s v="Regular Air"/>
    <s v="Corporate"/>
    <x v="0"/>
    <x v="7"/>
    <s v="Small Box"/>
    <s v="Xerox 210"/>
    <n v="0.37"/>
    <s v="United States"/>
    <x v="1"/>
    <s v="Maryland"/>
    <s v="Reisterstown"/>
    <n v="21136"/>
    <x v="114"/>
    <d v="2015-03-14T00:00:00"/>
    <n v="-75.44"/>
    <n v="5"/>
    <x v="324"/>
    <n v="87579"/>
    <x v="324"/>
  </r>
  <r>
    <n v="20929"/>
    <s v="Not Specified"/>
    <n v="0.02"/>
    <n v="35.99"/>
    <n v="5"/>
    <n v="603"/>
    <s v="Gretchen Ball"/>
    <s v="Regular Air"/>
    <s v="Home Office"/>
    <x v="2"/>
    <x v="5"/>
    <s v="Small Box"/>
    <s v="Accessory27"/>
    <n v="0.85"/>
    <s v="United States"/>
    <x v="0"/>
    <s v="Colorado"/>
    <s v="Pueblo"/>
    <n v="81001"/>
    <x v="118"/>
    <d v="2015-02-05T00:00:00"/>
    <n v="-120.934"/>
    <n v="7"/>
    <x v="325"/>
    <n v="87020"/>
    <x v="325"/>
  </r>
  <r>
    <n v="4015"/>
    <s v="Critical"/>
    <n v="0.09"/>
    <n v="154.13"/>
    <n v="69"/>
    <n v="604"/>
    <s v="Lindsay P Ashley"/>
    <s v="Express Air"/>
    <s v="Corporate"/>
    <x v="1"/>
    <x v="11"/>
    <s v="Large Box"/>
    <s v="Laminate Occasional Tables"/>
    <n v="0.68"/>
    <s v="United States"/>
    <x v="0"/>
    <s v="California"/>
    <s v="Los Angeles"/>
    <n v="90045"/>
    <x v="88"/>
    <d v="2015-03-15T00:00:00"/>
    <n v="-1763.7476999999999"/>
    <n v="38"/>
    <x v="326"/>
    <n v="28647"/>
    <x v="326"/>
  </r>
  <r>
    <n v="4903"/>
    <s v="Critical"/>
    <n v="0.03"/>
    <n v="1.88"/>
    <n v="1.49"/>
    <n v="604"/>
    <s v="Lindsay P Ashley"/>
    <s v="Regular Air"/>
    <s v="Home Office"/>
    <x v="0"/>
    <x v="8"/>
    <s v="Small Box"/>
    <s v="Staples® General Use 3-Ring Binders"/>
    <n v="0.37"/>
    <s v="United States"/>
    <x v="0"/>
    <s v="California"/>
    <s v="Los Angeles"/>
    <n v="90045"/>
    <x v="76"/>
    <d v="2015-01-25T00:00:00"/>
    <n v="-15.099500000000001"/>
    <n v="52"/>
    <x v="327"/>
    <n v="34882"/>
    <x v="327"/>
  </r>
  <r>
    <n v="22015"/>
    <s v="Critical"/>
    <n v="0.09"/>
    <n v="154.13"/>
    <n v="69"/>
    <n v="605"/>
    <s v="Alison Peters Wooten"/>
    <s v="Express Air"/>
    <s v="Corporate"/>
    <x v="1"/>
    <x v="11"/>
    <s v="Large Box"/>
    <s v="Laminate Occasional Tables"/>
    <n v="0.68"/>
    <s v="United States"/>
    <x v="1"/>
    <s v="New York"/>
    <s v="West Islip"/>
    <n v="11795"/>
    <x v="88"/>
    <d v="2015-03-15T00:00:00"/>
    <n v="-1763.7476999999999"/>
    <n v="10"/>
    <x v="328"/>
    <n v="91144"/>
    <x v="328"/>
  </r>
  <r>
    <n v="18492"/>
    <s v="Not Specified"/>
    <n v="0.02"/>
    <n v="15.57"/>
    <n v="1.39"/>
    <n v="617"/>
    <s v="Brett Schultz"/>
    <s v="Regular Air"/>
    <s v="Consumer"/>
    <x v="0"/>
    <x v="4"/>
    <s v="Small Box"/>
    <s v="Park Ridge™ Embossed Executive Business Envelopes"/>
    <n v="0.38"/>
    <s v="United States"/>
    <x v="0"/>
    <s v="Colorado"/>
    <s v="Pueblo"/>
    <n v="81001"/>
    <x v="119"/>
    <d v="2015-04-30T00:00:00"/>
    <n v="23.5428"/>
    <n v="3"/>
    <x v="329"/>
    <n v="88198"/>
    <x v="329"/>
  </r>
  <r>
    <n v="18493"/>
    <s v="Not Specified"/>
    <n v="0.02"/>
    <n v="20.89"/>
    <n v="11.52"/>
    <n v="617"/>
    <s v="Brett Schultz"/>
    <s v="Regular Air"/>
    <s v="Consumer"/>
    <x v="0"/>
    <x v="10"/>
    <s v="Small Box"/>
    <s v="Iris® 3-Drawer Stacking Bin, Black"/>
    <n v="0.83"/>
    <s v="United States"/>
    <x v="0"/>
    <s v="Colorado"/>
    <s v="Pueblo"/>
    <n v="81001"/>
    <x v="119"/>
    <d v="2015-04-30T00:00:00"/>
    <n v="-276.11279999999999"/>
    <n v="13"/>
    <x v="330"/>
    <n v="88198"/>
    <x v="330"/>
  </r>
  <r>
    <n v="22196"/>
    <s v="Critical"/>
    <n v="0.06"/>
    <n v="17.98"/>
    <n v="4"/>
    <n v="618"/>
    <s v="Robert Cowan"/>
    <s v="Regular Air"/>
    <s v="Consumer"/>
    <x v="2"/>
    <x v="13"/>
    <s v="Small Box"/>
    <s v="Belkin 107-key enhanced keyboard, USB/PS/2 interface"/>
    <n v="0.79"/>
    <s v="United States"/>
    <x v="0"/>
    <s v="Colorado"/>
    <s v="Pueblo West"/>
    <n v="81007"/>
    <x v="120"/>
    <d v="2015-03-25T00:00:00"/>
    <n v="-78.13"/>
    <n v="4"/>
    <x v="331"/>
    <n v="88197"/>
    <x v="331"/>
  </r>
  <r>
    <n v="18490"/>
    <s v="Not Specified"/>
    <n v="0.06"/>
    <n v="5.38"/>
    <n v="5.24"/>
    <n v="618"/>
    <s v="Robert Cowan"/>
    <s v="Express Air"/>
    <s v="Consumer"/>
    <x v="0"/>
    <x v="8"/>
    <s v="Small Box"/>
    <s v="Acco PRESSTEX® Data Binder with Storage Hooks, Dark Blue, 14 7/8&quot; X 11&quot;"/>
    <n v="0.36"/>
    <s v="United States"/>
    <x v="0"/>
    <s v="Colorado"/>
    <s v="Pueblo West"/>
    <n v="81007"/>
    <x v="119"/>
    <d v="2015-04-30T00:00:00"/>
    <n v="-64.670940000000002"/>
    <n v="14"/>
    <x v="332"/>
    <n v="88198"/>
    <x v="332"/>
  </r>
  <r>
    <n v="18491"/>
    <s v="Not Specified"/>
    <n v="0.03"/>
    <n v="7.35"/>
    <n v="5.96"/>
    <n v="618"/>
    <s v="Robert Cowan"/>
    <s v="Regular Air"/>
    <s v="Consumer"/>
    <x v="0"/>
    <x v="7"/>
    <s v="Small Box"/>
    <s v="1/4 Fold Party Design Invitations &amp; White Envelopes, 24 8-1/2&quot; X 11&quot; Cards, 25 Env./Pack"/>
    <n v="0.38"/>
    <s v="United States"/>
    <x v="0"/>
    <s v="Colorado"/>
    <s v="Pueblo West"/>
    <n v="81007"/>
    <x v="119"/>
    <d v="2015-04-30T00:00:00"/>
    <n v="-11.113200000000001"/>
    <n v="1"/>
    <x v="333"/>
    <n v="88198"/>
    <x v="333"/>
  </r>
  <r>
    <n v="25539"/>
    <s v="Critical"/>
    <n v="0.03"/>
    <n v="14.2"/>
    <n v="5.3"/>
    <n v="619"/>
    <s v="Howard Rogers"/>
    <s v="Regular Air"/>
    <s v="Consumer"/>
    <x v="1"/>
    <x v="2"/>
    <s v="Wrap Bag"/>
    <s v="Coloredge Poster Frame"/>
    <n v="0.46"/>
    <s v="United States"/>
    <x v="2"/>
    <s v="Michigan"/>
    <s v="Southgate"/>
    <n v="48195"/>
    <x v="0"/>
    <d v="2015-01-08T00:00:00"/>
    <n v="107.02"/>
    <n v="14"/>
    <x v="334"/>
    <n v="88196"/>
    <x v="334"/>
  </r>
  <r>
    <n v="22248"/>
    <s v="Medium"/>
    <n v="0.1"/>
    <n v="6.88"/>
    <n v="2"/>
    <n v="621"/>
    <s v="Heather Stern"/>
    <s v="Regular Air"/>
    <s v="Home Office"/>
    <x v="0"/>
    <x v="7"/>
    <s v="Wrap Bag"/>
    <s v="Adams Phone Message Book, 200 Message Capacity, 8 1/16” x 11”"/>
    <n v="0.39"/>
    <s v="United States"/>
    <x v="1"/>
    <s v="Connecticut"/>
    <s v="Newington"/>
    <n v="6111"/>
    <x v="115"/>
    <d v="2015-02-27T00:00:00"/>
    <n v="18.420000000000002"/>
    <n v="5"/>
    <x v="335"/>
    <n v="91432"/>
    <x v="335"/>
  </r>
  <r>
    <n v="22247"/>
    <s v="Medium"/>
    <n v="0.06"/>
    <n v="195.99"/>
    <n v="8.99"/>
    <n v="622"/>
    <s v="Hazel Khan"/>
    <s v="Regular Air"/>
    <s v="Home Office"/>
    <x v="2"/>
    <x v="5"/>
    <s v="Small Box"/>
    <s v="T28 WORLD"/>
    <n v="0.6"/>
    <s v="United States"/>
    <x v="1"/>
    <s v="Maine"/>
    <s v="Auburn"/>
    <n v="4210"/>
    <x v="115"/>
    <d v="2015-02-28T00:00:00"/>
    <n v="349.47"/>
    <n v="6"/>
    <x v="336"/>
    <n v="91432"/>
    <x v="336"/>
  </r>
  <r>
    <n v="24880"/>
    <s v="High"/>
    <n v="0.05"/>
    <n v="6.48"/>
    <n v="8.4"/>
    <n v="623"/>
    <s v="Jenny Petty"/>
    <s v="Regular Air"/>
    <s v="Home Office"/>
    <x v="0"/>
    <x v="7"/>
    <s v="Small Box"/>
    <s v="Xerox 212"/>
    <n v="0.37"/>
    <s v="United States"/>
    <x v="1"/>
    <s v="New Hampshire"/>
    <s v="Manchester"/>
    <n v="3101"/>
    <x v="113"/>
    <d v="2015-04-03T00:00:00"/>
    <n v="-226.34639999999999"/>
    <n v="21"/>
    <x v="337"/>
    <n v="91433"/>
    <x v="337"/>
  </r>
  <r>
    <n v="24881"/>
    <s v="High"/>
    <n v="0.05"/>
    <n v="55.99"/>
    <n v="5"/>
    <n v="624"/>
    <s v="Terry Klein"/>
    <s v="Regular Air"/>
    <s v="Home Office"/>
    <x v="2"/>
    <x v="5"/>
    <s v="Small Pack"/>
    <s v="Accessory6"/>
    <n v="0.8"/>
    <s v="United States"/>
    <x v="1"/>
    <s v="Vermont"/>
    <s v="Rutland"/>
    <n v="5701"/>
    <x v="113"/>
    <d v="2015-04-01T00:00:00"/>
    <n v="-281.17583999999999"/>
    <n v="2"/>
    <x v="338"/>
    <n v="91433"/>
    <x v="338"/>
  </r>
  <r>
    <n v="21718"/>
    <s v="Medium"/>
    <n v="0.02"/>
    <n v="419.19"/>
    <n v="19.989999999999998"/>
    <n v="627"/>
    <s v="Scott McKenna"/>
    <s v="Regular Air"/>
    <s v="Corporate"/>
    <x v="0"/>
    <x v="10"/>
    <s v="Small Box"/>
    <s v="Smead Adjustable Mobile File Trolley with Lockable Top"/>
    <n v="0.57999999999999996"/>
    <s v="United States"/>
    <x v="1"/>
    <s v="Ohio"/>
    <s v="Steubenville"/>
    <n v="43952"/>
    <x v="109"/>
    <d v="2015-04-22T00:00:00"/>
    <n v="6610.2"/>
    <n v="22"/>
    <x v="339"/>
    <n v="90469"/>
    <x v="339"/>
  </r>
  <r>
    <n v="19364"/>
    <s v="High"/>
    <n v="0.01"/>
    <n v="2.08"/>
    <n v="5.33"/>
    <n v="635"/>
    <s v="Juan Justice"/>
    <s v="Regular Air"/>
    <s v="Corporate"/>
    <x v="1"/>
    <x v="2"/>
    <s v="Small Box"/>
    <s v="Eldon® Wave Desk Accessories"/>
    <n v="0.43"/>
    <s v="United States"/>
    <x v="2"/>
    <s v="Minnesota"/>
    <s v="Saint Paul"/>
    <n v="55106"/>
    <x v="121"/>
    <d v="2015-04-05T00:00:00"/>
    <n v="-103.7124"/>
    <n v="12"/>
    <x v="340"/>
    <n v="89284"/>
    <x v="340"/>
  </r>
  <r>
    <n v="19365"/>
    <s v="High"/>
    <n v="0.03"/>
    <n v="370.98"/>
    <n v="99"/>
    <n v="635"/>
    <s v="Juan Justice"/>
    <s v="Delivery Truck"/>
    <s v="Corporate"/>
    <x v="0"/>
    <x v="10"/>
    <s v="Jumbo Drum"/>
    <s v="Sauder Facets Collection Locker/File Cabinet, Sky Alder Finish"/>
    <n v="0.65"/>
    <s v="United States"/>
    <x v="2"/>
    <s v="Minnesota"/>
    <s v="Saint Paul"/>
    <n v="55106"/>
    <x v="121"/>
    <d v="2015-04-06T00:00:00"/>
    <n v="-124.2864"/>
    <n v="6"/>
    <x v="341"/>
    <n v="89284"/>
    <x v="341"/>
  </r>
  <r>
    <n v="19539"/>
    <s v="Low"/>
    <n v="0.06"/>
    <n v="160.97999999999999"/>
    <n v="35.020000000000003"/>
    <n v="637"/>
    <s v="Christopher Bryant"/>
    <s v="Delivery Truck"/>
    <s v="Consumer"/>
    <x v="1"/>
    <x v="14"/>
    <s v="Jumbo Box"/>
    <s v="Rush Hierlooms Collection Rich Wood Bookcases"/>
    <n v="0.72"/>
    <s v="United States"/>
    <x v="0"/>
    <s v="California"/>
    <s v="Santa Clara"/>
    <n v="95051"/>
    <x v="80"/>
    <d v="2015-03-24T00:00:00"/>
    <n v="-229.68"/>
    <n v="8"/>
    <x v="342"/>
    <n v="87953"/>
    <x v="342"/>
  </r>
  <r>
    <n v="24387"/>
    <s v="Critical"/>
    <n v="0.06"/>
    <n v="65.989999999999995"/>
    <n v="8.8000000000000007"/>
    <n v="638"/>
    <s v="Brooke Shepherd"/>
    <s v="Express Air"/>
    <s v="Consumer"/>
    <x v="2"/>
    <x v="5"/>
    <s v="Small Box"/>
    <n v="6120"/>
    <n v="0.57999999999999996"/>
    <s v="United States"/>
    <x v="0"/>
    <s v="California"/>
    <s v="Santa Cruz"/>
    <n v="95062"/>
    <x v="122"/>
    <d v="2015-05-01T00:00:00"/>
    <n v="288.08999999999997"/>
    <n v="9"/>
    <x v="343"/>
    <n v="87954"/>
    <x v="343"/>
  </r>
  <r>
    <n v="24388"/>
    <s v="Critical"/>
    <n v="0"/>
    <n v="195.99"/>
    <n v="4.2"/>
    <n v="638"/>
    <s v="Brooke Shepherd"/>
    <s v="Express Air"/>
    <s v="Consumer"/>
    <x v="2"/>
    <x v="5"/>
    <s v="Small Box"/>
    <s v="KH 688"/>
    <n v="0.56999999999999995"/>
    <s v="United States"/>
    <x v="0"/>
    <s v="California"/>
    <s v="Santa Cruz"/>
    <n v="95062"/>
    <x v="122"/>
    <d v="2015-05-02T00:00:00"/>
    <n v="719.47680000000003"/>
    <n v="6"/>
    <x v="344"/>
    <n v="87954"/>
    <x v="344"/>
  </r>
  <r>
    <n v="25893"/>
    <s v="Not Specified"/>
    <n v="0"/>
    <n v="236.97"/>
    <n v="59.24"/>
    <n v="639"/>
    <s v="Lois Rowland"/>
    <s v="Delivery Truck"/>
    <s v="Consumer"/>
    <x v="1"/>
    <x v="11"/>
    <s v="Jumbo Box"/>
    <s v="Chromcraft Rectangular Conference Tables"/>
    <n v="0.61"/>
    <s v="United States"/>
    <x v="0"/>
    <s v="California"/>
    <s v="Santa Maria"/>
    <n v="93454"/>
    <x v="79"/>
    <d v="2015-02-15T00:00:00"/>
    <n v="1192.04"/>
    <n v="9"/>
    <x v="345"/>
    <n v="87952"/>
    <x v="345"/>
  </r>
  <r>
    <n v="7893"/>
    <s v="Not Specified"/>
    <n v="0"/>
    <n v="236.97"/>
    <n v="59.24"/>
    <n v="640"/>
    <s v="Neal Wolfe"/>
    <s v="Delivery Truck"/>
    <s v="Consumer"/>
    <x v="1"/>
    <x v="11"/>
    <s v="Jumbo Box"/>
    <s v="Chromcraft Rectangular Conference Tables"/>
    <n v="0.61"/>
    <s v="United States"/>
    <x v="0"/>
    <s v="Washington"/>
    <s v="Seattle"/>
    <n v="98119"/>
    <x v="79"/>
    <d v="2015-02-15T00:00:00"/>
    <n v="1192.04"/>
    <n v="34"/>
    <x v="346"/>
    <n v="56452"/>
    <x v="346"/>
  </r>
  <r>
    <n v="1539"/>
    <s v="Low"/>
    <n v="0.06"/>
    <n v="160.97999999999999"/>
    <n v="35.020000000000003"/>
    <n v="640"/>
    <s v="Neal Wolfe"/>
    <s v="Delivery Truck"/>
    <s v="Consumer"/>
    <x v="1"/>
    <x v="14"/>
    <s v="Jumbo Box"/>
    <s v="Rush Hierlooms Collection Rich Wood Bookcases"/>
    <n v="0.72"/>
    <s v="United States"/>
    <x v="0"/>
    <s v="Washington"/>
    <s v="Seattle"/>
    <n v="98119"/>
    <x v="80"/>
    <d v="2015-03-24T00:00:00"/>
    <n v="-229.68"/>
    <n v="30"/>
    <x v="347"/>
    <n v="11077"/>
    <x v="347"/>
  </r>
  <r>
    <n v="6387"/>
    <s v="Critical"/>
    <n v="0.06"/>
    <n v="65.989999999999995"/>
    <n v="8.8000000000000007"/>
    <n v="640"/>
    <s v="Neal Wolfe"/>
    <s v="Express Air"/>
    <s v="Consumer"/>
    <x v="2"/>
    <x v="5"/>
    <s v="Small Box"/>
    <n v="6120"/>
    <n v="0.57999999999999996"/>
    <s v="United States"/>
    <x v="0"/>
    <s v="Washington"/>
    <s v="Seattle"/>
    <n v="98119"/>
    <x v="122"/>
    <d v="2015-05-01T00:00:00"/>
    <n v="288.08999999999997"/>
    <n v="34"/>
    <x v="348"/>
    <n v="45380"/>
    <x v="348"/>
  </r>
  <r>
    <n v="6388"/>
    <s v="Critical"/>
    <n v="0"/>
    <n v="195.99"/>
    <n v="4.2"/>
    <n v="640"/>
    <s v="Neal Wolfe"/>
    <s v="Express Air"/>
    <s v="Consumer"/>
    <x v="2"/>
    <x v="5"/>
    <s v="Small Box"/>
    <s v="KH 688"/>
    <n v="0.56999999999999995"/>
    <s v="United States"/>
    <x v="0"/>
    <s v="Washington"/>
    <s v="Seattle"/>
    <n v="98119"/>
    <x v="122"/>
    <d v="2015-05-02T00:00:00"/>
    <n v="1030.509"/>
    <n v="24"/>
    <x v="349"/>
    <n v="45380"/>
    <x v="349"/>
  </r>
  <r>
    <n v="24869"/>
    <s v="Low"/>
    <n v="0.03"/>
    <n v="51.75"/>
    <n v="19.989999999999998"/>
    <n v="646"/>
    <s v="Robin High"/>
    <s v="Regular Air"/>
    <s v="Corporate"/>
    <x v="1"/>
    <x v="2"/>
    <s v="Small Box"/>
    <s v="Howard Miller 13-3/4&quot; Diameter Brushed Chrome Round Wall Clock"/>
    <n v="0.55000000000000004"/>
    <s v="United States"/>
    <x v="2"/>
    <s v="Minnesota"/>
    <s v="Shakopee"/>
    <n v="55379"/>
    <x v="77"/>
    <d v="2015-06-22T00:00:00"/>
    <n v="261.44400000000002"/>
    <n v="16"/>
    <x v="350"/>
    <n v="90735"/>
    <x v="350"/>
  </r>
  <r>
    <n v="21760"/>
    <s v="Not Specified"/>
    <n v="0.02"/>
    <n v="25.38"/>
    <n v="8.99"/>
    <n v="648"/>
    <s v="Steve O'Brien"/>
    <s v="Regular Air"/>
    <s v="Home Office"/>
    <x v="1"/>
    <x v="2"/>
    <s v="Small Pack"/>
    <s v="Executive Impressions 13&quot; Chairman Wall Clock"/>
    <n v="0.5"/>
    <s v="United States"/>
    <x v="2"/>
    <s v="Illinois"/>
    <s v="Bolingbrook"/>
    <n v="60440"/>
    <x v="123"/>
    <d v="2015-06-22T00:00:00"/>
    <n v="-10.36"/>
    <n v="1"/>
    <x v="351"/>
    <n v="91365"/>
    <x v="351"/>
  </r>
  <r>
    <n v="23154"/>
    <s v="Medium"/>
    <n v="0.02"/>
    <n v="3.78"/>
    <n v="0.71"/>
    <n v="649"/>
    <s v="Roger Meyer"/>
    <s v="Regular Air"/>
    <s v="Home Office"/>
    <x v="0"/>
    <x v="3"/>
    <s v="Wrap Bag"/>
    <s v="Staples Bulldog Clip"/>
    <n v="0.39"/>
    <s v="United States"/>
    <x v="2"/>
    <s v="Illinois"/>
    <s v="Buffalo Grove"/>
    <n v="60089"/>
    <x v="124"/>
    <d v="2015-05-30T00:00:00"/>
    <n v="106.7499"/>
    <n v="40"/>
    <x v="352"/>
    <n v="91366"/>
    <x v="352"/>
  </r>
  <r>
    <n v="24199"/>
    <s v="High"/>
    <n v="0.08"/>
    <n v="15.99"/>
    <n v="13.18"/>
    <n v="651"/>
    <s v="Leah Clapp"/>
    <s v="Regular Air"/>
    <s v="Consumer"/>
    <x v="0"/>
    <x v="8"/>
    <s v="Small Box"/>
    <s v="GBC Pre-Punched Binding Paper, Plastic, White, 8-1/2&quot; x 11&quot;"/>
    <n v="0.37"/>
    <s v="United States"/>
    <x v="0"/>
    <s v="Nevada"/>
    <s v="Las Vegas"/>
    <n v="89115"/>
    <x v="0"/>
    <d v="2015-01-08T00:00:00"/>
    <n v="-246.92616000000001"/>
    <n v="12"/>
    <x v="353"/>
    <n v="91575"/>
    <x v="353"/>
  </r>
  <r>
    <n v="23433"/>
    <s v="Low"/>
    <n v="0.04"/>
    <n v="880.98"/>
    <n v="44.55"/>
    <n v="651"/>
    <s v="Leah Clapp"/>
    <s v="Delivery Truck"/>
    <s v="Consumer"/>
    <x v="1"/>
    <x v="14"/>
    <s v="Jumbo Box"/>
    <s v="Riverside Palais Royal Lawyers Bookcase, Royale Cherry Finish"/>
    <n v="0.62"/>
    <s v="United States"/>
    <x v="0"/>
    <s v="Nevada"/>
    <s v="Las Vegas"/>
    <n v="89115"/>
    <x v="2"/>
    <d v="2015-02-19T00:00:00"/>
    <n v="4233.2587999999996"/>
    <n v="8"/>
    <x v="354"/>
    <n v="91576"/>
    <x v="354"/>
  </r>
  <r>
    <n v="23434"/>
    <s v="Low"/>
    <n v="7.0000000000000007E-2"/>
    <n v="13.4"/>
    <n v="4.95"/>
    <n v="651"/>
    <s v="Leah Clapp"/>
    <s v="Regular Air"/>
    <s v="Consumer"/>
    <x v="1"/>
    <x v="2"/>
    <s v="Small Pack"/>
    <s v="Electrix 20W Halogen Replacement Bulb for Zoom-In Desk Lamp"/>
    <n v="0.37"/>
    <s v="United States"/>
    <x v="0"/>
    <s v="Nevada"/>
    <s v="Las Vegas"/>
    <n v="89115"/>
    <x v="2"/>
    <d v="2015-02-20T00:00:00"/>
    <n v="102.76860000000001"/>
    <n v="11"/>
    <x v="355"/>
    <n v="91576"/>
    <x v="355"/>
  </r>
  <r>
    <n v="23435"/>
    <s v="Low"/>
    <n v="0.01"/>
    <n v="15.99"/>
    <n v="11.28"/>
    <n v="651"/>
    <s v="Leah Clapp"/>
    <s v="Regular Air"/>
    <s v="Consumer"/>
    <x v="2"/>
    <x v="6"/>
    <s v="Medium Box"/>
    <s v="210 Trimline Phone, White"/>
    <n v="0.38"/>
    <s v="United States"/>
    <x v="0"/>
    <s v="Nevada"/>
    <s v="Las Vegas"/>
    <n v="89115"/>
    <x v="2"/>
    <d v="2015-02-22T00:00:00"/>
    <n v="-36.671543999999997"/>
    <n v="12"/>
    <x v="356"/>
    <n v="91576"/>
    <x v="356"/>
  </r>
  <r>
    <n v="25055"/>
    <s v="Not Specified"/>
    <n v="0"/>
    <n v="2.78"/>
    <n v="1.49"/>
    <n v="653"/>
    <s v="Ann Katz"/>
    <s v="Express Air"/>
    <s v="Consumer"/>
    <x v="0"/>
    <x v="8"/>
    <s v="Small Box"/>
    <s v="Wilson Jones Suede Grain Vinyl Binders"/>
    <n v="0.36"/>
    <s v="United States"/>
    <x v="0"/>
    <s v="California"/>
    <s v="Rancho Cucamonga"/>
    <n v="91730"/>
    <x v="125"/>
    <d v="2015-04-17T00:00:00"/>
    <n v="20.6448"/>
    <n v="9"/>
    <x v="357"/>
    <n v="91213"/>
    <x v="357"/>
  </r>
  <r>
    <n v="20874"/>
    <s v="Critical"/>
    <n v="0.1"/>
    <n v="18.97"/>
    <n v="9.0299999999999994"/>
    <n v="657"/>
    <s v="Derek McCormick"/>
    <s v="Regular Air"/>
    <s v="Consumer"/>
    <x v="0"/>
    <x v="7"/>
    <s v="Small Box"/>
    <s v="Computer Printout Paper with Letter-Trim Perforations"/>
    <n v="0.37"/>
    <s v="United States"/>
    <x v="1"/>
    <s v="Massachusetts"/>
    <s v="Oxford"/>
    <n v="1540"/>
    <x v="71"/>
    <d v="2015-01-21T00:00:00"/>
    <n v="-24.204799999999999"/>
    <n v="1"/>
    <x v="358"/>
    <n v="91212"/>
    <x v="358"/>
  </r>
  <r>
    <n v="20875"/>
    <s v="Critical"/>
    <n v="0"/>
    <n v="119.99"/>
    <n v="56.14"/>
    <n v="659"/>
    <s v="Marjorie Arthur"/>
    <s v="Delivery Truck"/>
    <s v="Consumer"/>
    <x v="2"/>
    <x v="6"/>
    <s v="Jumbo Box"/>
    <s v="Hewlett-Packard 2600DN Business Color Inkjet Printer"/>
    <n v="0.39"/>
    <s v="United States"/>
    <x v="1"/>
    <s v="Vermont"/>
    <s v="South Burlington"/>
    <n v="5403"/>
    <x v="71"/>
    <d v="2015-01-20T00:00:00"/>
    <n v="-126.05777999999999"/>
    <n v="5"/>
    <x v="359"/>
    <n v="91212"/>
    <x v="359"/>
  </r>
  <r>
    <n v="23487"/>
    <s v="Critical"/>
    <n v="0.02"/>
    <n v="14.58"/>
    <n v="7.4"/>
    <n v="663"/>
    <s v="Hilda Bennett"/>
    <s v="Regular Air"/>
    <s v="Home Office"/>
    <x v="1"/>
    <x v="2"/>
    <s v="Small Box"/>
    <s v="DAX Clear Channel Poster Frame"/>
    <n v="0.48"/>
    <s v="United States"/>
    <x v="1"/>
    <s v="Ohio"/>
    <s v="Steubenville"/>
    <n v="43952"/>
    <x v="124"/>
    <d v="2015-06-01T00:00:00"/>
    <n v="10.802"/>
    <n v="17"/>
    <x v="360"/>
    <n v="90922"/>
    <x v="360"/>
  </r>
  <r>
    <n v="21086"/>
    <s v="Low"/>
    <n v="0.04"/>
    <n v="22.72"/>
    <n v="8.99"/>
    <n v="665"/>
    <s v="Miriam Mueller"/>
    <s v="Regular Air"/>
    <s v="Corporate"/>
    <x v="1"/>
    <x v="2"/>
    <s v="Small Pack"/>
    <s v="Executive Impressions 14&quot; Two-Color Numerals Wall Clock"/>
    <n v="0.44"/>
    <s v="United States"/>
    <x v="3"/>
    <s v="Tennessee"/>
    <s v="Murfreesboro"/>
    <n v="37130"/>
    <x v="59"/>
    <d v="2015-01-20T00:00:00"/>
    <n v="-678.49599999999998"/>
    <n v="9"/>
    <x v="361"/>
    <n v="88677"/>
    <x v="361"/>
  </r>
  <r>
    <n v="18667"/>
    <s v="Critical"/>
    <n v="0.02"/>
    <n v="130.97999999999999"/>
    <n v="30"/>
    <n v="665"/>
    <s v="Miriam Mueller"/>
    <s v="Delivery Truck"/>
    <s v="Corporate"/>
    <x v="1"/>
    <x v="1"/>
    <s v="Jumbo Drum"/>
    <s v="Office Star - Contemporary Task Swivel chair with 2-way adjustable arms, Plum"/>
    <n v="0.78"/>
    <s v="United States"/>
    <x v="3"/>
    <s v="Tennessee"/>
    <s v="Murfreesboro"/>
    <n v="37130"/>
    <x v="106"/>
    <d v="2015-04-19T00:00:00"/>
    <n v="90.762"/>
    <n v="6"/>
    <x v="362"/>
    <n v="88678"/>
    <x v="362"/>
  </r>
  <r>
    <n v="24776"/>
    <s v="Low"/>
    <n v="0.02"/>
    <n v="4.57"/>
    <n v="5.42"/>
    <n v="666"/>
    <s v="Emily Sims"/>
    <s v="Regular Air"/>
    <s v="Corporate"/>
    <x v="0"/>
    <x v="8"/>
    <s v="Small Box"/>
    <s v="Newell® 3-Hole Punched Plastic Slotted Magazine Holders for Binders"/>
    <n v="0.37"/>
    <s v="United States"/>
    <x v="3"/>
    <s v="Tennessee"/>
    <s v="Nashville"/>
    <n v="37211"/>
    <x v="126"/>
    <d v="2015-04-26T00:00:00"/>
    <n v="-352.81400000000002"/>
    <n v="11"/>
    <x v="363"/>
    <n v="88679"/>
    <x v="363"/>
  </r>
  <r>
    <n v="3086"/>
    <s v="Low"/>
    <n v="0.04"/>
    <n v="22.72"/>
    <n v="8.99"/>
    <n v="667"/>
    <s v="Allison Kirby"/>
    <s v="Regular Air"/>
    <s v="Corporate"/>
    <x v="1"/>
    <x v="2"/>
    <s v="Small Pack"/>
    <s v="Executive Impressions 14&quot; Two-Color Numerals Wall Clock"/>
    <n v="0.44"/>
    <s v="United States"/>
    <x v="2"/>
    <s v="Texas"/>
    <s v="Dallas"/>
    <n v="75203"/>
    <x v="59"/>
    <d v="2015-01-20T00:00:00"/>
    <n v="70.028000000000006"/>
    <n v="37"/>
    <x v="364"/>
    <n v="22147"/>
    <x v="364"/>
  </r>
  <r>
    <n v="6776"/>
    <s v="Low"/>
    <n v="0.02"/>
    <n v="4.57"/>
    <n v="5.42"/>
    <n v="667"/>
    <s v="Allison Kirby"/>
    <s v="Regular Air"/>
    <s v="Corporate"/>
    <x v="0"/>
    <x v="8"/>
    <s v="Small Box"/>
    <s v="Newell® 3-Hole Punched Plastic Slotted Magazine Holders for Binders"/>
    <n v="0.37"/>
    <s v="United States"/>
    <x v="2"/>
    <s v="Texas"/>
    <s v="Dallas"/>
    <n v="75203"/>
    <x v="126"/>
    <d v="2015-04-26T00:00:00"/>
    <n v="-124.2805"/>
    <n v="45"/>
    <x v="365"/>
    <n v="48257"/>
    <x v="365"/>
  </r>
  <r>
    <n v="24882"/>
    <s v="Medium"/>
    <n v="0.09"/>
    <n v="2.89"/>
    <n v="0.5"/>
    <n v="669"/>
    <s v="Amy Shea"/>
    <s v="Regular Air"/>
    <s v="Home Office"/>
    <x v="0"/>
    <x v="9"/>
    <s v="Small Box"/>
    <s v="Avery 498"/>
    <n v="0.38"/>
    <s v="United States"/>
    <x v="2"/>
    <s v="Iowa"/>
    <s v="Ottumwa"/>
    <n v="52501"/>
    <x v="80"/>
    <d v="2015-03-22T00:00:00"/>
    <n v="40.482300000000002"/>
    <n v="22"/>
    <x v="366"/>
    <n v="88475"/>
    <x v="366"/>
  </r>
  <r>
    <n v="24883"/>
    <s v="Medium"/>
    <n v="0.02"/>
    <n v="48.91"/>
    <n v="5.81"/>
    <n v="669"/>
    <s v="Amy Shea"/>
    <s v="Regular Air"/>
    <s v="Home Office"/>
    <x v="0"/>
    <x v="7"/>
    <s v="Small Box"/>
    <s v="Xerox 1891"/>
    <n v="0.38"/>
    <s v="United States"/>
    <x v="2"/>
    <s v="Iowa"/>
    <s v="Ottumwa"/>
    <n v="52501"/>
    <x v="80"/>
    <d v="2015-03-21T00:00:00"/>
    <n v="32.86"/>
    <n v="2"/>
    <x v="367"/>
    <n v="88475"/>
    <x v="367"/>
  </r>
  <r>
    <n v="18808"/>
    <s v="Low"/>
    <n v="0.08"/>
    <n v="296.18"/>
    <n v="54.12"/>
    <n v="670"/>
    <s v="Lewis Baldwin"/>
    <s v="Delivery Truck"/>
    <s v="Home Office"/>
    <x v="1"/>
    <x v="11"/>
    <s v="Jumbo Box"/>
    <s v="Hon 94000 Series Round Tables"/>
    <n v="0.76"/>
    <s v="United States"/>
    <x v="3"/>
    <s v="Virginia"/>
    <s v="Montclair"/>
    <n v="22025"/>
    <x v="93"/>
    <d v="2015-03-12T00:00:00"/>
    <n v="-187.22200000000001"/>
    <n v="5"/>
    <x v="368"/>
    <n v="88474"/>
    <x v="368"/>
  </r>
  <r>
    <n v="19423"/>
    <s v="Low"/>
    <n v="7.0000000000000007E-2"/>
    <n v="2.88"/>
    <n v="1.01"/>
    <n v="672"/>
    <s v="Brian Leach"/>
    <s v="Regular Air"/>
    <s v="Small Business"/>
    <x v="0"/>
    <x v="0"/>
    <s v="Wrap Bag"/>
    <s v="Sanford Colorific Colored Pencils, 12/Box"/>
    <n v="0.55000000000000004"/>
    <s v="United States"/>
    <x v="2"/>
    <s v="Iowa"/>
    <s v="Newton"/>
    <n v="50208"/>
    <x v="64"/>
    <d v="2015-02-09T00:00:00"/>
    <n v="9.59"/>
    <n v="12"/>
    <x v="369"/>
    <n v="88173"/>
    <x v="369"/>
  </r>
  <r>
    <n v="19424"/>
    <s v="Low"/>
    <n v="0.1"/>
    <n v="195.99"/>
    <n v="3.99"/>
    <n v="672"/>
    <s v="Brian Leach"/>
    <s v="Regular Air"/>
    <s v="Small Business"/>
    <x v="2"/>
    <x v="5"/>
    <s v="Small Box"/>
    <s v="R380"/>
    <n v="0.57999999999999996"/>
    <s v="United States"/>
    <x v="2"/>
    <s v="Iowa"/>
    <s v="Newton"/>
    <n v="50208"/>
    <x v="64"/>
    <d v="2015-02-12T00:00:00"/>
    <n v="-655.42399999999998"/>
    <n v="2"/>
    <x v="370"/>
    <n v="88173"/>
    <x v="370"/>
  </r>
  <r>
    <n v="25059"/>
    <s v="Critical"/>
    <n v="0.06"/>
    <n v="161.55000000000001"/>
    <n v="19.989999999999998"/>
    <n v="674"/>
    <s v="Albert Frost"/>
    <s v="Regular Air"/>
    <s v="Small Business"/>
    <x v="0"/>
    <x v="10"/>
    <s v="Small Box"/>
    <s v="Fellowes Super Stor/Drawer® Files"/>
    <n v="0.66"/>
    <s v="United States"/>
    <x v="2"/>
    <s v="Missouri"/>
    <s v="Raytown"/>
    <n v="64133"/>
    <x v="22"/>
    <d v="2015-01-03T00:00:00"/>
    <n v="-7.58"/>
    <n v="3"/>
    <x v="371"/>
    <n v="88174"/>
    <x v="371"/>
  </r>
  <r>
    <n v="19326"/>
    <s v="Medium"/>
    <n v="0.04"/>
    <n v="15.42"/>
    <n v="10.68"/>
    <n v="678"/>
    <s v="Edward McKenzie"/>
    <s v="Express Air"/>
    <s v="Corporate"/>
    <x v="0"/>
    <x v="10"/>
    <s v="Small Box"/>
    <s v="Decoflex Hanging Personal Folder File, Blue"/>
    <n v="0.57999999999999996"/>
    <s v="United States"/>
    <x v="3"/>
    <s v="Virginia"/>
    <s v="Rose Hill"/>
    <n v="24281"/>
    <x v="126"/>
    <d v="2015-04-23T00:00:00"/>
    <n v="-109.70399999999999"/>
    <n v="5"/>
    <x v="372"/>
    <n v="88889"/>
    <x v="372"/>
  </r>
  <r>
    <n v="21609"/>
    <s v="Medium"/>
    <n v="0.01"/>
    <n v="3.95"/>
    <n v="5.13"/>
    <n v="679"/>
    <s v="Katie Dougherty"/>
    <s v="Regular Air"/>
    <s v="Corporate"/>
    <x v="0"/>
    <x v="15"/>
    <s v="Small Box"/>
    <s v="Hoover Replacement Belts For Soft Guard™ &amp; Commercial Ltweight Upright Vacs, 2/Pk"/>
    <n v="0.59"/>
    <s v="United States"/>
    <x v="0"/>
    <s v="Washington"/>
    <s v="Spanaway"/>
    <n v="98387"/>
    <x v="30"/>
    <d v="2015-03-05T00:00:00"/>
    <n v="-19.93"/>
    <n v="2"/>
    <x v="373"/>
    <n v="88890"/>
    <x v="373"/>
  </r>
  <r>
    <n v="21610"/>
    <s v="Medium"/>
    <n v="0.02"/>
    <n v="367.99"/>
    <n v="19.989999999999998"/>
    <n v="679"/>
    <s v="Katie Dougherty"/>
    <s v="Regular Air"/>
    <s v="Corporate"/>
    <x v="0"/>
    <x v="8"/>
    <s v="Small Box"/>
    <s v="Ibico Ibimaster 300 Manual Binding System"/>
    <n v="0.4"/>
    <s v="United States"/>
    <x v="0"/>
    <s v="Washington"/>
    <s v="Spanaway"/>
    <n v="98387"/>
    <x v="30"/>
    <d v="2015-03-05T00:00:00"/>
    <n v="4568.6072999999997"/>
    <n v="17"/>
    <x v="374"/>
    <n v="88890"/>
    <x v="374"/>
  </r>
  <r>
    <n v="21612"/>
    <s v="Medium"/>
    <n v="0.04"/>
    <n v="95.99"/>
    <n v="4.9000000000000004"/>
    <n v="680"/>
    <s v="Laurence Poe"/>
    <s v="Regular Air"/>
    <s v="Corporate"/>
    <x v="2"/>
    <x v="5"/>
    <s v="Small Box"/>
    <s v="T60"/>
    <n v="0.56000000000000005"/>
    <s v="United States"/>
    <x v="0"/>
    <s v="Washington"/>
    <s v="Spokane"/>
    <n v="99207"/>
    <x v="30"/>
    <d v="2015-03-06T00:00:00"/>
    <n v="-258.22500000000002"/>
    <n v="3"/>
    <x v="375"/>
    <n v="88890"/>
    <x v="375"/>
  </r>
  <r>
    <n v="18555"/>
    <s v="Medium"/>
    <n v="0.06"/>
    <n v="17.670000000000002"/>
    <n v="8.99"/>
    <n v="683"/>
    <s v="Seth Merrill"/>
    <s v="Express Air"/>
    <s v="Small Business"/>
    <x v="1"/>
    <x v="2"/>
    <s v="Small Pack"/>
    <s v="Executive Impressions 12&quot; Wall Clock"/>
    <n v="0.47"/>
    <s v="United States"/>
    <x v="2"/>
    <s v="Nebraska"/>
    <s v="Papillion"/>
    <n v="68046"/>
    <x v="74"/>
    <d v="2015-04-08T00:00:00"/>
    <n v="38.06"/>
    <n v="4"/>
    <x v="376"/>
    <n v="87765"/>
    <x v="376"/>
  </r>
  <r>
    <n v="21411"/>
    <s v="Critical"/>
    <n v="7.0000000000000007E-2"/>
    <n v="279.48"/>
    <n v="35"/>
    <n v="688"/>
    <s v="Ashley Reese"/>
    <s v="Regular Air"/>
    <s v="Small Business"/>
    <x v="0"/>
    <x v="10"/>
    <s v="Large Box"/>
    <s v="Tennsco Snap-Together Open Shelving Units, Starter Sets and Add-On Units"/>
    <n v="0.8"/>
    <s v="United States"/>
    <x v="2"/>
    <s v="Missouri"/>
    <s v="Saint Louis"/>
    <n v="63116"/>
    <x v="41"/>
    <d v="2015-05-16T00:00:00"/>
    <n v="-207.28"/>
    <n v="10"/>
    <x v="377"/>
    <n v="88503"/>
    <x v="377"/>
  </r>
  <r>
    <n v="19325"/>
    <s v="Low"/>
    <n v="0.06"/>
    <n v="4.18"/>
    <n v="2.99"/>
    <n v="688"/>
    <s v="Ashley Reese"/>
    <s v="Regular Air"/>
    <s v="Small Business"/>
    <x v="0"/>
    <x v="8"/>
    <s v="Small Box"/>
    <s v="Avery® Durable Slant Ring Binders With Label Holder"/>
    <n v="0.37"/>
    <s v="United States"/>
    <x v="2"/>
    <s v="Missouri"/>
    <s v="Saint Louis"/>
    <n v="63116"/>
    <x v="127"/>
    <d v="2015-03-08T00:00:00"/>
    <n v="-12.718999999999999"/>
    <n v="5"/>
    <x v="378"/>
    <n v="88504"/>
    <x v="378"/>
  </r>
  <r>
    <n v="26321"/>
    <s v="Medium"/>
    <n v="7.0000000000000007E-2"/>
    <n v="1.7"/>
    <n v="1.99"/>
    <n v="689"/>
    <s v="Tommy Honeycutt"/>
    <s v="Regular Air"/>
    <s v="Small Business"/>
    <x v="2"/>
    <x v="13"/>
    <s v="Small Pack"/>
    <s v="BASF Silver 74 Minute CD-R"/>
    <n v="0.51"/>
    <s v="United States"/>
    <x v="2"/>
    <s v="Missouri"/>
    <s v="Saint Peters"/>
    <n v="63376"/>
    <x v="128"/>
    <d v="2015-02-05T00:00:00"/>
    <n v="-51.42"/>
    <n v="10"/>
    <x v="379"/>
    <n v="88502"/>
    <x v="379"/>
  </r>
  <r>
    <n v="19933"/>
    <s v="High"/>
    <n v="0.09"/>
    <n v="6.48"/>
    <n v="6.35"/>
    <n v="691"/>
    <s v="Alicia Curtis"/>
    <s v="Regular Air"/>
    <s v="Home Office"/>
    <x v="0"/>
    <x v="7"/>
    <s v="Small Box"/>
    <s v="Xerox 200"/>
    <n v="0.37"/>
    <s v="United States"/>
    <x v="0"/>
    <s v="Washington"/>
    <s v="Tacoma"/>
    <n v="98408"/>
    <x v="68"/>
    <d v="2015-03-22T00:00:00"/>
    <n v="-88.6"/>
    <n v="8"/>
    <x v="380"/>
    <n v="89915"/>
    <x v="380"/>
  </r>
  <r>
    <n v="19400"/>
    <s v="Low"/>
    <n v="0.02"/>
    <n v="500.98"/>
    <n v="41.44"/>
    <n v="693"/>
    <s v="Richard McClure"/>
    <s v="Delivery Truck"/>
    <s v="Small Business"/>
    <x v="1"/>
    <x v="14"/>
    <s v="Jumbo Box"/>
    <s v="DMI Eclipse Executive Suite Bookcases"/>
    <n v="0.66"/>
    <s v="United States"/>
    <x v="0"/>
    <s v="Colorado"/>
    <s v="Thornton"/>
    <n v="80229"/>
    <x v="78"/>
    <d v="2015-03-25T00:00:00"/>
    <n v="2568.4629"/>
    <n v="7"/>
    <x v="381"/>
    <n v="87811"/>
    <x v="381"/>
  </r>
  <r>
    <n v="18736"/>
    <s v="Low"/>
    <n v="0.09"/>
    <n v="5.34"/>
    <n v="2.99"/>
    <n v="693"/>
    <s v="Richard McClure"/>
    <s v="Express Air"/>
    <s v="Small Business"/>
    <x v="0"/>
    <x v="8"/>
    <s v="Small Box"/>
    <s v="Wilson Jones 14 Line Acrylic Coated Pressboard Data Binders"/>
    <n v="0.38"/>
    <s v="United States"/>
    <x v="0"/>
    <s v="Colorado"/>
    <s v="Thornton"/>
    <n v="80229"/>
    <x v="129"/>
    <d v="2015-03-15T00:00:00"/>
    <n v="9.4860000000000007"/>
    <n v="17"/>
    <x v="382"/>
    <n v="87812"/>
    <x v="382"/>
  </r>
  <r>
    <n v="18737"/>
    <s v="Low"/>
    <n v="7.0000000000000007E-2"/>
    <n v="140.97999999999999"/>
    <n v="53.48"/>
    <n v="693"/>
    <s v="Richard McClure"/>
    <s v="Delivery Truck"/>
    <s v="Small Business"/>
    <x v="1"/>
    <x v="14"/>
    <s v="Jumbo Box"/>
    <s v="Bush Heritage Pine Collection 5-Shelf Bookcase, Albany Pine Finish, *Special Order"/>
    <n v="0.65"/>
    <s v="United States"/>
    <x v="0"/>
    <s v="Colorado"/>
    <s v="Thornton"/>
    <n v="80229"/>
    <x v="129"/>
    <d v="2015-03-15T00:00:00"/>
    <n v="-263.64999999999998"/>
    <n v="5"/>
    <x v="383"/>
    <n v="87812"/>
    <x v="383"/>
  </r>
  <r>
    <n v="18738"/>
    <s v="Low"/>
    <n v="0.06"/>
    <n v="205.99"/>
    <n v="5.26"/>
    <n v="693"/>
    <s v="Richard McClure"/>
    <s v="Regular Air"/>
    <s v="Small Business"/>
    <x v="2"/>
    <x v="5"/>
    <s v="Small Box"/>
    <s v="i470"/>
    <n v="0.56000000000000005"/>
    <s v="United States"/>
    <x v="0"/>
    <s v="Colorado"/>
    <s v="Thornton"/>
    <n v="80229"/>
    <x v="129"/>
    <d v="2015-03-15T00:00:00"/>
    <n v="890.18100000000004"/>
    <n v="11"/>
    <x v="384"/>
    <n v="87812"/>
    <x v="384"/>
  </r>
  <r>
    <n v="18810"/>
    <s v="High"/>
    <n v="0"/>
    <n v="230.98"/>
    <n v="23.78"/>
    <n v="693"/>
    <s v="Richard McClure"/>
    <s v="Delivery Truck"/>
    <s v="Small Business"/>
    <x v="1"/>
    <x v="11"/>
    <s v="Jumbo Box"/>
    <s v="Bush® Cubix Conference Tables, Fully Assembled"/>
    <n v="0.6"/>
    <s v="United States"/>
    <x v="0"/>
    <s v="Colorado"/>
    <s v="Thornton"/>
    <n v="80229"/>
    <x v="130"/>
    <d v="2015-05-07T00:00:00"/>
    <n v="6095.8602000000001"/>
    <n v="36"/>
    <x v="385"/>
    <n v="87813"/>
    <x v="385"/>
  </r>
  <r>
    <n v="22613"/>
    <s v="Medium"/>
    <n v="0.06"/>
    <n v="8.1199999999999992"/>
    <n v="2.83"/>
    <n v="696"/>
    <s v="Johnny Reid"/>
    <s v="Regular Air"/>
    <s v="Corporate"/>
    <x v="2"/>
    <x v="13"/>
    <s v="Small Pack"/>
    <s v="Imation Neon Mac Format Diskettes, 10/Pack"/>
    <n v="0.77"/>
    <s v="United States"/>
    <x v="2"/>
    <s v="Indiana"/>
    <s v="Crown Point"/>
    <n v="46307"/>
    <x v="12"/>
    <d v="2015-03-28T00:00:00"/>
    <n v="-82.83"/>
    <n v="10"/>
    <x v="386"/>
    <n v="89847"/>
    <x v="386"/>
  </r>
  <r>
    <n v="22614"/>
    <s v="Medium"/>
    <n v="0.05"/>
    <n v="51.65"/>
    <n v="18.45"/>
    <n v="696"/>
    <s v="Johnny Reid"/>
    <s v="Regular Air"/>
    <s v="Corporate"/>
    <x v="1"/>
    <x v="2"/>
    <s v="Medium Box"/>
    <s v="Deflect-o EconoMat Nonstudded, No Bevel Mat"/>
    <n v="0.65"/>
    <s v="United States"/>
    <x v="2"/>
    <s v="Indiana"/>
    <s v="Crown Point"/>
    <n v="46307"/>
    <x v="12"/>
    <d v="2015-03-28T00:00:00"/>
    <n v="25.04"/>
    <n v="12"/>
    <x v="387"/>
    <n v="89847"/>
    <x v="387"/>
  </r>
  <r>
    <n v="19225"/>
    <s v="Low"/>
    <n v="0.1"/>
    <n v="40.479999999999997"/>
    <n v="19.989999999999998"/>
    <n v="696"/>
    <s v="Johnny Reid"/>
    <s v="Regular Air"/>
    <s v="Corporate"/>
    <x v="2"/>
    <x v="13"/>
    <s v="Small Box"/>
    <s v="Keytronic Designer 104- Key Black Keyboard"/>
    <n v="0.77"/>
    <s v="United States"/>
    <x v="2"/>
    <s v="Indiana"/>
    <s v="Crown Point"/>
    <n v="46307"/>
    <x v="74"/>
    <d v="2015-04-09T00:00:00"/>
    <n v="-580.32000000000005"/>
    <n v="9"/>
    <x v="388"/>
    <n v="89848"/>
    <x v="388"/>
  </r>
  <r>
    <n v="22616"/>
    <s v="Medium"/>
    <n v="0.1"/>
    <n v="175.99"/>
    <n v="8.99"/>
    <n v="697"/>
    <s v="Adam G Sawyer"/>
    <s v="Regular Air"/>
    <s v="Corporate"/>
    <x v="2"/>
    <x v="5"/>
    <s v="Small Box"/>
    <n v="2180"/>
    <n v="0.56999999999999995"/>
    <s v="United States"/>
    <x v="2"/>
    <s v="Indiana"/>
    <s v="East Chicago"/>
    <n v="46312"/>
    <x v="12"/>
    <d v="2015-03-28T00:00:00"/>
    <n v="928.96079999999995"/>
    <n v="10"/>
    <x v="389"/>
    <n v="89847"/>
    <x v="389"/>
  </r>
  <r>
    <n v="25480"/>
    <s v="Critical"/>
    <n v="0.08"/>
    <n v="14.81"/>
    <n v="13.32"/>
    <n v="697"/>
    <s v="Adam G Sawyer"/>
    <s v="Regular Air"/>
    <s v="Corporate"/>
    <x v="0"/>
    <x v="15"/>
    <s v="Small Box"/>
    <s v="Holmes Replacement Filter for HEPA Air Cleaner, Large Room"/>
    <n v="0.43"/>
    <s v="United States"/>
    <x v="2"/>
    <s v="Indiana"/>
    <s v="East Chicago"/>
    <n v="46312"/>
    <x v="131"/>
    <d v="2015-02-09T00:00:00"/>
    <n v="-131.6172"/>
    <n v="20"/>
    <x v="390"/>
    <n v="89849"/>
    <x v="390"/>
  </r>
  <r>
    <n v="4613"/>
    <s v="Medium"/>
    <n v="0.06"/>
    <n v="8.1199999999999992"/>
    <n v="2.83"/>
    <n v="698"/>
    <s v="Nelson Hensley"/>
    <s v="Regular Air"/>
    <s v="Corporate"/>
    <x v="2"/>
    <x v="13"/>
    <s v="Small Pack"/>
    <s v="Imation Neon Mac Format Diskettes, 10/Pack"/>
    <n v="0.77"/>
    <s v="United States"/>
    <x v="0"/>
    <s v="Washington"/>
    <s v="Seattle"/>
    <n v="98105"/>
    <x v="12"/>
    <d v="2015-03-28T00:00:00"/>
    <n v="-82.83"/>
    <n v="41"/>
    <x v="391"/>
    <n v="32869"/>
    <x v="391"/>
  </r>
  <r>
    <n v="4614"/>
    <s v="Medium"/>
    <n v="0.05"/>
    <n v="51.65"/>
    <n v="18.45"/>
    <n v="698"/>
    <s v="Nelson Hensley"/>
    <s v="Regular Air"/>
    <s v="Corporate"/>
    <x v="1"/>
    <x v="2"/>
    <s v="Medium Box"/>
    <s v="Deflect-o EconoMat Nonstudded, No Bevel Mat"/>
    <n v="0.65"/>
    <s v="United States"/>
    <x v="0"/>
    <s v="Washington"/>
    <s v="Seattle"/>
    <n v="98105"/>
    <x v="12"/>
    <d v="2015-03-28T00:00:00"/>
    <n v="25.04"/>
    <n v="49"/>
    <x v="392"/>
    <n v="32869"/>
    <x v="392"/>
  </r>
  <r>
    <n v="4616"/>
    <s v="Medium"/>
    <n v="0.1"/>
    <n v="175.99"/>
    <n v="8.99"/>
    <n v="698"/>
    <s v="Nelson Hensley"/>
    <s v="Regular Air"/>
    <s v="Corporate"/>
    <x v="2"/>
    <x v="5"/>
    <s v="Small Box"/>
    <n v="2180"/>
    <n v="0.56999999999999995"/>
    <s v="United States"/>
    <x v="0"/>
    <s v="Washington"/>
    <s v="Seattle"/>
    <n v="98105"/>
    <x v="12"/>
    <d v="2015-03-28T00:00:00"/>
    <n v="930.98699999999997"/>
    <n v="39"/>
    <x v="393"/>
    <n v="32869"/>
    <x v="393"/>
  </r>
  <r>
    <n v="1225"/>
    <s v="Low"/>
    <n v="0.1"/>
    <n v="40.479999999999997"/>
    <n v="19.989999999999998"/>
    <n v="698"/>
    <s v="Nelson Hensley"/>
    <s v="Regular Air"/>
    <s v="Corporate"/>
    <x v="2"/>
    <x v="13"/>
    <s v="Small Box"/>
    <s v="Keytronic Designer 104- Key Black Keyboard"/>
    <n v="0.77"/>
    <s v="United States"/>
    <x v="0"/>
    <s v="Washington"/>
    <s v="Seattle"/>
    <n v="98105"/>
    <x v="74"/>
    <d v="2015-04-09T00:00:00"/>
    <n v="-580.32000000000005"/>
    <n v="36"/>
    <x v="394"/>
    <n v="8994"/>
    <x v="394"/>
  </r>
  <r>
    <n v="7480"/>
    <s v="Critical"/>
    <n v="0.08"/>
    <n v="14.81"/>
    <n v="13.32"/>
    <n v="698"/>
    <s v="Nelson Hensley"/>
    <s v="Regular Air"/>
    <s v="Corporate"/>
    <x v="0"/>
    <x v="15"/>
    <s v="Small Box"/>
    <s v="Holmes Replacement Filter for HEPA Air Cleaner, Large Room"/>
    <n v="0.43"/>
    <s v="United States"/>
    <x v="0"/>
    <s v="Washington"/>
    <s v="Seattle"/>
    <n v="98105"/>
    <x v="131"/>
    <d v="2015-02-09T00:00:00"/>
    <n v="-253.11"/>
    <n v="79"/>
    <x v="395"/>
    <n v="53410"/>
    <x v="395"/>
  </r>
  <r>
    <n v="6289"/>
    <s v="Medium"/>
    <n v="0.03"/>
    <n v="5.28"/>
    <n v="5.61"/>
    <n v="699"/>
    <s v="Jenny Gold"/>
    <s v="Regular Air"/>
    <s v="Consumer"/>
    <x v="0"/>
    <x v="7"/>
    <s v="Small Box"/>
    <s v="Xerox 1954"/>
    <n v="0.4"/>
    <s v="United States"/>
    <x v="0"/>
    <s v="California"/>
    <s v="Los Angeles"/>
    <n v="90041"/>
    <x v="45"/>
    <d v="2015-04-24T00:00:00"/>
    <n v="-16.670000000000002"/>
    <n v="5"/>
    <x v="396"/>
    <n v="44517"/>
    <x v="396"/>
  </r>
  <r>
    <n v="7733"/>
    <s v="Critical"/>
    <n v="0.02"/>
    <n v="6.47"/>
    <n v="1.22"/>
    <n v="699"/>
    <s v="Jenny Gold"/>
    <s v="Regular Air"/>
    <s v="Consumer"/>
    <x v="0"/>
    <x v="0"/>
    <s v="Wrap Bag"/>
    <s v="Staples Pen Style Liquid Stix; Assorted (yellow, pink, green, blue, orange), 5/Pack"/>
    <n v="0.4"/>
    <s v="United States"/>
    <x v="0"/>
    <s v="California"/>
    <s v="Los Angeles"/>
    <n v="90041"/>
    <x v="132"/>
    <d v="2015-06-07T00:00:00"/>
    <n v="40.200000000000003"/>
    <n v="30"/>
    <x v="397"/>
    <n v="55392"/>
    <x v="397"/>
  </r>
  <r>
    <n v="7734"/>
    <s v="Critical"/>
    <n v="7.0000000000000007E-2"/>
    <n v="2.84"/>
    <n v="0.93"/>
    <n v="699"/>
    <s v="Jenny Gold"/>
    <s v="Regular Air"/>
    <s v="Consumer"/>
    <x v="0"/>
    <x v="0"/>
    <s v="Wrap Bag"/>
    <s v="SANFORD Liquid Accent™ Tank-Style Highlighters"/>
    <n v="0.54"/>
    <s v="United States"/>
    <x v="0"/>
    <s v="California"/>
    <s v="Los Angeles"/>
    <n v="90041"/>
    <x v="132"/>
    <d v="2015-06-08T00:00:00"/>
    <n v="3.21"/>
    <n v="59"/>
    <x v="398"/>
    <n v="55392"/>
    <x v="398"/>
  </r>
  <r>
    <n v="5140"/>
    <s v="High"/>
    <n v="0.01"/>
    <n v="7.89"/>
    <n v="2.82"/>
    <n v="699"/>
    <s v="Jenny Gold"/>
    <s v="Regular Air"/>
    <s v="Consumer"/>
    <x v="0"/>
    <x v="3"/>
    <s v="Wrap Bag"/>
    <s v="Staples Vinyl Coated Paper Clips, 800/Box"/>
    <n v="0.4"/>
    <s v="United States"/>
    <x v="0"/>
    <s v="California"/>
    <s v="Los Angeles"/>
    <n v="90041"/>
    <x v="133"/>
    <d v="2015-07-01T00:00:00"/>
    <n v="38.700000000000003"/>
    <n v="32"/>
    <x v="399"/>
    <n v="36647"/>
    <x v="399"/>
  </r>
  <r>
    <n v="5141"/>
    <s v="High"/>
    <n v="0.09"/>
    <n v="3.68"/>
    <n v="1.32"/>
    <n v="699"/>
    <s v="Jenny Gold"/>
    <s v="Regular Air"/>
    <s v="Consumer"/>
    <x v="0"/>
    <x v="12"/>
    <s v="Wrap Bag"/>
    <s v="*Staples* vLetter Openers, 2/Pack"/>
    <n v="0.83"/>
    <s v="United States"/>
    <x v="0"/>
    <s v="California"/>
    <s v="Los Angeles"/>
    <n v="90041"/>
    <x v="133"/>
    <d v="2015-07-01T00:00:00"/>
    <n v="-21.91"/>
    <n v="24"/>
    <x v="400"/>
    <n v="36647"/>
    <x v="400"/>
  </r>
  <r>
    <n v="5142"/>
    <s v="High"/>
    <n v="0.1"/>
    <n v="9.7100000000000009"/>
    <n v="9.4499999999999993"/>
    <n v="699"/>
    <s v="Jenny Gold"/>
    <s v="Regular Air"/>
    <s v="Consumer"/>
    <x v="0"/>
    <x v="10"/>
    <s v="Small Box"/>
    <s v="Filing/Storage Totes and Swivel Casters"/>
    <n v="0.6"/>
    <s v="United States"/>
    <x v="0"/>
    <s v="California"/>
    <s v="Los Angeles"/>
    <n v="90041"/>
    <x v="133"/>
    <d v="2015-07-03T00:00:00"/>
    <n v="-119.77"/>
    <n v="27"/>
    <x v="401"/>
    <n v="36647"/>
    <x v="401"/>
  </r>
  <r>
    <n v="4556"/>
    <s v="Medium"/>
    <n v="7.0000000000000007E-2"/>
    <n v="5.0199999999999996"/>
    <n v="5.14"/>
    <n v="699"/>
    <s v="Jenny Gold"/>
    <s v="Regular Air"/>
    <s v="Consumer"/>
    <x v="2"/>
    <x v="13"/>
    <s v="Small Pack"/>
    <s v="Imation 3.5, DISKETTE 44766 HGHLD3.52HD/FM, 10/Pack"/>
    <n v="0.79"/>
    <s v="United States"/>
    <x v="0"/>
    <s v="California"/>
    <s v="Los Angeles"/>
    <n v="90041"/>
    <x v="134"/>
    <d v="2015-01-31T00:00:00"/>
    <n v="-168.72"/>
    <n v="42"/>
    <x v="402"/>
    <n v="32420"/>
    <x v="402"/>
  </r>
  <r>
    <n v="4557"/>
    <s v="Medium"/>
    <n v="7.0000000000000007E-2"/>
    <n v="280.98"/>
    <n v="57"/>
    <n v="699"/>
    <s v="Jenny Gold"/>
    <s v="Delivery Truck"/>
    <s v="Consumer"/>
    <x v="1"/>
    <x v="1"/>
    <s v="Jumbo Drum"/>
    <s v="Hon 2090 “Pillow Soft” Series Mid Back Swivel/Tilt Chairs"/>
    <n v="0.78"/>
    <s v="United States"/>
    <x v="0"/>
    <s v="California"/>
    <s v="Los Angeles"/>
    <n v="90041"/>
    <x v="134"/>
    <d v="2015-01-31T00:00:00"/>
    <n v="-439.62"/>
    <n v="23"/>
    <x v="403"/>
    <n v="32420"/>
    <x v="403"/>
  </r>
  <r>
    <n v="448"/>
    <s v="Medium"/>
    <n v="0.1"/>
    <n v="4.26"/>
    <n v="1.2"/>
    <n v="699"/>
    <s v="Jenny Gold"/>
    <s v="Regular Air"/>
    <s v="Consumer"/>
    <x v="0"/>
    <x v="0"/>
    <s v="Wrap Bag"/>
    <s v="Dixon Prang® Watercolor Pencils, 10-Color Set with Brush"/>
    <n v="0.44"/>
    <s v="United States"/>
    <x v="0"/>
    <s v="California"/>
    <s v="Los Angeles"/>
    <n v="90041"/>
    <x v="135"/>
    <d v="2015-05-21T00:00:00"/>
    <n v="15.42"/>
    <n v="88"/>
    <x v="404"/>
    <n v="3042"/>
    <x v="404"/>
  </r>
  <r>
    <n v="18448"/>
    <s v="Medium"/>
    <n v="0.1"/>
    <n v="4.26"/>
    <n v="1.2"/>
    <n v="700"/>
    <s v="Joseph Grossman"/>
    <s v="Regular Air"/>
    <s v="Consumer"/>
    <x v="0"/>
    <x v="0"/>
    <s v="Wrap Bag"/>
    <s v="Dixon Prang® Watercolor Pencils, 10-Color Set with Brush"/>
    <n v="0.44"/>
    <s v="United States"/>
    <x v="0"/>
    <s v="California"/>
    <s v="Santa Maria"/>
    <n v="93454"/>
    <x v="135"/>
    <d v="2015-05-21T00:00:00"/>
    <n v="33.923999999999999"/>
    <n v="22"/>
    <x v="405"/>
    <n v="87980"/>
    <x v="405"/>
  </r>
  <r>
    <n v="24289"/>
    <s v="Medium"/>
    <n v="0.03"/>
    <n v="5.28"/>
    <n v="5.61"/>
    <n v="702"/>
    <s v="Kelly O'Connor"/>
    <s v="Regular Air"/>
    <s v="Consumer"/>
    <x v="0"/>
    <x v="7"/>
    <s v="Small Box"/>
    <s v="Xerox 1954"/>
    <n v="0.4"/>
    <s v="United States"/>
    <x v="0"/>
    <s v="California"/>
    <s v="Santa Rosa"/>
    <n v="95404"/>
    <x v="45"/>
    <d v="2015-04-24T00:00:00"/>
    <n v="-16.670000000000002"/>
    <n v="1"/>
    <x v="406"/>
    <n v="87977"/>
    <x v="406"/>
  </r>
  <r>
    <n v="23140"/>
    <s v="High"/>
    <n v="0.01"/>
    <n v="7.89"/>
    <n v="2.82"/>
    <n v="702"/>
    <s v="Kelly O'Connor"/>
    <s v="Regular Air"/>
    <s v="Consumer"/>
    <x v="0"/>
    <x v="3"/>
    <s v="Wrap Bag"/>
    <s v="Staples Vinyl Coated Paper Clips, 800/Box"/>
    <n v="0.4"/>
    <s v="United States"/>
    <x v="0"/>
    <s v="California"/>
    <s v="Santa Rosa"/>
    <n v="95404"/>
    <x v="133"/>
    <d v="2015-07-01T00:00:00"/>
    <n v="46.44"/>
    <n v="8"/>
    <x v="407"/>
    <n v="87979"/>
    <x v="407"/>
  </r>
  <r>
    <n v="23141"/>
    <s v="High"/>
    <n v="0.09"/>
    <n v="3.68"/>
    <n v="1.32"/>
    <n v="702"/>
    <s v="Kelly O'Connor"/>
    <s v="Regular Air"/>
    <s v="Consumer"/>
    <x v="0"/>
    <x v="12"/>
    <s v="Wrap Bag"/>
    <s v="*Staples* vLetter Openers, 2/Pack"/>
    <n v="0.83"/>
    <s v="United States"/>
    <x v="0"/>
    <s v="California"/>
    <s v="Santa Rosa"/>
    <n v="95404"/>
    <x v="133"/>
    <d v="2015-07-01T00:00:00"/>
    <n v="-17.527999999999999"/>
    <n v="6"/>
    <x v="408"/>
    <n v="87979"/>
    <x v="408"/>
  </r>
  <r>
    <n v="23142"/>
    <s v="High"/>
    <n v="0.1"/>
    <n v="9.7100000000000009"/>
    <n v="9.4499999999999993"/>
    <n v="702"/>
    <s v="Kelly O'Connor"/>
    <s v="Regular Air"/>
    <s v="Consumer"/>
    <x v="0"/>
    <x v="10"/>
    <s v="Small Box"/>
    <s v="Filing/Storage Totes and Swivel Casters"/>
    <n v="0.6"/>
    <s v="United States"/>
    <x v="0"/>
    <s v="California"/>
    <s v="Santa Rosa"/>
    <n v="95404"/>
    <x v="133"/>
    <d v="2015-07-03T00:00:00"/>
    <n v="-95.816000000000003"/>
    <n v="7"/>
    <x v="409"/>
    <n v="87979"/>
    <x v="409"/>
  </r>
  <r>
    <n v="25734"/>
    <s v="Critical"/>
    <n v="7.0000000000000007E-2"/>
    <n v="2.84"/>
    <n v="0.93"/>
    <n v="711"/>
    <s v="Pam Anthony"/>
    <s v="Regular Air"/>
    <s v="Consumer"/>
    <x v="0"/>
    <x v="0"/>
    <s v="Wrap Bag"/>
    <s v="SANFORD Liquid Accent™ Tank-Style Highlighters"/>
    <n v="0.54"/>
    <s v="United States"/>
    <x v="1"/>
    <s v="Massachusetts"/>
    <s v="Winthrop"/>
    <n v="2152"/>
    <x v="132"/>
    <d v="2015-06-08T00:00:00"/>
    <n v="3.8519999999999999"/>
    <n v="15"/>
    <x v="410"/>
    <n v="87978"/>
    <x v="410"/>
  </r>
  <r>
    <n v="20789"/>
    <s v="Not Specified"/>
    <n v="0"/>
    <n v="8.5"/>
    <n v="1.99"/>
    <n v="719"/>
    <s v="Stephen Lam"/>
    <s v="Regular Air"/>
    <s v="Corporate"/>
    <x v="2"/>
    <x v="13"/>
    <s v="Small Pack"/>
    <s v="Hewlett-Packard 4.7GB DVD+R Discs"/>
    <n v="0.49"/>
    <s v="United States"/>
    <x v="0"/>
    <s v="Nevada"/>
    <s v="Pahrump"/>
    <n v="89041"/>
    <x v="136"/>
    <d v="2015-03-02T00:00:00"/>
    <n v="71.735600000000005"/>
    <n v="14"/>
    <x v="411"/>
    <n v="89344"/>
    <x v="411"/>
  </r>
  <r>
    <n v="20790"/>
    <s v="Not Specified"/>
    <n v="0.03"/>
    <n v="95.43"/>
    <n v="19.989999999999998"/>
    <n v="719"/>
    <s v="Stephen Lam"/>
    <s v="Regular Air"/>
    <s v="Corporate"/>
    <x v="0"/>
    <x v="10"/>
    <s v="Small Box"/>
    <s v="Fellowes Stor/Drawer® Steel Plus™ Storage Drawers"/>
    <n v="0.79"/>
    <s v="United States"/>
    <x v="0"/>
    <s v="Nevada"/>
    <s v="Pahrump"/>
    <n v="89041"/>
    <x v="136"/>
    <d v="2015-03-02T00:00:00"/>
    <n v="-79.320800000000006"/>
    <n v="2"/>
    <x v="412"/>
    <n v="89344"/>
    <x v="412"/>
  </r>
  <r>
    <n v="20633"/>
    <s v="Not Specified"/>
    <n v="0.04"/>
    <n v="10.64"/>
    <n v="5.16"/>
    <n v="721"/>
    <s v="Melvin Duke"/>
    <s v="Regular Air"/>
    <s v="Corporate"/>
    <x v="1"/>
    <x v="2"/>
    <s v="Small Box"/>
    <s v="Eldon Expressions Punched Metal &amp; Wood Desk Accessories, Pewter &amp; Cherry"/>
    <n v="0.56999999999999995"/>
    <s v="United States"/>
    <x v="2"/>
    <s v="Indiana"/>
    <s v="Frankfort"/>
    <n v="46041"/>
    <x v="137"/>
    <d v="2015-06-25T00:00:00"/>
    <n v="24.096"/>
    <n v="6"/>
    <x v="413"/>
    <n v="91053"/>
    <x v="413"/>
  </r>
  <r>
    <n v="20634"/>
    <s v="Not Specified"/>
    <n v="0.03"/>
    <n v="2.78"/>
    <n v="1.34"/>
    <n v="721"/>
    <s v="Melvin Duke"/>
    <s v="Express Air"/>
    <s v="Corporate"/>
    <x v="0"/>
    <x v="0"/>
    <s v="Wrap Bag"/>
    <s v="Prang Drawing Pencil Set"/>
    <n v="0.45"/>
    <s v="United States"/>
    <x v="2"/>
    <s v="Indiana"/>
    <s v="Frankfort"/>
    <n v="46041"/>
    <x v="137"/>
    <d v="2015-06-26T00:00:00"/>
    <n v="6.9720000000000004"/>
    <n v="15"/>
    <x v="414"/>
    <n v="91053"/>
    <x v="414"/>
  </r>
  <r>
    <n v="24574"/>
    <s v="Medium"/>
    <n v="0.01"/>
    <n v="7.28"/>
    <n v="11.15"/>
    <n v="721"/>
    <s v="Melvin Duke"/>
    <s v="Regular Air"/>
    <s v="Corporate"/>
    <x v="0"/>
    <x v="7"/>
    <s v="Small Box"/>
    <s v="Array® Parchment Paper, Assorted Colors"/>
    <n v="0.37"/>
    <s v="United States"/>
    <x v="2"/>
    <s v="Indiana"/>
    <s v="Frankfort"/>
    <n v="46041"/>
    <x v="86"/>
    <d v="2015-04-13T00:00:00"/>
    <n v="-24.245999999999999"/>
    <n v="1"/>
    <x v="415"/>
    <n v="91054"/>
    <x v="415"/>
  </r>
  <r>
    <n v="19601"/>
    <s v="Medium"/>
    <n v="0.09"/>
    <n v="125.99"/>
    <n v="8.99"/>
    <n v="724"/>
    <s v="Beverly Cooke Brooks"/>
    <s v="Regular Air"/>
    <s v="Consumer"/>
    <x v="2"/>
    <x v="5"/>
    <s v="Small Box"/>
    <s v="SC7868i"/>
    <n v="0.55000000000000004"/>
    <s v="United States"/>
    <x v="1"/>
    <s v="Connecticut"/>
    <s v="Stratford"/>
    <n v="6614"/>
    <x v="24"/>
    <d v="2015-03-16T00:00:00"/>
    <n v="-605.37400000000002"/>
    <n v="1"/>
    <x v="416"/>
    <n v="90359"/>
    <x v="416"/>
  </r>
  <r>
    <n v="19600"/>
    <s v="Medium"/>
    <n v="0.1"/>
    <n v="17.98"/>
    <n v="4"/>
    <n v="727"/>
    <s v="Lindsay Link"/>
    <s v="Regular Air"/>
    <s v="Consumer"/>
    <x v="2"/>
    <x v="13"/>
    <s v="Small Box"/>
    <s v="Belkin 107-key enhanced keyboard, USB/PS/2 interface"/>
    <n v="0.79"/>
    <s v="United States"/>
    <x v="1"/>
    <s v="Maine"/>
    <s v="Lewiston"/>
    <n v="4240"/>
    <x v="24"/>
    <d v="2015-03-16T00:00:00"/>
    <n v="-99.55"/>
    <n v="4"/>
    <x v="288"/>
    <n v="90359"/>
    <x v="417"/>
  </r>
  <r>
    <n v="23436"/>
    <s v="High"/>
    <n v="0.09"/>
    <n v="101.41"/>
    <n v="35"/>
    <n v="731"/>
    <s v="June Herbert"/>
    <s v="Regular Air"/>
    <s v="Consumer"/>
    <x v="0"/>
    <x v="10"/>
    <s v="Large Box"/>
    <s v="Tennsco Regal Shelving Units"/>
    <n v="0.82"/>
    <s v="United States"/>
    <x v="1"/>
    <s v="Massachusetts"/>
    <s v="Burlington"/>
    <n v="1803"/>
    <x v="138"/>
    <d v="2015-04-27T00:00:00"/>
    <n v="-801.15480000000002"/>
    <n v="12"/>
    <x v="417"/>
    <n v="90362"/>
    <x v="418"/>
  </r>
  <r>
    <n v="21950"/>
    <s v="Not Specified"/>
    <n v="0.06"/>
    <n v="350.98"/>
    <n v="30"/>
    <n v="736"/>
    <s v="Meredith Walters"/>
    <s v="Delivery Truck"/>
    <s v="Consumer"/>
    <x v="1"/>
    <x v="1"/>
    <s v="Jumbo Drum"/>
    <s v="Office Star - Professional Matrix Back Chair with 2-to-1 Synchro Tilt and Mesh Fabric Seat"/>
    <n v="0.61"/>
    <s v="United States"/>
    <x v="1"/>
    <s v="New Hampshire"/>
    <s v="Salem"/>
    <n v="3079"/>
    <x v="15"/>
    <d v="2015-06-17T00:00:00"/>
    <n v="797.85599999999999"/>
    <n v="6"/>
    <x v="418"/>
    <n v="90361"/>
    <x v="419"/>
  </r>
  <r>
    <n v="23613"/>
    <s v="Low"/>
    <n v="0.02"/>
    <n v="48.04"/>
    <n v="5.79"/>
    <n v="737"/>
    <s v="Danny Vaughn"/>
    <s v="Regular Air"/>
    <s v="Consumer"/>
    <x v="0"/>
    <x v="7"/>
    <s v="Small Box"/>
    <s v="Xerox 1937"/>
    <n v="0.37"/>
    <s v="United States"/>
    <x v="1"/>
    <s v="New Jersey"/>
    <s v="Bloomfield"/>
    <n v="7003"/>
    <x v="31"/>
    <d v="2015-06-14T00:00:00"/>
    <n v="422.45249999999999"/>
    <n v="12"/>
    <x v="419"/>
    <n v="90360"/>
    <x v="420"/>
  </r>
  <r>
    <n v="21949"/>
    <s v="Not Specified"/>
    <n v="0.02"/>
    <n v="70.98"/>
    <n v="46.74"/>
    <n v="738"/>
    <s v="Peggy Rowe"/>
    <s v="Delivery Truck"/>
    <s v="Consumer"/>
    <x v="1"/>
    <x v="14"/>
    <s v="Jumbo Box"/>
    <s v="Hon Metal Bookcases, Putty"/>
    <n v="0.56000000000000005"/>
    <s v="United States"/>
    <x v="1"/>
    <s v="New Jersey"/>
    <s v="Cranford"/>
    <n v="7016"/>
    <x v="15"/>
    <d v="2015-06-16T00:00:00"/>
    <n v="-178.21600000000001"/>
    <n v="4"/>
    <x v="420"/>
    <n v="90361"/>
    <x v="421"/>
  </r>
  <r>
    <n v="21951"/>
    <s v="Not Specified"/>
    <n v="0.04"/>
    <n v="27.48"/>
    <n v="4"/>
    <n v="741"/>
    <s v="Stacey Hale"/>
    <s v="Regular Air"/>
    <s v="Consumer"/>
    <x v="2"/>
    <x v="13"/>
    <s v="Small Box"/>
    <s v="Belkin MediaBoard 104- Keyboard"/>
    <n v="0.75"/>
    <s v="United States"/>
    <x v="1"/>
    <s v="New Jersey"/>
    <s v="Summit"/>
    <n v="7901"/>
    <x v="15"/>
    <d v="2015-06-17T00:00:00"/>
    <n v="-26.655999999999999"/>
    <n v="15"/>
    <x v="421"/>
    <n v="90361"/>
    <x v="422"/>
  </r>
  <r>
    <n v="19209"/>
    <s v="Low"/>
    <n v="0.02"/>
    <n v="59.98"/>
    <n v="3.99"/>
    <n v="744"/>
    <s v="Joy Maxwell"/>
    <s v="Regular Air"/>
    <s v="Corporate"/>
    <x v="0"/>
    <x v="15"/>
    <s v="Small Box"/>
    <s v="Belkin 8 Outlet SurgeMaster II Gold Surge Protector"/>
    <n v="0.56999999999999995"/>
    <s v="United States"/>
    <x v="0"/>
    <s v="Arizona"/>
    <s v="Oro Valley"/>
    <n v="85737"/>
    <x v="9"/>
    <d v="2015-02-06T00:00:00"/>
    <n v="-54.622"/>
    <n v="1"/>
    <x v="422"/>
    <n v="87725"/>
    <x v="423"/>
  </r>
  <r>
    <n v="19210"/>
    <s v="Low"/>
    <n v="0.03"/>
    <n v="5.18"/>
    <n v="5.74"/>
    <n v="744"/>
    <s v="Joy Maxwell"/>
    <s v="Regular Air"/>
    <s v="Corporate"/>
    <x v="0"/>
    <x v="8"/>
    <s v="Small Box"/>
    <s v="Wilson Jones Impact Binders"/>
    <n v="0.36"/>
    <s v="United States"/>
    <x v="0"/>
    <s v="Arizona"/>
    <s v="Oro Valley"/>
    <n v="85737"/>
    <x v="9"/>
    <d v="2015-02-01T00:00:00"/>
    <n v="-126.81417999999999"/>
    <n v="9"/>
    <x v="423"/>
    <n v="87725"/>
    <x v="424"/>
  </r>
  <r>
    <n v="19638"/>
    <s v="Medium"/>
    <n v="0.03"/>
    <n v="119.99"/>
    <n v="56.14"/>
    <n v="744"/>
    <s v="Joy Maxwell"/>
    <s v="Delivery Truck"/>
    <s v="Consumer"/>
    <x v="2"/>
    <x v="6"/>
    <s v="Jumbo Box"/>
    <s v="Hewlett-Packard 2600DN Business Color Inkjet Printer"/>
    <n v="0.39"/>
    <s v="United States"/>
    <x v="0"/>
    <s v="Arizona"/>
    <s v="Oro Valley"/>
    <n v="85737"/>
    <x v="60"/>
    <d v="2015-01-19T00:00:00"/>
    <n v="1400.1"/>
    <n v="13"/>
    <x v="424"/>
    <n v="87726"/>
    <x v="425"/>
  </r>
  <r>
    <n v="19505"/>
    <s v="Low"/>
    <n v="0.09"/>
    <n v="125.99"/>
    <n v="8.99"/>
    <n v="744"/>
    <s v="Joy Maxwell"/>
    <s v="Regular Air"/>
    <s v="Consumer"/>
    <x v="2"/>
    <x v="5"/>
    <s v="Small Box"/>
    <s v="SC7868i"/>
    <n v="0.55000000000000004"/>
    <s v="United States"/>
    <x v="0"/>
    <s v="Arizona"/>
    <s v="Oro Valley"/>
    <n v="85737"/>
    <x v="40"/>
    <d v="2015-06-02T00:00:00"/>
    <n v="916.68060000000003"/>
    <n v="20"/>
    <x v="425"/>
    <n v="87727"/>
    <x v="426"/>
  </r>
  <r>
    <n v="19639"/>
    <s v="Medium"/>
    <n v="0.05"/>
    <n v="115.79"/>
    <n v="1.99"/>
    <n v="745"/>
    <s v="Mary Page"/>
    <s v="Regular Air"/>
    <s v="Consumer"/>
    <x v="2"/>
    <x v="13"/>
    <s v="Small Pack"/>
    <s v="Verbatim DVD-R, 4.7GB, Spindle, WE, Blank, Ink Jet/Thermal, 20/Spindle"/>
    <n v="0.49"/>
    <s v="United States"/>
    <x v="0"/>
    <s v="Arizona"/>
    <s v="Peoria"/>
    <n v="85345"/>
    <x v="60"/>
    <d v="2015-01-19T00:00:00"/>
    <n v="67.599999999999994"/>
    <n v="3"/>
    <x v="426"/>
    <n v="87726"/>
    <x v="427"/>
  </r>
  <r>
    <n v="20855"/>
    <s v="Not Specified"/>
    <n v="0.09"/>
    <n v="27.75"/>
    <n v="19.989999999999998"/>
    <n v="750"/>
    <s v="Jordan Wilkinson"/>
    <s v="Regular Air"/>
    <s v="Corporate"/>
    <x v="0"/>
    <x v="10"/>
    <s v="Small Box"/>
    <s v="Fellowes Super Stor/Drawer®"/>
    <n v="0.67"/>
    <s v="United States"/>
    <x v="3"/>
    <s v="Kentucky"/>
    <s v="Florence"/>
    <n v="41042"/>
    <x v="38"/>
    <d v="2015-01-13T00:00:00"/>
    <n v="-224.64400000000001"/>
    <n v="10"/>
    <x v="427"/>
    <n v="91200"/>
    <x v="428"/>
  </r>
  <r>
    <n v="23629"/>
    <s v="Low"/>
    <n v="0.06"/>
    <n v="130.97999999999999"/>
    <n v="54.74"/>
    <n v="751"/>
    <s v="David Wrenn"/>
    <s v="Delivery Truck"/>
    <s v="Corporate"/>
    <x v="1"/>
    <x v="14"/>
    <s v="Jumbo Box"/>
    <s v="O'Sullivan Elevations Bookcase, Cherry Finish"/>
    <n v="0.69"/>
    <s v="United States"/>
    <x v="3"/>
    <s v="Kentucky"/>
    <s v="Georgetown"/>
    <n v="40324"/>
    <x v="139"/>
    <d v="2015-03-06T00:00:00"/>
    <n v="14.76"/>
    <n v="3"/>
    <x v="428"/>
    <n v="91201"/>
    <x v="429"/>
  </r>
  <r>
    <n v="19679"/>
    <s v="Critical"/>
    <n v="0.06"/>
    <n v="2.61"/>
    <n v="0.5"/>
    <n v="753"/>
    <s v="Elisabeth Massey"/>
    <s v="Express Air"/>
    <s v="Corporate"/>
    <x v="0"/>
    <x v="9"/>
    <s v="Small Box"/>
    <s v="Avery 479"/>
    <n v="0.39"/>
    <s v="United States"/>
    <x v="0"/>
    <s v="Arizona"/>
    <s v="Prescott"/>
    <n v="86301"/>
    <x v="140"/>
    <d v="2015-03-11T00:00:00"/>
    <n v="10.85"/>
    <n v="1"/>
    <x v="429"/>
    <n v="90438"/>
    <x v="430"/>
  </r>
  <r>
    <n v="19680"/>
    <s v="Critical"/>
    <n v="0.01"/>
    <n v="6.35"/>
    <n v="1.02"/>
    <n v="753"/>
    <s v="Elisabeth Massey"/>
    <s v="Regular Air"/>
    <s v="Corporate"/>
    <x v="0"/>
    <x v="7"/>
    <s v="Wrap Bag"/>
    <s v="Telephone Message Books with Fax/Mobile Section, 5 1/2&quot; x 3 3/16&quot;"/>
    <n v="0.39"/>
    <s v="United States"/>
    <x v="0"/>
    <s v="Arizona"/>
    <s v="Prescott"/>
    <n v="86301"/>
    <x v="140"/>
    <d v="2015-03-13T00:00:00"/>
    <n v="97.662599999999998"/>
    <n v="22"/>
    <x v="430"/>
    <n v="90438"/>
    <x v="431"/>
  </r>
  <r>
    <n v="25291"/>
    <s v="High"/>
    <n v="0.06"/>
    <n v="218.75"/>
    <n v="69.64"/>
    <n v="754"/>
    <s v="Helen Lyons"/>
    <s v="Delivery Truck"/>
    <s v="Corporate"/>
    <x v="1"/>
    <x v="11"/>
    <s v="Jumbo Box"/>
    <s v="BoxOffice By Design Rectangular and Half-Moon Meeting Room Tables"/>
    <n v="0.77"/>
    <s v="United States"/>
    <x v="0"/>
    <s v="Arizona"/>
    <s v="Prescott Valley"/>
    <n v="86314"/>
    <x v="141"/>
    <d v="2015-06-05T00:00:00"/>
    <n v="-453.2"/>
    <n v="4"/>
    <x v="431"/>
    <n v="90437"/>
    <x v="432"/>
  </r>
  <r>
    <n v="25117"/>
    <s v="Low"/>
    <n v="0.06"/>
    <n v="119.99"/>
    <n v="14"/>
    <n v="754"/>
    <s v="Helen Lyons"/>
    <s v="Delivery Truck"/>
    <s v="Consumer"/>
    <x v="2"/>
    <x v="6"/>
    <s v="Jumbo Drum"/>
    <s v="Epson C82 Color Inkjet Printer"/>
    <n v="0.36"/>
    <s v="United States"/>
    <x v="0"/>
    <s v="Arizona"/>
    <s v="Prescott Valley"/>
    <n v="86314"/>
    <x v="142"/>
    <d v="2015-04-19T00:00:00"/>
    <n v="-207.679788"/>
    <n v="2"/>
    <x v="432"/>
    <n v="90439"/>
    <x v="433"/>
  </r>
  <r>
    <n v="25856"/>
    <s v="Not Specified"/>
    <n v="0.03"/>
    <n v="37.94"/>
    <n v="5.08"/>
    <n v="757"/>
    <s v="Neil Hogan"/>
    <s v="Regular Air"/>
    <s v="Home Office"/>
    <x v="0"/>
    <x v="7"/>
    <s v="Wrap Bag"/>
    <s v="Snap-A-Way® Black Print Carbonless Ruled Speed Letter, Triplicate"/>
    <n v="0.38"/>
    <s v="United States"/>
    <x v="0"/>
    <s v="Oregon"/>
    <s v="Tualatin"/>
    <n v="97062"/>
    <x v="143"/>
    <d v="2015-02-13T00:00:00"/>
    <n v="-7.5244"/>
    <n v="1"/>
    <x v="433"/>
    <n v="90258"/>
    <x v="434"/>
  </r>
  <r>
    <n v="21110"/>
    <s v="Low"/>
    <n v="0"/>
    <n v="20.99"/>
    <n v="3.3"/>
    <n v="759"/>
    <s v="Bernice F Day"/>
    <s v="Regular Air"/>
    <s v="Small Business"/>
    <x v="2"/>
    <x v="5"/>
    <s v="Small Pack"/>
    <s v="Accessory39"/>
    <n v="0.81"/>
    <s v="United States"/>
    <x v="2"/>
    <s v="Illinois"/>
    <s v="Quincy"/>
    <n v="62301"/>
    <x v="124"/>
    <d v="2015-06-05T00:00:00"/>
    <n v="-92.960999999999999"/>
    <n v="5"/>
    <x v="434"/>
    <n v="86639"/>
    <x v="435"/>
  </r>
  <r>
    <n v="20377"/>
    <s v="Not Specified"/>
    <n v="0"/>
    <n v="125.99"/>
    <n v="8.99"/>
    <n v="762"/>
    <s v="Stuart Holloway"/>
    <s v="Regular Air"/>
    <s v="Small Business"/>
    <x v="2"/>
    <x v="5"/>
    <s v="Small Box"/>
    <s v="5170i"/>
    <n v="0.56999999999999995"/>
    <s v="United States"/>
    <x v="0"/>
    <s v="Washington"/>
    <s v="Vancouver"/>
    <n v="98661"/>
    <x v="58"/>
    <d v="2015-04-29T00:00:00"/>
    <n v="613.89576"/>
    <n v="12"/>
    <x v="435"/>
    <n v="87525"/>
    <x v="436"/>
  </r>
  <r>
    <n v="18735"/>
    <s v="Critical"/>
    <n v="0.1"/>
    <n v="31.78"/>
    <n v="1.99"/>
    <n v="767"/>
    <s v="Jeffrey Mueller"/>
    <s v="Regular Air"/>
    <s v="Corporate"/>
    <x v="2"/>
    <x v="13"/>
    <s v="Small Pack"/>
    <s v="Memorex 4.7GB DVD-RAM, 3/Pack"/>
    <n v="0.42"/>
    <s v="United States"/>
    <x v="2"/>
    <s v="Illinois"/>
    <s v="Rock Island"/>
    <n v="61201"/>
    <x v="111"/>
    <d v="2015-02-01T00:00:00"/>
    <n v="232.2816"/>
    <n v="11"/>
    <x v="436"/>
    <n v="86279"/>
    <x v="437"/>
  </r>
  <r>
    <n v="18659"/>
    <s v="Critical"/>
    <n v="0.08"/>
    <n v="30.73"/>
    <n v="4"/>
    <n v="770"/>
    <s v="Geraldine Puckett"/>
    <s v="Regular Air"/>
    <s v="Small Business"/>
    <x v="2"/>
    <x v="13"/>
    <s v="Small Box"/>
    <s v="Fellowes 17-key keypad for PS/2 interface"/>
    <n v="0.75"/>
    <s v="United States"/>
    <x v="0"/>
    <s v="Oregon"/>
    <s v="Tualatin"/>
    <n v="97062"/>
    <x v="91"/>
    <d v="2015-03-19T00:00:00"/>
    <n v="-45.07"/>
    <n v="14"/>
    <x v="437"/>
    <n v="88667"/>
    <x v="438"/>
  </r>
  <r>
    <n v="18660"/>
    <s v="Critical"/>
    <n v="0.05"/>
    <n v="14.56"/>
    <n v="3.5"/>
    <n v="771"/>
    <s v="Deborah Paul"/>
    <s v="Regular Air"/>
    <s v="Small Business"/>
    <x v="0"/>
    <x v="15"/>
    <s v="Small Box"/>
    <s v="Acco 6 Outlet Guardian Premium Surge Suppressor"/>
    <n v="0.57999999999999996"/>
    <s v="United States"/>
    <x v="0"/>
    <s v="Oregon"/>
    <s v="West Linn"/>
    <n v="97068"/>
    <x v="91"/>
    <d v="2015-03-21T00:00:00"/>
    <n v="-8.5299999999999994"/>
    <n v="3"/>
    <x v="438"/>
    <n v="88667"/>
    <x v="439"/>
  </r>
  <r>
    <n v="18661"/>
    <s v="Critical"/>
    <n v="0"/>
    <n v="299.99"/>
    <n v="11.64"/>
    <n v="771"/>
    <s v="Deborah Paul"/>
    <s v="Regular Air"/>
    <s v="Small Business"/>
    <x v="2"/>
    <x v="16"/>
    <s v="Large Box"/>
    <s v="Brother DCP1000 Digital 3 in 1 Multifunction Machine"/>
    <n v="0.5"/>
    <s v="United States"/>
    <x v="0"/>
    <s v="Oregon"/>
    <s v="West Linn"/>
    <n v="97068"/>
    <x v="91"/>
    <d v="2015-03-21T00:00:00"/>
    <n v="285.95"/>
    <n v="5"/>
    <x v="439"/>
    <n v="88667"/>
    <x v="440"/>
  </r>
  <r>
    <n v="22875"/>
    <s v="Critical"/>
    <n v="0.08"/>
    <n v="7.77"/>
    <n v="9.23"/>
    <n v="772"/>
    <s v="Jean Webster"/>
    <s v="Regular Air"/>
    <s v="Small Business"/>
    <x v="0"/>
    <x v="15"/>
    <s v="Small Box"/>
    <s v="Hoover Commercial Soft Guard Upright Vacuum And Disposable Filtration Bags"/>
    <n v="0.57999999999999996"/>
    <s v="United States"/>
    <x v="1"/>
    <s v="Pennsylvania"/>
    <s v="Allentown"/>
    <n v="18103"/>
    <x v="101"/>
    <d v="2015-01-16T00:00:00"/>
    <n v="-209.25"/>
    <n v="7"/>
    <x v="440"/>
    <n v="88666"/>
    <x v="441"/>
  </r>
  <r>
    <n v="22877"/>
    <s v="Critical"/>
    <n v="0.1"/>
    <n v="18.97"/>
    <n v="9.5399999999999991"/>
    <n v="772"/>
    <s v="Jean Webster"/>
    <s v="Express Air"/>
    <s v="Small Business"/>
    <x v="0"/>
    <x v="7"/>
    <s v="Small Box"/>
    <s v="Xerox 1939"/>
    <n v="0.37"/>
    <s v="United States"/>
    <x v="1"/>
    <s v="Pennsylvania"/>
    <s v="Allentown"/>
    <n v="18103"/>
    <x v="101"/>
    <d v="2015-01-16T00:00:00"/>
    <n v="-9.1636000000000006"/>
    <n v="3"/>
    <x v="441"/>
    <n v="88666"/>
    <x v="442"/>
  </r>
  <r>
    <n v="20967"/>
    <s v="Low"/>
    <n v="0.02"/>
    <n v="4.0599999999999996"/>
    <n v="6.89"/>
    <n v="772"/>
    <s v="Jean Webster"/>
    <s v="Express Air"/>
    <s v="Small Business"/>
    <x v="0"/>
    <x v="15"/>
    <s v="Small Box"/>
    <s v="Eureka Disposable Bags for Sanitaire® Vibra Groomer I® Upright Vac"/>
    <n v="0.6"/>
    <s v="United States"/>
    <x v="1"/>
    <s v="Pennsylvania"/>
    <s v="Allentown"/>
    <n v="18103"/>
    <x v="28"/>
    <d v="2015-05-21T00:00:00"/>
    <n v="12.706"/>
    <n v="12"/>
    <x v="442"/>
    <n v="88668"/>
    <x v="443"/>
  </r>
  <r>
    <n v="20968"/>
    <s v="Low"/>
    <n v="7.0000000000000007E-2"/>
    <n v="9.49"/>
    <n v="5.76"/>
    <n v="772"/>
    <s v="Jean Webster"/>
    <s v="Regular Air"/>
    <s v="Small Business"/>
    <x v="2"/>
    <x v="6"/>
    <s v="Medium Box"/>
    <s v="Sharp EL501VB Scientific Calculator, Battery Operated, 10-Digit Display, Hard Case"/>
    <n v="0.39"/>
    <s v="United States"/>
    <x v="1"/>
    <s v="Pennsylvania"/>
    <s v="Allentown"/>
    <n v="18103"/>
    <x v="28"/>
    <d v="2015-05-21T00:00:00"/>
    <n v="7.71516"/>
    <n v="37"/>
    <x v="443"/>
    <n v="88668"/>
    <x v="444"/>
  </r>
  <r>
    <n v="20434"/>
    <s v="High"/>
    <n v="0.04"/>
    <n v="34.76"/>
    <n v="5.49"/>
    <n v="782"/>
    <s v="Sarah N Becker"/>
    <s v="Regular Air"/>
    <s v="Small Business"/>
    <x v="0"/>
    <x v="10"/>
    <s v="Small Box"/>
    <s v="Home/Office Personal File Carts"/>
    <n v="0.6"/>
    <s v="United States"/>
    <x v="0"/>
    <s v="California"/>
    <s v="Whittier"/>
    <n v="90604"/>
    <x v="119"/>
    <d v="2015-04-30T00:00:00"/>
    <n v="192.51689999999999"/>
    <n v="8"/>
    <x v="444"/>
    <n v="90962"/>
    <x v="445"/>
  </r>
  <r>
    <n v="24773"/>
    <s v="Low"/>
    <n v="0.02"/>
    <n v="100.98"/>
    <n v="35.840000000000003"/>
    <n v="783"/>
    <s v="Carlos Byrd"/>
    <s v="Delivery Truck"/>
    <s v="Small Business"/>
    <x v="1"/>
    <x v="14"/>
    <s v="Jumbo Box"/>
    <s v="Bush Westfield Collection Bookcases, Fully Assembled"/>
    <n v="0.62"/>
    <s v="United States"/>
    <x v="1"/>
    <s v="Connecticut"/>
    <s v="Bristol"/>
    <n v="6010"/>
    <x v="61"/>
    <d v="2015-01-06T00:00:00"/>
    <n v="-134.91200000000001"/>
    <n v="6"/>
    <x v="445"/>
    <n v="90961"/>
    <x v="446"/>
  </r>
  <r>
    <n v="22969"/>
    <s v="Medium"/>
    <n v="0"/>
    <n v="8.34"/>
    <n v="4.82"/>
    <n v="786"/>
    <s v="Jason Bray"/>
    <s v="Regular Air"/>
    <s v="Home Office"/>
    <x v="0"/>
    <x v="7"/>
    <s v="Small Box"/>
    <s v="Southworth 25% Cotton Antique Laid Paper &amp; Envelopes"/>
    <n v="0.4"/>
    <s v="United States"/>
    <x v="0"/>
    <s v="California"/>
    <s v="Mission Viejo"/>
    <n v="92691"/>
    <x v="34"/>
    <d v="2015-04-07T00:00:00"/>
    <n v="-5.05"/>
    <n v="9"/>
    <x v="446"/>
    <n v="91513"/>
    <x v="447"/>
  </r>
  <r>
    <n v="24629"/>
    <s v="Not Specified"/>
    <n v="0.09"/>
    <n v="6.48"/>
    <n v="9.68"/>
    <n v="792"/>
    <s v="Holly Pate"/>
    <s v="Regular Air"/>
    <s v="Corporate"/>
    <x v="0"/>
    <x v="7"/>
    <s v="Small Box"/>
    <s v="Xerox 1993"/>
    <n v="0.36"/>
    <s v="United States"/>
    <x v="2"/>
    <s v="Oklahoma"/>
    <s v="Mustang"/>
    <n v="73064"/>
    <x v="123"/>
    <d v="2015-06-22T00:00:00"/>
    <n v="-204.16"/>
    <n v="16"/>
    <x v="447"/>
    <n v="88753"/>
    <x v="448"/>
  </r>
  <r>
    <n v="18347"/>
    <s v="Not Specified"/>
    <n v="0.06"/>
    <n v="8.6"/>
    <n v="6.19"/>
    <n v="796"/>
    <s v="Amanda Conner"/>
    <s v="Regular Air"/>
    <s v="Corporate"/>
    <x v="0"/>
    <x v="8"/>
    <s v="Small Box"/>
    <s v="Avery Printable Repositionable Plastic Tabs"/>
    <n v="0.38"/>
    <s v="United States"/>
    <x v="2"/>
    <s v="Nebraska"/>
    <s v="Papillion"/>
    <n v="68046"/>
    <x v="140"/>
    <d v="2015-03-12T00:00:00"/>
    <n v="-46.115000000000002"/>
    <n v="9"/>
    <x v="448"/>
    <n v="86867"/>
    <x v="449"/>
  </r>
  <r>
    <n v="18184"/>
    <s v="Not Specified"/>
    <n v="0.1"/>
    <n v="14.42"/>
    <n v="6.75"/>
    <n v="796"/>
    <s v="Amanda Conner"/>
    <s v="Regular Air"/>
    <s v="Corporate"/>
    <x v="0"/>
    <x v="15"/>
    <s v="Medium Box"/>
    <s v="Holmes Odor Grabber"/>
    <n v="0.52"/>
    <s v="United States"/>
    <x v="2"/>
    <s v="Nebraska"/>
    <s v="Papillion"/>
    <n v="68046"/>
    <x v="117"/>
    <d v="2015-06-22T00:00:00"/>
    <n v="-20.103999999999999"/>
    <n v="1"/>
    <x v="449"/>
    <n v="86869"/>
    <x v="450"/>
  </r>
  <r>
    <n v="19011"/>
    <s v="Not Specified"/>
    <n v="0.04"/>
    <n v="9.11"/>
    <n v="2.25"/>
    <n v="797"/>
    <s v="Eileen Riddle"/>
    <s v="Regular Air"/>
    <s v="Corporate"/>
    <x v="0"/>
    <x v="0"/>
    <s v="Wrap Bag"/>
    <s v="Dixon Ticonderoga Core-Lock Colored Pencils"/>
    <n v="0.52"/>
    <s v="United States"/>
    <x v="0"/>
    <s v="Utah"/>
    <s v="Roy"/>
    <n v="84067"/>
    <x v="144"/>
    <d v="2015-06-04T00:00:00"/>
    <n v="-3.496"/>
    <n v="2"/>
    <x v="450"/>
    <n v="86868"/>
    <x v="451"/>
  </r>
  <r>
    <n v="19012"/>
    <s v="Not Specified"/>
    <n v="7.0000000000000007E-2"/>
    <n v="64.650000000000006"/>
    <n v="35"/>
    <n v="797"/>
    <s v="Eileen Riddle"/>
    <s v="Regular Air"/>
    <s v="Corporate"/>
    <x v="0"/>
    <x v="10"/>
    <s v="Large Box"/>
    <s v="Space Solutions Commercial Steel Shelving"/>
    <n v="0.8"/>
    <s v="United States"/>
    <x v="0"/>
    <s v="Utah"/>
    <s v="Roy"/>
    <n v="84067"/>
    <x v="144"/>
    <d v="2015-06-03T00:00:00"/>
    <n v="-717.072"/>
    <n v="13"/>
    <x v="451"/>
    <n v="86868"/>
    <x v="452"/>
  </r>
  <r>
    <n v="24851"/>
    <s v="Low"/>
    <n v="0.09"/>
    <n v="6.48"/>
    <n v="6.86"/>
    <n v="797"/>
    <s v="Eileen Riddle"/>
    <s v="Regular Air"/>
    <s v="Corporate"/>
    <x v="0"/>
    <x v="7"/>
    <s v="Small Box"/>
    <s v="Xerox 204"/>
    <n v="0.37"/>
    <s v="United States"/>
    <x v="0"/>
    <s v="Utah"/>
    <s v="Roy"/>
    <n v="84067"/>
    <x v="127"/>
    <d v="2015-03-08T00:00:00"/>
    <n v="-62.23"/>
    <n v="8"/>
    <x v="452"/>
    <n v="86870"/>
    <x v="453"/>
  </r>
  <r>
    <n v="20001"/>
    <s v="Not Specified"/>
    <n v="0.01"/>
    <n v="150.97999999999999"/>
    <n v="30"/>
    <n v="799"/>
    <s v="Lee McKenna Gregory"/>
    <s v="Delivery Truck"/>
    <s v="Consumer"/>
    <x v="1"/>
    <x v="1"/>
    <s v="Jumbo Drum"/>
    <s v="Novimex Swivel Fabric Task Chair"/>
    <n v="0.74"/>
    <s v="United States"/>
    <x v="3"/>
    <s v="South Carolina"/>
    <s v="Hilton Head Island"/>
    <n v="29915"/>
    <x v="61"/>
    <d v="2015-01-08T00:00:00"/>
    <n v="131.38200000000001"/>
    <n v="6"/>
    <x v="453"/>
    <n v="89909"/>
    <x v="454"/>
  </r>
  <r>
    <n v="20002"/>
    <s v="Not Specified"/>
    <n v="0.01"/>
    <n v="28.28"/>
    <n v="13.99"/>
    <n v="799"/>
    <s v="Lee McKenna Gregory"/>
    <s v="Express Air"/>
    <s v="Consumer"/>
    <x v="0"/>
    <x v="10"/>
    <s v="Medium Box"/>
    <s v="Eldon Portable Mobile Manager"/>
    <n v="0.57999999999999996"/>
    <s v="United States"/>
    <x v="3"/>
    <s v="South Carolina"/>
    <s v="Hilton Head Island"/>
    <n v="29915"/>
    <x v="61"/>
    <d v="2015-01-08T00:00:00"/>
    <n v="-89.292000000000002"/>
    <n v="12"/>
    <x v="454"/>
    <n v="89909"/>
    <x v="455"/>
  </r>
  <r>
    <n v="20003"/>
    <s v="Not Specified"/>
    <n v="0.03"/>
    <n v="35.99"/>
    <n v="1.1000000000000001"/>
    <n v="799"/>
    <s v="Lee McKenna Gregory"/>
    <s v="Regular Air"/>
    <s v="Consumer"/>
    <x v="2"/>
    <x v="5"/>
    <s v="Small Box"/>
    <s v="Accessory35"/>
    <n v="0.55000000000000004"/>
    <s v="United States"/>
    <x v="3"/>
    <s v="South Carolina"/>
    <s v="Hilton Head Island"/>
    <n v="29915"/>
    <x v="61"/>
    <d v="2015-01-07T00:00:00"/>
    <n v="-211.036"/>
    <n v="1"/>
    <x v="455"/>
    <n v="89909"/>
    <x v="456"/>
  </r>
  <r>
    <n v="19265"/>
    <s v="Low"/>
    <n v="0.04"/>
    <n v="50.98"/>
    <n v="6.5"/>
    <n v="800"/>
    <s v="Cheryl Guthrie"/>
    <s v="Regular Air"/>
    <s v="Consumer"/>
    <x v="2"/>
    <x v="13"/>
    <s v="Small Box"/>
    <s v="Microsoft Natural Multimedia Keyboard"/>
    <n v="0.73"/>
    <s v="United States"/>
    <x v="0"/>
    <s v="Utah"/>
    <s v="Roy"/>
    <n v="84067"/>
    <x v="145"/>
    <d v="2015-04-03T00:00:00"/>
    <n v="-13.28"/>
    <n v="11"/>
    <x v="456"/>
    <n v="89910"/>
    <x v="457"/>
  </r>
  <r>
    <n v="19266"/>
    <s v="Low"/>
    <n v="0.02"/>
    <n v="6.48"/>
    <n v="5.14"/>
    <n v="800"/>
    <s v="Cheryl Guthrie"/>
    <s v="Regular Air"/>
    <s v="Consumer"/>
    <x v="0"/>
    <x v="7"/>
    <s v="Small Box"/>
    <s v="Xerox 23"/>
    <n v="0.37"/>
    <s v="United States"/>
    <x v="0"/>
    <s v="Utah"/>
    <s v="Roy"/>
    <n v="84067"/>
    <x v="145"/>
    <d v="2015-03-30T00:00:00"/>
    <n v="-48.68"/>
    <n v="19"/>
    <x v="457"/>
    <n v="89910"/>
    <x v="458"/>
  </r>
  <r>
    <n v="22484"/>
    <s v="Medium"/>
    <n v="0.03"/>
    <n v="35.99"/>
    <n v="5"/>
    <n v="803"/>
    <s v="Marianne Goldstein"/>
    <s v="Regular Air"/>
    <s v="Small Business"/>
    <x v="2"/>
    <x v="5"/>
    <s v="Small Box"/>
    <s v="Accessory27"/>
    <n v="0.85"/>
    <s v="United States"/>
    <x v="3"/>
    <s v="Florida"/>
    <s v="New Smyrna Beach"/>
    <n v="32168"/>
    <x v="119"/>
    <d v="2015-04-30T00:00:00"/>
    <n v="-184.548"/>
    <n v="3"/>
    <x v="458"/>
    <n v="90048"/>
    <x v="459"/>
  </r>
  <r>
    <n v="5722"/>
    <s v="Critical"/>
    <n v="0.06"/>
    <n v="179.99"/>
    <n v="13.99"/>
    <n v="806"/>
    <s v="Judy Singer"/>
    <s v="Express Air"/>
    <s v="Small Business"/>
    <x v="2"/>
    <x v="5"/>
    <s v="Medium Box"/>
    <s v="VTech VT20-2481 2.4GHz Two-Line Phone System w/Answering Machine"/>
    <n v="0.56999999999999995"/>
    <s v="United States"/>
    <x v="3"/>
    <s v="Florida"/>
    <s v="Miami"/>
    <n v="33132"/>
    <x v="85"/>
    <d v="2015-01-11T00:00:00"/>
    <n v="1220.03784"/>
    <n v="54"/>
    <x v="459"/>
    <n v="40547"/>
    <x v="460"/>
  </r>
  <r>
    <n v="21942"/>
    <s v="Low"/>
    <n v="0.09"/>
    <n v="5.84"/>
    <n v="0.83"/>
    <n v="820"/>
    <s v="Catherine Mullins"/>
    <s v="Regular Air"/>
    <s v="Small Business"/>
    <x v="0"/>
    <x v="0"/>
    <s v="Wrap Bag"/>
    <s v="Avery Hi-Liter® Smear-Safe Highlighters"/>
    <n v="0.49"/>
    <s v="United States"/>
    <x v="0"/>
    <s v="Washington"/>
    <s v="Walla Walla"/>
    <n v="99362"/>
    <x v="8"/>
    <d v="2015-05-25T00:00:00"/>
    <n v="-2.87"/>
    <n v="1"/>
    <x v="460"/>
    <n v="90244"/>
    <x v="461"/>
  </r>
  <r>
    <n v="20661"/>
    <s v="Low"/>
    <n v="0.04"/>
    <n v="6.24"/>
    <n v="5.22"/>
    <n v="823"/>
    <s v="Christian Albright"/>
    <s v="Regular Air"/>
    <s v="Small Business"/>
    <x v="1"/>
    <x v="2"/>
    <s v="Small Box"/>
    <s v="Eldon Expressions Mahogany Wood Desk Collection"/>
    <n v="0.6"/>
    <s v="United States"/>
    <x v="3"/>
    <s v="Tennessee"/>
    <s v="Smyrna"/>
    <n v="37167"/>
    <x v="38"/>
    <d v="2015-01-17T00:00:00"/>
    <n v="4.3808999999999996"/>
    <n v="13"/>
    <x v="461"/>
    <n v="89257"/>
    <x v="462"/>
  </r>
  <r>
    <n v="20663"/>
    <s v="Low"/>
    <n v="0.09"/>
    <n v="260.98"/>
    <n v="41.91"/>
    <n v="824"/>
    <s v="Joann Moser"/>
    <s v="Delivery Truck"/>
    <s v="Small Business"/>
    <x v="1"/>
    <x v="14"/>
    <s v="Jumbo Box"/>
    <s v="Atlantic Metals Mobile 3-Shelf Bookcases, Custom Colors"/>
    <n v="0.59"/>
    <s v="United States"/>
    <x v="3"/>
    <s v="Tennessee"/>
    <s v="Spring Hill"/>
    <n v="37174"/>
    <x v="38"/>
    <d v="2015-01-19T00:00:00"/>
    <n v="-100.744"/>
    <n v="8"/>
    <x v="462"/>
    <n v="89257"/>
    <x v="463"/>
  </r>
  <r>
    <n v="21350"/>
    <s v="Critical"/>
    <n v="0"/>
    <n v="11.97"/>
    <n v="4.9800000000000004"/>
    <n v="825"/>
    <s v="Marvin Hunt"/>
    <s v="Regular Air"/>
    <s v="Home Office"/>
    <x v="0"/>
    <x v="15"/>
    <s v="Small Box"/>
    <s v="Staples 6 Outlet Surge"/>
    <n v="0.57999999999999996"/>
    <s v="United States"/>
    <x v="2"/>
    <s v="Texas"/>
    <s v="Abilene"/>
    <n v="79605"/>
    <x v="8"/>
    <d v="2015-05-24T00:00:00"/>
    <n v="3.3839999999999999"/>
    <n v="4"/>
    <x v="463"/>
    <n v="89258"/>
    <x v="464"/>
  </r>
  <r>
    <n v="24842"/>
    <s v="Medium"/>
    <n v="0.01"/>
    <n v="6.98"/>
    <n v="1.6"/>
    <n v="827"/>
    <s v="Sheryl Marsh"/>
    <s v="Regular Air"/>
    <s v="Home Office"/>
    <x v="0"/>
    <x v="7"/>
    <s v="Wrap Bag"/>
    <s v="Adams Phone Message Book, Professional, 400 Message Capacity, 5 3/6” x 11”"/>
    <n v="0.38"/>
    <s v="United States"/>
    <x v="2"/>
    <s v="Texas"/>
    <s v="Amarillo"/>
    <n v="79109"/>
    <x v="40"/>
    <d v="2015-05-26T00:00:00"/>
    <n v="0.34599999999999997"/>
    <n v="3"/>
    <x v="464"/>
    <n v="89259"/>
    <x v="465"/>
  </r>
  <r>
    <n v="24236"/>
    <s v="Not Specified"/>
    <n v="0.01"/>
    <n v="5.18"/>
    <n v="2.04"/>
    <n v="829"/>
    <s v="Monica Law Thompson"/>
    <s v="Regular Air"/>
    <s v="Corporate"/>
    <x v="0"/>
    <x v="7"/>
    <s v="Wrap Bag"/>
    <s v="Array® Memo Cubes"/>
    <n v="0.36"/>
    <s v="United States"/>
    <x v="3"/>
    <s v="Arkansas"/>
    <s v="Texarkana"/>
    <n v="71854"/>
    <x v="11"/>
    <d v="2015-02-24T00:00:00"/>
    <n v="-17.654"/>
    <n v="5"/>
    <x v="178"/>
    <n v="90271"/>
    <x v="466"/>
  </r>
  <r>
    <n v="20664"/>
    <s v="High"/>
    <n v="0.01"/>
    <n v="14.42"/>
    <n v="6.75"/>
    <n v="830"/>
    <s v="Douglas Sutton"/>
    <s v="Regular Air"/>
    <s v="Corporate"/>
    <x v="0"/>
    <x v="15"/>
    <s v="Medium Box"/>
    <s v="Holmes Odor Grabber"/>
    <n v="0.52"/>
    <s v="United States"/>
    <x v="0"/>
    <s v="Colorado"/>
    <s v="Wheat Ridge"/>
    <n v="80033"/>
    <x v="76"/>
    <d v="2015-01-24T00:00:00"/>
    <n v="-13.826000000000001"/>
    <n v="6"/>
    <x v="465"/>
    <n v="90270"/>
    <x v="467"/>
  </r>
  <r>
    <n v="19173"/>
    <s v="High"/>
    <n v="0"/>
    <n v="11.66"/>
    <n v="8.99"/>
    <n v="833"/>
    <s v="Gerald Love"/>
    <s v="Express Air"/>
    <s v="Corporate"/>
    <x v="0"/>
    <x v="0"/>
    <s v="Small Pack"/>
    <s v="Boston 16765 Mini Stand Up Battery Pencil Sharpener"/>
    <n v="0.59"/>
    <s v="United States"/>
    <x v="0"/>
    <s v="California"/>
    <s v="Gilroy"/>
    <n v="95020"/>
    <x v="85"/>
    <d v="2015-01-11T00:00:00"/>
    <n v="-203.67"/>
    <n v="11"/>
    <x v="466"/>
    <n v="89770"/>
    <x v="468"/>
  </r>
  <r>
    <n v="19383"/>
    <s v="Not Specified"/>
    <n v="7.0000000000000007E-2"/>
    <n v="6.08"/>
    <n v="0.91"/>
    <n v="850"/>
    <s v="Jesse Hutchinson"/>
    <s v="Regular Air"/>
    <s v="Corporate"/>
    <x v="0"/>
    <x v="0"/>
    <s v="Wrap Bag"/>
    <s v="Zebra Zazzle Fluorescent Highlighters"/>
    <n v="0.51"/>
    <s v="United States"/>
    <x v="0"/>
    <s v="California"/>
    <s v="Goleta"/>
    <n v="93117"/>
    <x v="146"/>
    <d v="2015-03-08T00:00:00"/>
    <n v="19.57"/>
    <n v="7"/>
    <x v="467"/>
    <n v="88569"/>
    <x v="469"/>
  </r>
  <r>
    <n v="20604"/>
    <s v="Low"/>
    <n v="0.1"/>
    <n v="50.98"/>
    <n v="22.24"/>
    <n v="851"/>
    <s v="Helen H Heller"/>
    <s v="Regular Air"/>
    <s v="Corporate"/>
    <x v="1"/>
    <x v="2"/>
    <s v="Large Box"/>
    <s v="Dana Fluorescent Magnifying Lamp, White, 36&quot;"/>
    <n v="0.55000000000000004"/>
    <s v="United States"/>
    <x v="0"/>
    <s v="California"/>
    <s v="Hacienda Heights"/>
    <n v="91745"/>
    <x v="147"/>
    <d v="2015-02-27T00:00:00"/>
    <n v="98.12"/>
    <n v="6"/>
    <x v="468"/>
    <n v="88568"/>
    <x v="470"/>
  </r>
  <r>
    <n v="19384"/>
    <s v="Not Specified"/>
    <n v="0.08"/>
    <n v="19.899999999999999"/>
    <n v="5.29"/>
    <n v="851"/>
    <s v="Helen H Heller"/>
    <s v="Regular Air"/>
    <s v="Corporate"/>
    <x v="0"/>
    <x v="15"/>
    <s v="Medium Box"/>
    <s v="Holmes Cool Mist Humidifier for the Whole House with 8-Gallon Output per Day, Extended Life Filter"/>
    <n v="0.4"/>
    <s v="United States"/>
    <x v="0"/>
    <s v="California"/>
    <s v="Hacienda Heights"/>
    <n v="91745"/>
    <x v="146"/>
    <d v="2015-03-09T00:00:00"/>
    <n v="107.11"/>
    <n v="13"/>
    <x v="469"/>
    <n v="88569"/>
    <x v="471"/>
  </r>
  <r>
    <n v="19385"/>
    <s v="Not Specified"/>
    <n v="0.02"/>
    <n v="3.36"/>
    <n v="6.27"/>
    <n v="851"/>
    <s v="Helen H Heller"/>
    <s v="Regular Air"/>
    <s v="Corporate"/>
    <x v="0"/>
    <x v="8"/>
    <s v="Small Box"/>
    <s v="Cardinal Poly Pocket Divider Pockets for Ring Binders"/>
    <n v="0.4"/>
    <s v="United States"/>
    <x v="0"/>
    <s v="California"/>
    <s v="Hacienda Heights"/>
    <n v="91745"/>
    <x v="146"/>
    <d v="2015-03-09T00:00:00"/>
    <n v="-216.154"/>
    <n v="21"/>
    <x v="470"/>
    <n v="88569"/>
    <x v="472"/>
  </r>
  <r>
    <n v="21353"/>
    <s v="Critical"/>
    <n v="0.06"/>
    <n v="1.26"/>
    <n v="0.7"/>
    <n v="851"/>
    <s v="Helen H Heller"/>
    <s v="Regular Air"/>
    <s v="Corporate"/>
    <x v="0"/>
    <x v="3"/>
    <s v="Wrap Bag"/>
    <s v="Bagged Rubber Bands"/>
    <n v="0.81"/>
    <s v="United States"/>
    <x v="0"/>
    <s v="California"/>
    <s v="Hacienda Heights"/>
    <n v="91745"/>
    <x v="122"/>
    <d v="2015-04-30T00:00:00"/>
    <n v="-6.6096000000000004"/>
    <n v="4"/>
    <x v="471"/>
    <n v="88571"/>
    <x v="473"/>
  </r>
  <r>
    <n v="26093"/>
    <s v="High"/>
    <n v="0.05"/>
    <n v="4.24"/>
    <n v="5.41"/>
    <n v="853"/>
    <s v="Leah Davenport"/>
    <s v="Regular Air"/>
    <s v="Small Business"/>
    <x v="0"/>
    <x v="8"/>
    <s v="Small Box"/>
    <s v="Storex DuraTech Recycled Plastic Frosted Binders"/>
    <n v="0.35"/>
    <s v="United States"/>
    <x v="0"/>
    <s v="California"/>
    <s v="Hesperia"/>
    <n v="92345"/>
    <x v="44"/>
    <d v="2015-03-18T00:00:00"/>
    <n v="-89.216999999999999"/>
    <n v="12"/>
    <x v="472"/>
    <n v="88570"/>
    <x v="474"/>
  </r>
  <r>
    <n v="21351"/>
    <s v="Critical"/>
    <n v="0.06"/>
    <n v="1.76"/>
    <n v="0.7"/>
    <n v="854"/>
    <s v="Karen Hendricks"/>
    <s v="Regular Air"/>
    <s v="Corporate"/>
    <x v="0"/>
    <x v="0"/>
    <s v="Wrap Bag"/>
    <s v="Newell 310"/>
    <n v="0.56000000000000005"/>
    <s v="United States"/>
    <x v="1"/>
    <s v="Connecticut"/>
    <s v="Branford"/>
    <n v="6405"/>
    <x v="122"/>
    <d v="2015-05-02T00:00:00"/>
    <n v="1.2236"/>
    <n v="22"/>
    <x v="473"/>
    <n v="88571"/>
    <x v="475"/>
  </r>
  <r>
    <n v="21352"/>
    <s v="Critical"/>
    <n v="0.02"/>
    <n v="24.98"/>
    <n v="8.7899999999999991"/>
    <n v="855"/>
    <s v="Jacob Lanier"/>
    <s v="Regular Air"/>
    <s v="Corporate"/>
    <x v="0"/>
    <x v="10"/>
    <s v="Small Box"/>
    <s v="2300 Heavy-Duty Transfer File Systems by Perma"/>
    <n v="0.66"/>
    <s v="United States"/>
    <x v="1"/>
    <s v="Connecticut"/>
    <s v="Danbury"/>
    <n v="6810"/>
    <x v="122"/>
    <d v="2015-05-01T00:00:00"/>
    <n v="4.3148"/>
    <n v="23"/>
    <x v="474"/>
    <n v="88571"/>
    <x v="476"/>
  </r>
  <r>
    <n v="21354"/>
    <s v="Critical"/>
    <n v="0.05"/>
    <n v="35.99"/>
    <n v="5.99"/>
    <n v="858"/>
    <s v="Arthur Brady"/>
    <s v="Express Air"/>
    <s v="Corporate"/>
    <x v="2"/>
    <x v="5"/>
    <s v="Wrap Bag"/>
    <s v="Accessory41"/>
    <n v="0.38"/>
    <s v="United States"/>
    <x v="1"/>
    <s v="Maine"/>
    <s v="Lewiston"/>
    <n v="4240"/>
    <x v="122"/>
    <d v="2015-05-02T00:00:00"/>
    <n v="-125.83296"/>
    <n v="2"/>
    <x v="475"/>
    <n v="88571"/>
    <x v="477"/>
  </r>
  <r>
    <n v="21214"/>
    <s v="Critical"/>
    <n v="0.03"/>
    <n v="14.2"/>
    <n v="5.3"/>
    <n v="865"/>
    <s v="Dana Burgess"/>
    <s v="Regular Air"/>
    <s v="Corporate"/>
    <x v="1"/>
    <x v="2"/>
    <s v="Wrap Bag"/>
    <s v="Coloredge Poster Frame"/>
    <n v="0.46"/>
    <s v="United States"/>
    <x v="2"/>
    <s v="Indiana"/>
    <s v="East Chicago"/>
    <n v="46312"/>
    <x v="87"/>
    <d v="2015-05-28T00:00:00"/>
    <n v="122.21"/>
    <n v="18"/>
    <x v="476"/>
    <n v="90674"/>
    <x v="478"/>
  </r>
  <r>
    <n v="19947"/>
    <s v="Low"/>
    <n v="0.04"/>
    <n v="6.48"/>
    <n v="5.16"/>
    <n v="865"/>
    <s v="Dana Burgess"/>
    <s v="Express Air"/>
    <s v="Corporate"/>
    <x v="0"/>
    <x v="7"/>
    <s v="Small Box"/>
    <s v="Xerox 1985"/>
    <n v="0.37"/>
    <s v="United States"/>
    <x v="2"/>
    <s v="Indiana"/>
    <s v="East Chicago"/>
    <n v="46312"/>
    <x v="115"/>
    <d v="2015-03-02T00:00:00"/>
    <n v="-11.1332"/>
    <n v="12"/>
    <x v="477"/>
    <n v="90675"/>
    <x v="479"/>
  </r>
  <r>
    <n v="24774"/>
    <s v="Not Specified"/>
    <n v="0.04"/>
    <n v="29.18"/>
    <n v="8.5500000000000007"/>
    <n v="868"/>
    <s v="Sharon Ellis"/>
    <s v="Express Air"/>
    <s v="Corporate"/>
    <x v="1"/>
    <x v="2"/>
    <s v="Small Box"/>
    <s v="Deflect-o SuperTray™ Unbreakable Stackable Tray, Letter, Black"/>
    <n v="0.42"/>
    <s v="United States"/>
    <x v="2"/>
    <s v="Minnesota"/>
    <s v="Shoreview"/>
    <n v="55126"/>
    <x v="147"/>
    <d v="2015-02-27T00:00:00"/>
    <n v="201.7353"/>
    <n v="10"/>
    <x v="478"/>
    <n v="91194"/>
    <x v="480"/>
  </r>
  <r>
    <n v="24775"/>
    <s v="Not Specified"/>
    <n v="0"/>
    <n v="80.98"/>
    <n v="35"/>
    <n v="868"/>
    <s v="Sharon Ellis"/>
    <s v="Regular Air"/>
    <s v="Corporate"/>
    <x v="0"/>
    <x v="10"/>
    <s v="Large Box"/>
    <s v="Carina 42&quot;Hx23 3/4&quot;W Media Storage Unit"/>
    <n v="0.83"/>
    <s v="United States"/>
    <x v="2"/>
    <s v="Minnesota"/>
    <s v="Shoreview"/>
    <n v="55126"/>
    <x v="147"/>
    <d v="2015-02-27T00:00:00"/>
    <n v="-684.78"/>
    <n v="8"/>
    <x v="479"/>
    <n v="91194"/>
    <x v="481"/>
  </r>
  <r>
    <n v="24763"/>
    <s v="Critical"/>
    <n v="0.06"/>
    <n v="6.48"/>
    <n v="8.8800000000000008"/>
    <n v="868"/>
    <s v="Sharon Ellis"/>
    <s v="Regular Air"/>
    <s v="Corporate"/>
    <x v="0"/>
    <x v="7"/>
    <s v="Small Box"/>
    <s v="Xerox 224"/>
    <n v="0.37"/>
    <s v="United States"/>
    <x v="2"/>
    <s v="Minnesota"/>
    <s v="Shoreview"/>
    <n v="55126"/>
    <x v="127"/>
    <d v="2015-03-07T00:00:00"/>
    <n v="-237.47"/>
    <n v="20"/>
    <x v="480"/>
    <n v="91195"/>
    <x v="482"/>
  </r>
  <r>
    <n v="24764"/>
    <s v="Critical"/>
    <n v="0.09"/>
    <n v="349.45"/>
    <n v="60"/>
    <n v="868"/>
    <s v="Sharon Ellis"/>
    <s v="Delivery Truck"/>
    <s v="Corporate"/>
    <x v="1"/>
    <x v="11"/>
    <s v="Jumbo Drum"/>
    <s v="SAFCO PlanMaster Heigh-Adjustable Drafting Table Base, 43w x 30d x 30-37h, Black"/>
    <m/>
    <s v="United States"/>
    <x v="2"/>
    <s v="Minnesota"/>
    <s v="Shoreview"/>
    <n v="55126"/>
    <x v="127"/>
    <d v="2015-03-07T00:00:00"/>
    <n v="-2946.0509999999999"/>
    <n v="12"/>
    <x v="481"/>
    <n v="91195"/>
    <x v="483"/>
  </r>
  <r>
    <n v="25507"/>
    <s v="Not Specified"/>
    <n v="0.03"/>
    <n v="14.2"/>
    <n v="5.3"/>
    <n v="871"/>
    <s v="Sandy Ellington"/>
    <s v="Regular Air"/>
    <s v="Home Office"/>
    <x v="1"/>
    <x v="2"/>
    <s v="Wrap Bag"/>
    <s v="Coloredge Poster Frame"/>
    <n v="0.46"/>
    <s v="United States"/>
    <x v="0"/>
    <s v="Nevada"/>
    <s v="Reno"/>
    <n v="89502"/>
    <x v="24"/>
    <d v="2015-03-17T00:00:00"/>
    <n v="21.555599999999998"/>
    <n v="2"/>
    <x v="482"/>
    <n v="90577"/>
    <x v="484"/>
  </r>
  <r>
    <n v="22547"/>
    <s v="Not Specified"/>
    <n v="0.01"/>
    <n v="5.94"/>
    <n v="9.92"/>
    <n v="871"/>
    <s v="Sandy Ellington"/>
    <s v="Regular Air"/>
    <s v="Home Office"/>
    <x v="0"/>
    <x v="8"/>
    <s v="Small Box"/>
    <s v="Storex Dura Pro™ Binders"/>
    <n v="0.38"/>
    <s v="United States"/>
    <x v="0"/>
    <s v="Nevada"/>
    <s v="Reno"/>
    <n v="89502"/>
    <x v="135"/>
    <d v="2015-05-23T00:00:00"/>
    <n v="-239.315"/>
    <n v="12"/>
    <x v="483"/>
    <n v="90578"/>
    <x v="485"/>
  </r>
  <r>
    <n v="22548"/>
    <s v="Not Specified"/>
    <n v="0"/>
    <n v="6.48"/>
    <n v="5.1100000000000003"/>
    <n v="871"/>
    <s v="Sandy Ellington"/>
    <s v="Regular Air"/>
    <s v="Home Office"/>
    <x v="0"/>
    <x v="7"/>
    <s v="Small Box"/>
    <s v="Xerox 231"/>
    <n v="0.37"/>
    <s v="United States"/>
    <x v="0"/>
    <s v="Nevada"/>
    <s v="Reno"/>
    <n v="89502"/>
    <x v="135"/>
    <d v="2015-05-22T00:00:00"/>
    <n v="-33.31"/>
    <n v="18"/>
    <x v="484"/>
    <n v="90578"/>
    <x v="486"/>
  </r>
  <r>
    <n v="19262"/>
    <s v="High"/>
    <n v="0.04"/>
    <n v="4.37"/>
    <n v="5.15"/>
    <n v="875"/>
    <s v="Erika Fink"/>
    <s v="Regular Air"/>
    <s v="Small Business"/>
    <x v="0"/>
    <x v="15"/>
    <s v="Small Box"/>
    <s v="Eureka Sanitaire ® Multi-Pro Heavy-Duty Upright, Disposable Bags"/>
    <n v="0.59"/>
    <s v="United States"/>
    <x v="0"/>
    <s v="Utah"/>
    <s v="Salt Lake City"/>
    <n v="84106"/>
    <x v="54"/>
    <d v="2015-02-22T00:00:00"/>
    <n v="-74.479600000000005"/>
    <n v="18"/>
    <x v="485"/>
    <n v="89059"/>
    <x v="487"/>
  </r>
  <r>
    <n v="19263"/>
    <s v="High"/>
    <n v="0.09"/>
    <n v="155.99"/>
    <n v="8.99"/>
    <n v="875"/>
    <s v="Erika Fink"/>
    <s v="Regular Air"/>
    <s v="Small Business"/>
    <x v="2"/>
    <x v="5"/>
    <s v="Small Box"/>
    <s v="CF 688"/>
    <n v="0.57999999999999996"/>
    <s v="United States"/>
    <x v="0"/>
    <s v="Utah"/>
    <s v="Salt Lake City"/>
    <n v="84106"/>
    <x v="54"/>
    <d v="2015-02-23T00:00:00"/>
    <n v="-232.22056000000001"/>
    <n v="4"/>
    <x v="486"/>
    <n v="89059"/>
    <x v="488"/>
  </r>
  <r>
    <n v="18054"/>
    <s v="Critical"/>
    <n v="7.0000000000000007E-2"/>
    <n v="5.68"/>
    <n v="1.39"/>
    <n v="880"/>
    <s v="Ellen Beck"/>
    <s v="Regular Air"/>
    <s v="Small Business"/>
    <x v="0"/>
    <x v="4"/>
    <s v="Small Box"/>
    <s v="Staples Standard Envelopes"/>
    <n v="0.38"/>
    <s v="United States"/>
    <x v="0"/>
    <s v="Arizona"/>
    <s v="Scottsdale"/>
    <n v="85254"/>
    <x v="78"/>
    <d v="2015-03-27T00:00:00"/>
    <n v="18.643799999999999"/>
    <n v="5"/>
    <x v="487"/>
    <n v="86153"/>
    <x v="489"/>
  </r>
  <r>
    <n v="18055"/>
    <s v="Critical"/>
    <n v="0.06"/>
    <n v="22.84"/>
    <n v="11.54"/>
    <n v="880"/>
    <s v="Ellen Beck"/>
    <s v="Regular Air"/>
    <s v="Small Business"/>
    <x v="0"/>
    <x v="7"/>
    <s v="Small Box"/>
    <s v="Xerox 1964"/>
    <n v="0.39"/>
    <s v="United States"/>
    <x v="0"/>
    <s v="Arizona"/>
    <s v="Scottsdale"/>
    <n v="85254"/>
    <x v="78"/>
    <d v="2015-03-27T00:00:00"/>
    <n v="-31.24"/>
    <n v="1"/>
    <x v="488"/>
    <n v="86153"/>
    <x v="490"/>
  </r>
  <r>
    <n v="19401"/>
    <s v="Critical"/>
    <n v="0.06"/>
    <n v="25.98"/>
    <n v="14.36"/>
    <n v="885"/>
    <s v="Malcolm Robertson"/>
    <s v="Delivery Truck"/>
    <s v="Corporate"/>
    <x v="1"/>
    <x v="1"/>
    <s v="Jumbo Drum"/>
    <s v="Global Stack Chair without Arms, Black"/>
    <n v="0.6"/>
    <s v="United States"/>
    <x v="2"/>
    <s v="Texas"/>
    <s v="Amarillo"/>
    <n v="79109"/>
    <x v="84"/>
    <d v="2015-05-25T00:00:00"/>
    <n v="55.887999999999998"/>
    <n v="41"/>
    <x v="489"/>
    <n v="89537"/>
    <x v="491"/>
  </r>
  <r>
    <n v="26011"/>
    <s v="Critical"/>
    <n v="0.08"/>
    <n v="1.81"/>
    <n v="0.75"/>
    <n v="890"/>
    <s v="Billie Fowler"/>
    <s v="Regular Air"/>
    <s v="Consumer"/>
    <x v="1"/>
    <x v="1"/>
    <s v="Jumbo Drum"/>
    <s v="Metal Folding Chairs, Beige, 4/Carton"/>
    <n v="0.57999999999999996"/>
    <s v="United States"/>
    <x v="2"/>
    <s v="Texas"/>
    <s v="Bedford"/>
    <n v="76021"/>
    <x v="99"/>
    <d v="2015-01-06T00:00:00"/>
    <n v="1.3224"/>
    <n v="11"/>
    <x v="490"/>
    <n v="89536"/>
    <x v="492"/>
  </r>
  <r>
    <n v="26015"/>
    <s v="Critical"/>
    <n v="0.04"/>
    <n v="125.99"/>
    <n v="5.26"/>
    <n v="890"/>
    <s v="Billie Fowler"/>
    <s v="Regular Air"/>
    <s v="Consumer"/>
    <x v="2"/>
    <x v="5"/>
    <s v="Small Box"/>
    <n v="232"/>
    <n v="0.55000000000000004"/>
    <s v="United States"/>
    <x v="2"/>
    <s v="Texas"/>
    <s v="Bedford"/>
    <n v="76021"/>
    <x v="99"/>
    <d v="2015-01-05T00:00:00"/>
    <n v="455.42070000000001"/>
    <n v="6"/>
    <x v="491"/>
    <n v="89536"/>
    <x v="493"/>
  </r>
  <r>
    <n v="2045"/>
    <s v="Critical"/>
    <n v="0.01"/>
    <n v="8.34"/>
    <n v="0.96"/>
    <n v="894"/>
    <s v="Gail Rankin Cole"/>
    <s v="Regular Air"/>
    <s v="Corporate"/>
    <x v="1"/>
    <x v="2"/>
    <s v="Wrap Bag"/>
    <s v="Document Clip Frames"/>
    <n v="0.43"/>
    <s v="United States"/>
    <x v="1"/>
    <s v="District of Columbia"/>
    <s v="Washington"/>
    <n v="20024"/>
    <x v="56"/>
    <d v="2015-01-12T00:00:00"/>
    <n v="29.332000000000001"/>
    <n v="24"/>
    <x v="492"/>
    <n v="14596"/>
    <x v="494"/>
  </r>
  <r>
    <n v="2046"/>
    <s v="Critical"/>
    <n v="0.06"/>
    <n v="3.28"/>
    <n v="3.97"/>
    <n v="894"/>
    <s v="Gail Rankin Cole"/>
    <s v="Regular Air"/>
    <s v="Corporate"/>
    <x v="0"/>
    <x v="0"/>
    <s v="Wrap Bag"/>
    <s v="Newell 337"/>
    <n v="0.56000000000000005"/>
    <s v="United States"/>
    <x v="1"/>
    <s v="District of Columbia"/>
    <s v="Washington"/>
    <n v="20024"/>
    <x v="56"/>
    <d v="2015-01-11T00:00:00"/>
    <n v="-86"/>
    <n v="19"/>
    <x v="493"/>
    <n v="14596"/>
    <x v="495"/>
  </r>
  <r>
    <n v="5421"/>
    <s v="Low"/>
    <n v="0.02"/>
    <n v="1.1399999999999999"/>
    <n v="0.7"/>
    <n v="894"/>
    <s v="Gail Rankin Cole"/>
    <s v="Regular Air"/>
    <s v="Corporate"/>
    <x v="0"/>
    <x v="3"/>
    <s v="Wrap Bag"/>
    <s v="OIC Thumb-Tacks"/>
    <n v="0.38"/>
    <s v="United States"/>
    <x v="1"/>
    <s v="District of Columbia"/>
    <s v="Washington"/>
    <n v="20024"/>
    <x v="23"/>
    <d v="2015-02-02T00:00:00"/>
    <n v="-0.49"/>
    <n v="38"/>
    <x v="494"/>
    <n v="38529"/>
    <x v="496"/>
  </r>
  <r>
    <n v="20045"/>
    <s v="Critical"/>
    <n v="0.01"/>
    <n v="8.34"/>
    <n v="0.96"/>
    <n v="896"/>
    <s v="Jennifer Siegel"/>
    <s v="Regular Air"/>
    <s v="Corporate"/>
    <x v="1"/>
    <x v="2"/>
    <s v="Wrap Bag"/>
    <s v="Document Clip Frames"/>
    <n v="0.43"/>
    <s v="United States"/>
    <x v="2"/>
    <s v="Texas"/>
    <s v="Denton"/>
    <n v="76201"/>
    <x v="56"/>
    <d v="2015-01-12T00:00:00"/>
    <n v="34.348199999999999"/>
    <n v="6"/>
    <x v="495"/>
    <n v="90166"/>
    <x v="497"/>
  </r>
  <r>
    <n v="20046"/>
    <s v="Critical"/>
    <n v="0.06"/>
    <n v="3.28"/>
    <n v="3.97"/>
    <n v="896"/>
    <s v="Jennifer Siegel"/>
    <s v="Regular Air"/>
    <s v="Corporate"/>
    <x v="0"/>
    <x v="0"/>
    <s v="Wrap Bag"/>
    <s v="Newell 337"/>
    <n v="0.56000000000000005"/>
    <s v="United States"/>
    <x v="2"/>
    <s v="Texas"/>
    <s v="Denton"/>
    <n v="76201"/>
    <x v="56"/>
    <d v="2015-01-11T00:00:00"/>
    <n v="-66.650000000000006"/>
    <n v="5"/>
    <x v="496"/>
    <n v="90166"/>
    <x v="498"/>
  </r>
  <r>
    <n v="19470"/>
    <s v="Critical"/>
    <n v="0.06"/>
    <n v="47.98"/>
    <n v="3.61"/>
    <n v="896"/>
    <s v="Jennifer Siegel"/>
    <s v="Regular Air"/>
    <s v="Corporate"/>
    <x v="2"/>
    <x v="13"/>
    <s v="Small Pack"/>
    <s v="DS/HD IBM Formatted Diskettes, 200/Pack - Staples"/>
    <n v="0.71"/>
    <s v="United States"/>
    <x v="2"/>
    <s v="Texas"/>
    <s v="Denton"/>
    <n v="76201"/>
    <x v="105"/>
    <d v="2015-06-22T00:00:00"/>
    <n v="35.954999999999998"/>
    <n v="11"/>
    <x v="497"/>
    <n v="90167"/>
    <x v="499"/>
  </r>
  <r>
    <n v="4724"/>
    <s v="High"/>
    <n v="0.04"/>
    <n v="90.97"/>
    <n v="28"/>
    <n v="898"/>
    <s v="Harriet Hodges"/>
    <s v="Delivery Truck"/>
    <s v="Small Business"/>
    <x v="2"/>
    <x v="6"/>
    <s v="Jumbo Drum"/>
    <s v="Lexmark Z55se Color Inkjet Printer"/>
    <n v="0.38"/>
    <s v="United States"/>
    <x v="1"/>
    <s v="New York"/>
    <s v="New York City"/>
    <n v="10039"/>
    <x v="38"/>
    <d v="2015-01-13T00:00:00"/>
    <n v="-173.09520000000001"/>
    <n v="6"/>
    <x v="498"/>
    <n v="33635"/>
    <x v="500"/>
  </r>
  <r>
    <n v="4725"/>
    <s v="High"/>
    <n v="7.0000000000000007E-2"/>
    <n v="20.34"/>
    <n v="35"/>
    <n v="898"/>
    <s v="Harriet Hodges"/>
    <s v="Regular Air"/>
    <s v="Small Business"/>
    <x v="0"/>
    <x v="10"/>
    <s v="Large Box"/>
    <s v="Tennsco Commercial Shelving"/>
    <n v="0.84"/>
    <s v="United States"/>
    <x v="1"/>
    <s v="New York"/>
    <s v="New York City"/>
    <n v="10039"/>
    <x v="38"/>
    <d v="2015-01-13T00:00:00"/>
    <n v="-96.16"/>
    <n v="5"/>
    <x v="499"/>
    <n v="33635"/>
    <x v="501"/>
  </r>
  <r>
    <n v="1311"/>
    <s v="Not Specified"/>
    <n v="0.02"/>
    <n v="12.53"/>
    <n v="0.49"/>
    <n v="898"/>
    <s v="Harriet Hodges"/>
    <s v="Regular Air"/>
    <s v="Small Business"/>
    <x v="0"/>
    <x v="9"/>
    <s v="Small Box"/>
    <s v="Round Specialty Laser Printer Labels"/>
    <n v="0.38"/>
    <s v="United States"/>
    <x v="1"/>
    <s v="New York"/>
    <s v="New York City"/>
    <n v="10039"/>
    <x v="39"/>
    <d v="2015-01-27T00:00:00"/>
    <n v="263.39999999999998"/>
    <n v="47"/>
    <x v="500"/>
    <n v="9606"/>
    <x v="502"/>
  </r>
  <r>
    <n v="1312"/>
    <s v="Not Specified"/>
    <n v="7.0000000000000007E-2"/>
    <n v="5.18"/>
    <n v="2.04"/>
    <n v="898"/>
    <s v="Harriet Hodges"/>
    <s v="Express Air"/>
    <s v="Small Business"/>
    <x v="0"/>
    <x v="7"/>
    <s v="Wrap Bag"/>
    <s v="Array® Memo Cubes"/>
    <n v="0.36"/>
    <s v="United States"/>
    <x v="1"/>
    <s v="New York"/>
    <s v="New York City"/>
    <n v="10039"/>
    <x v="39"/>
    <d v="2015-01-29T00:00:00"/>
    <n v="37.31"/>
    <n v="44"/>
    <x v="501"/>
    <n v="9606"/>
    <x v="503"/>
  </r>
  <r>
    <n v="22724"/>
    <s v="High"/>
    <n v="0.04"/>
    <n v="90.97"/>
    <n v="28"/>
    <n v="899"/>
    <s v="Jordan Berry"/>
    <s v="Delivery Truck"/>
    <s v="Small Business"/>
    <x v="2"/>
    <x v="6"/>
    <s v="Jumbo Drum"/>
    <s v="Lexmark Z55se Color Inkjet Printer"/>
    <n v="0.38"/>
    <s v="United States"/>
    <x v="1"/>
    <s v="Pennsylvania"/>
    <s v="Altoona"/>
    <n v="16602"/>
    <x v="38"/>
    <d v="2015-01-13T00:00:00"/>
    <n v="-173.09520000000001"/>
    <n v="2"/>
    <x v="502"/>
    <n v="86263"/>
    <x v="504"/>
  </r>
  <r>
    <n v="22725"/>
    <s v="High"/>
    <n v="7.0000000000000007E-2"/>
    <n v="20.34"/>
    <n v="35"/>
    <n v="899"/>
    <s v="Jordan Berry"/>
    <s v="Regular Air"/>
    <s v="Small Business"/>
    <x v="0"/>
    <x v="10"/>
    <s v="Large Box"/>
    <s v="Tennsco Commercial Shelving"/>
    <n v="0.84"/>
    <s v="United States"/>
    <x v="1"/>
    <s v="Pennsylvania"/>
    <s v="Altoona"/>
    <n v="16602"/>
    <x v="38"/>
    <d v="2015-01-13T00:00:00"/>
    <n v="-96.16"/>
    <n v="1"/>
    <x v="503"/>
    <n v="86263"/>
    <x v="505"/>
  </r>
  <r>
    <n v="19311"/>
    <s v="Not Specified"/>
    <n v="0.02"/>
    <n v="12.53"/>
    <n v="0.49"/>
    <n v="899"/>
    <s v="Jordan Berry"/>
    <s v="Regular Air"/>
    <s v="Small Business"/>
    <x v="0"/>
    <x v="9"/>
    <s v="Small Box"/>
    <s v="Round Specialty Laser Printer Labels"/>
    <n v="0.38"/>
    <s v="United States"/>
    <x v="1"/>
    <s v="Pennsylvania"/>
    <s v="Altoona"/>
    <n v="16602"/>
    <x v="39"/>
    <d v="2015-01-27T00:00:00"/>
    <n v="104.7213"/>
    <n v="12"/>
    <x v="504"/>
    <n v="86264"/>
    <x v="506"/>
  </r>
  <r>
    <n v="19312"/>
    <s v="Not Specified"/>
    <n v="7.0000000000000007E-2"/>
    <n v="5.18"/>
    <n v="2.04"/>
    <n v="899"/>
    <s v="Jordan Berry"/>
    <s v="Express Air"/>
    <s v="Small Business"/>
    <x v="0"/>
    <x v="7"/>
    <s v="Wrap Bag"/>
    <s v="Array® Memo Cubes"/>
    <n v="0.36"/>
    <s v="United States"/>
    <x v="1"/>
    <s v="Pennsylvania"/>
    <s v="Altoona"/>
    <n v="16602"/>
    <x v="39"/>
    <d v="2015-01-29T00:00:00"/>
    <n v="37.31"/>
    <n v="11"/>
    <x v="505"/>
    <n v="86264"/>
    <x v="507"/>
  </r>
  <r>
    <n v="24981"/>
    <s v="Not Specified"/>
    <n v="0"/>
    <n v="5.98"/>
    <n v="1.49"/>
    <n v="903"/>
    <s v="Francis Spivey"/>
    <s v="Regular Air"/>
    <s v="Consumer"/>
    <x v="0"/>
    <x v="8"/>
    <s v="Small Box"/>
    <s v="Avery Hanging File Binders"/>
    <n v="0.39"/>
    <s v="United States"/>
    <x v="1"/>
    <s v="Massachusetts"/>
    <s v="Wilmington"/>
    <n v="1887"/>
    <x v="14"/>
    <d v="2015-03-14T00:00:00"/>
    <n v="80.674800000000005"/>
    <n v="18"/>
    <x v="506"/>
    <n v="90806"/>
    <x v="508"/>
  </r>
  <r>
    <n v="22288"/>
    <s v="Critical"/>
    <n v="0.09"/>
    <n v="35.99"/>
    <n v="5.99"/>
    <n v="907"/>
    <s v="Rachel Casey"/>
    <s v="Regular Air"/>
    <s v="Home Office"/>
    <x v="2"/>
    <x v="5"/>
    <s v="Wrap Bag"/>
    <s v="Accessory41"/>
    <n v="0.38"/>
    <s v="United States"/>
    <x v="3"/>
    <s v="Kentucky"/>
    <s v="Henderson"/>
    <n v="42420"/>
    <x v="115"/>
    <d v="2015-02-27T00:00:00"/>
    <n v="114.3165"/>
    <n v="5"/>
    <x v="507"/>
    <n v="86459"/>
    <x v="509"/>
  </r>
  <r>
    <n v="21345"/>
    <s v="Medium"/>
    <n v="0.09"/>
    <n v="2.6"/>
    <n v="2.4"/>
    <n v="907"/>
    <s v="Rachel Casey"/>
    <s v="Regular Air"/>
    <s v="Home Office"/>
    <x v="0"/>
    <x v="0"/>
    <s v="Wrap Bag"/>
    <s v="12 Colored Short Pencils"/>
    <n v="0.57999999999999996"/>
    <s v="United States"/>
    <x v="3"/>
    <s v="Kentucky"/>
    <s v="Henderson"/>
    <n v="42420"/>
    <x v="77"/>
    <d v="2015-06-19T00:00:00"/>
    <n v="1107.4079999999999"/>
    <n v="12"/>
    <x v="508"/>
    <n v="86460"/>
    <x v="510"/>
  </r>
  <r>
    <n v="19480"/>
    <s v="Critical"/>
    <n v="0"/>
    <n v="5.28"/>
    <n v="5.61"/>
    <n v="910"/>
    <s v="Carla Hauser"/>
    <s v="Regular Air"/>
    <s v="Corporate"/>
    <x v="0"/>
    <x v="7"/>
    <s v="Small Box"/>
    <s v="Xerox 1954"/>
    <n v="0.4"/>
    <s v="United States"/>
    <x v="3"/>
    <s v="Arkansas"/>
    <s v="Texarkana"/>
    <n v="71854"/>
    <x v="50"/>
    <d v="2015-05-14T00:00:00"/>
    <n v="-149.21199999999999"/>
    <n v="15"/>
    <x v="509"/>
    <n v="90187"/>
    <x v="511"/>
  </r>
  <r>
    <n v="25356"/>
    <s v="Not Specified"/>
    <n v="0.05"/>
    <n v="7.64"/>
    <n v="5.83"/>
    <n v="911"/>
    <s v="Marsha P Joyner"/>
    <s v="Regular Air"/>
    <s v="Corporate"/>
    <x v="0"/>
    <x v="7"/>
    <s v="Wrap Bag"/>
    <s v="Rediform Wirebound &quot;Phone Memo&quot; Message Book, 11 x 5-3/4"/>
    <n v="0.36"/>
    <s v="United States"/>
    <x v="1"/>
    <s v="West Virginia"/>
    <s v="Wheeling"/>
    <n v="26003"/>
    <x v="70"/>
    <d v="2015-02-02T00:00:00"/>
    <n v="-21.018000000000001"/>
    <n v="2"/>
    <x v="510"/>
    <n v="90185"/>
    <x v="512"/>
  </r>
  <r>
    <n v="25357"/>
    <s v="Not Specified"/>
    <n v="0.04"/>
    <n v="218.75"/>
    <n v="69.64"/>
    <n v="911"/>
    <s v="Marsha P Joyner"/>
    <s v="Delivery Truck"/>
    <s v="Corporate"/>
    <x v="1"/>
    <x v="11"/>
    <s v="Jumbo Box"/>
    <s v="BoxOffice By Design Rectangular and Half-Moon Meeting Room Tables"/>
    <n v="0.72"/>
    <s v="United States"/>
    <x v="1"/>
    <s v="West Virginia"/>
    <s v="Wheeling"/>
    <n v="26003"/>
    <x v="70"/>
    <d v="2015-02-01T00:00:00"/>
    <n v="-655.52987499999995"/>
    <n v="10"/>
    <x v="511"/>
    <n v="90185"/>
    <x v="513"/>
  </r>
  <r>
    <n v="24028"/>
    <s v="High"/>
    <n v="0.01"/>
    <n v="59.76"/>
    <n v="9.7100000000000009"/>
    <n v="911"/>
    <s v="Marsha P Joyner"/>
    <s v="Regular Air"/>
    <s v="Corporate"/>
    <x v="0"/>
    <x v="10"/>
    <s v="Small Box"/>
    <s v="Advantus 10-Drawer Portable Organizer, Chrome Metal Frame, Smoke Drawers"/>
    <n v="0.56999999999999995"/>
    <s v="United States"/>
    <x v="1"/>
    <s v="West Virginia"/>
    <s v="Wheeling"/>
    <n v="26003"/>
    <x v="36"/>
    <d v="2015-04-06T00:00:00"/>
    <n v="354.3288"/>
    <n v="8"/>
    <x v="512"/>
    <n v="90186"/>
    <x v="514"/>
  </r>
  <r>
    <n v="24953"/>
    <s v="High"/>
    <n v="0.06"/>
    <n v="350.98"/>
    <n v="30"/>
    <n v="915"/>
    <s v="Carol Sherrill"/>
    <s v="Delivery Truck"/>
    <s v="Home Office"/>
    <x v="1"/>
    <x v="1"/>
    <s v="Jumbo Drum"/>
    <s v="Office Star - Professional Matrix Back Chair with 2-to-1 Synchro Tilt and Mesh Fabric Seat"/>
    <n v="0.61"/>
    <s v="United States"/>
    <x v="2"/>
    <s v="Texas"/>
    <s v="Bryan"/>
    <n v="77803"/>
    <x v="148"/>
    <d v="2015-01-05T00:00:00"/>
    <n v="-489.41559999999998"/>
    <n v="1"/>
    <x v="513"/>
    <n v="86356"/>
    <x v="515"/>
  </r>
  <r>
    <n v="25833"/>
    <s v="Low"/>
    <n v="0.05"/>
    <n v="161.55000000000001"/>
    <n v="19.989999999999998"/>
    <n v="916"/>
    <s v="Marion Wilcox"/>
    <s v="Regular Air"/>
    <s v="Corporate"/>
    <x v="0"/>
    <x v="10"/>
    <s v="Small Box"/>
    <s v="Fellowes Super Stor/Drawer® Files"/>
    <n v="0.66"/>
    <s v="United States"/>
    <x v="2"/>
    <s v="Texas"/>
    <s v="Burleson"/>
    <n v="76028"/>
    <x v="148"/>
    <d v="2015-01-11T00:00:00"/>
    <n v="35.31"/>
    <n v="3"/>
    <x v="514"/>
    <n v="86357"/>
    <x v="516"/>
  </r>
  <r>
    <n v="25676"/>
    <s v="High"/>
    <n v="0.05"/>
    <n v="35.51"/>
    <n v="6.31"/>
    <n v="918"/>
    <s v="Kerry Jernigan"/>
    <s v="Regular Air"/>
    <s v="Consumer"/>
    <x v="0"/>
    <x v="10"/>
    <s v="Small Box"/>
    <s v="Steel Personal Filing/Posting Tote"/>
    <n v="0.57999999999999996"/>
    <s v="United States"/>
    <x v="0"/>
    <s v="California"/>
    <s v="Rancho Cucamonga"/>
    <n v="91730"/>
    <x v="142"/>
    <d v="2015-04-14T00:00:00"/>
    <n v="6.11"/>
    <n v="2"/>
    <x v="515"/>
    <n v="90492"/>
    <x v="517"/>
  </r>
  <r>
    <n v="19772"/>
    <s v="Critical"/>
    <n v="0.09"/>
    <n v="58.14"/>
    <n v="36.61"/>
    <n v="918"/>
    <s v="Kerry Jernigan"/>
    <s v="Delivery Truck"/>
    <s v="Corporate"/>
    <x v="1"/>
    <x v="14"/>
    <s v="Jumbo Box"/>
    <s v="O'Sullivan 3-Shelf Heavy-Duty Bookcases"/>
    <n v="0.61"/>
    <s v="United States"/>
    <x v="0"/>
    <s v="California"/>
    <s v="Rancho Cucamonga"/>
    <n v="91730"/>
    <x v="135"/>
    <d v="2015-05-21T00:00:00"/>
    <n v="187.41200000000001"/>
    <n v="39"/>
    <x v="516"/>
    <n v="90493"/>
    <x v="518"/>
  </r>
  <r>
    <n v="25677"/>
    <s v="High"/>
    <n v="0.1"/>
    <n v="8.34"/>
    <n v="2.64"/>
    <n v="919"/>
    <s v="Tracy Livingston"/>
    <s v="Regular Air"/>
    <s v="Consumer"/>
    <x v="0"/>
    <x v="12"/>
    <s v="Small Pack"/>
    <s v="Acme® Elite Stainless Steel Scissors"/>
    <n v="0.59"/>
    <s v="United States"/>
    <x v="0"/>
    <s v="California"/>
    <s v="Redding"/>
    <n v="96003"/>
    <x v="142"/>
    <d v="2015-04-12T00:00:00"/>
    <n v="-6.34"/>
    <n v="6"/>
    <x v="517"/>
    <n v="90492"/>
    <x v="519"/>
  </r>
  <r>
    <n v="21970"/>
    <s v="Low"/>
    <n v="0.1"/>
    <n v="15.98"/>
    <n v="4"/>
    <n v="920"/>
    <s v="Jessie Kelly"/>
    <s v="Regular Air"/>
    <s v="Corporate"/>
    <x v="2"/>
    <x v="13"/>
    <s v="Small Box"/>
    <s v="Logitech Access Keyboard"/>
    <n v="0.37"/>
    <s v="United States"/>
    <x v="0"/>
    <s v="California"/>
    <s v="Redlands"/>
    <n v="92374"/>
    <x v="12"/>
    <d v="2015-04-01T00:00:00"/>
    <n v="92.722200000000001"/>
    <n v="9"/>
    <x v="518"/>
    <n v="90491"/>
    <x v="520"/>
  </r>
  <r>
    <n v="25678"/>
    <s v="High"/>
    <n v="0.03"/>
    <n v="8.0399999999999991"/>
    <n v="8.94"/>
    <n v="920"/>
    <s v="Jessie Kelly"/>
    <s v="Regular Air"/>
    <s v="Consumer"/>
    <x v="0"/>
    <x v="8"/>
    <s v="Small Box"/>
    <s v="Fellowes Twister Kit, Gray/Clear, 3/pkg"/>
    <n v="0.4"/>
    <s v="United States"/>
    <x v="0"/>
    <s v="California"/>
    <s v="Redlands"/>
    <n v="92374"/>
    <x v="142"/>
    <d v="2015-04-14T00:00:00"/>
    <n v="-160.27549999999999"/>
    <n v="9"/>
    <x v="519"/>
    <n v="90492"/>
    <x v="521"/>
  </r>
  <r>
    <n v="18395"/>
    <s v="Not Specified"/>
    <n v="0.01"/>
    <n v="65.989999999999995"/>
    <n v="8.99"/>
    <n v="922"/>
    <s v="Dolores Abrams"/>
    <s v="Express Air"/>
    <s v="Small Business"/>
    <x v="2"/>
    <x v="5"/>
    <s v="Small Box"/>
    <n v="5180"/>
    <n v="0.56000000000000005"/>
    <s v="United States"/>
    <x v="0"/>
    <s v="California"/>
    <s v="Rancho Cucamonga"/>
    <n v="91730"/>
    <x v="135"/>
    <d v="2015-05-21T00:00:00"/>
    <n v="396.97199999999998"/>
    <n v="14"/>
    <x v="520"/>
    <n v="87135"/>
    <x v="522"/>
  </r>
  <r>
    <n v="19973"/>
    <s v="Critical"/>
    <n v="0.03"/>
    <n v="2.1800000000000002"/>
    <n v="1.38"/>
    <n v="925"/>
    <s v="Ruth Dudley"/>
    <s v="Regular Air"/>
    <s v="Small Business"/>
    <x v="0"/>
    <x v="3"/>
    <s v="Wrap Bag"/>
    <s v="Advantus Push Pins"/>
    <n v="0.44"/>
    <s v="United States"/>
    <x v="1"/>
    <s v="Maine"/>
    <s v="Augusta"/>
    <n v="4330"/>
    <x v="34"/>
    <d v="2015-04-06T00:00:00"/>
    <n v="-7.04"/>
    <n v="7"/>
    <x v="521"/>
    <n v="87134"/>
    <x v="523"/>
  </r>
  <r>
    <n v="19974"/>
    <s v="Critical"/>
    <n v="0.01"/>
    <n v="170.98"/>
    <n v="35.89"/>
    <n v="929"/>
    <s v="Calvin Conway"/>
    <s v="Delivery Truck"/>
    <s v="Small Business"/>
    <x v="1"/>
    <x v="14"/>
    <s v="Jumbo Box"/>
    <s v="Rush Hierlooms Collection 1&quot; Thick Stackable Bookcases"/>
    <n v="0.66"/>
    <s v="United States"/>
    <x v="1"/>
    <s v="New Jersey"/>
    <s v="Old Bridge"/>
    <n v="8857"/>
    <x v="34"/>
    <d v="2015-04-08T00:00:00"/>
    <n v="538.52"/>
    <n v="10"/>
    <x v="522"/>
    <n v="87134"/>
    <x v="524"/>
  </r>
  <r>
    <n v="21077"/>
    <s v="Critical"/>
    <n v="0.05"/>
    <n v="6.04"/>
    <n v="2.14"/>
    <n v="936"/>
    <s v="Robyn Garner"/>
    <s v="Express Air"/>
    <s v="Corporate"/>
    <x v="0"/>
    <x v="7"/>
    <s v="Wrap Bag"/>
    <s v="Adams Telephone Message Books, 5 1/4” x 11”"/>
    <n v="0.38"/>
    <s v="United States"/>
    <x v="0"/>
    <s v="California"/>
    <s v="Redlands"/>
    <n v="92374"/>
    <x v="149"/>
    <d v="2015-02-19T00:00:00"/>
    <n v="-4.1399999999999997"/>
    <n v="1"/>
    <x v="523"/>
    <n v="90588"/>
    <x v="525"/>
  </r>
  <r>
    <n v="23716"/>
    <s v="Not Specified"/>
    <n v="0.05"/>
    <n v="5.98"/>
    <n v="5.46"/>
    <n v="936"/>
    <s v="Robyn Garner"/>
    <s v="Regular Air"/>
    <s v="Corporate"/>
    <x v="0"/>
    <x v="7"/>
    <s v="Small Box"/>
    <s v="Xerox 1983"/>
    <n v="0.36"/>
    <s v="United States"/>
    <x v="0"/>
    <s v="California"/>
    <s v="Redlands"/>
    <n v="92374"/>
    <x v="150"/>
    <d v="2015-06-27T00:00:00"/>
    <n v="-31.885000000000002"/>
    <n v="17"/>
    <x v="524"/>
    <n v="90589"/>
    <x v="526"/>
  </r>
  <r>
    <n v="23717"/>
    <s v="Not Specified"/>
    <n v="0.01"/>
    <n v="65.989999999999995"/>
    <n v="3.99"/>
    <n v="937"/>
    <s v="Kelly Shaw"/>
    <s v="Regular Air"/>
    <s v="Corporate"/>
    <x v="2"/>
    <x v="5"/>
    <s v="Small Box"/>
    <s v="StarTAC 7760"/>
    <n v="0.59"/>
    <s v="United States"/>
    <x v="0"/>
    <s v="California"/>
    <s v="Redondo Beach"/>
    <n v="90278"/>
    <x v="150"/>
    <d v="2015-06-28T00:00:00"/>
    <n v="-95.210499999999996"/>
    <n v="3"/>
    <x v="525"/>
    <n v="90589"/>
    <x v="527"/>
  </r>
  <r>
    <n v="22638"/>
    <s v="Low"/>
    <n v="0.09"/>
    <n v="100.98"/>
    <n v="35.840000000000003"/>
    <n v="940"/>
    <s v="Albert Maxwell"/>
    <s v="Delivery Truck"/>
    <s v="Home Office"/>
    <x v="1"/>
    <x v="14"/>
    <s v="Jumbo Box"/>
    <s v="Bush Westfield Collection Bookcases, Fully Assembled"/>
    <n v="0.62"/>
    <s v="United States"/>
    <x v="1"/>
    <s v="Connecticut"/>
    <s v="New Milford"/>
    <n v="6776"/>
    <x v="81"/>
    <d v="2015-04-19T00:00:00"/>
    <n v="-193.58"/>
    <n v="4"/>
    <x v="526"/>
    <n v="90844"/>
    <x v="528"/>
  </r>
  <r>
    <n v="23479"/>
    <s v="Not Specified"/>
    <n v="0.03"/>
    <n v="31.74"/>
    <n v="12.62"/>
    <n v="945"/>
    <s v="Stephanie Sun Perry"/>
    <s v="Regular Air"/>
    <s v="Home Office"/>
    <x v="0"/>
    <x v="8"/>
    <s v="Small Box"/>
    <s v="GBC Wire Binding Strips"/>
    <n v="0.37"/>
    <s v="United States"/>
    <x v="0"/>
    <s v="California"/>
    <s v="Saratoga"/>
    <n v="95070"/>
    <x v="127"/>
    <d v="2015-03-06T00:00:00"/>
    <n v="-4.3010000000000002"/>
    <n v="3"/>
    <x v="527"/>
    <n v="86567"/>
    <x v="529"/>
  </r>
  <r>
    <n v="24459"/>
    <s v="Critical"/>
    <n v="0.09"/>
    <n v="90.98"/>
    <n v="56.2"/>
    <n v="946"/>
    <s v="Denise Parks"/>
    <s v="Express Air"/>
    <s v="Home Office"/>
    <x v="1"/>
    <x v="2"/>
    <s v="Medium Box"/>
    <s v="Eldon ClusterMat Chair Mat with Cordless Antistatic Protection"/>
    <n v="0.74"/>
    <s v="United States"/>
    <x v="1"/>
    <s v="Maine"/>
    <s v="Auburn"/>
    <n v="4210"/>
    <x v="151"/>
    <d v="2015-03-02T00:00:00"/>
    <n v="-1570.32"/>
    <n v="20"/>
    <x v="528"/>
    <n v="86566"/>
    <x v="530"/>
  </r>
  <r>
    <n v="24693"/>
    <s v="Critical"/>
    <n v="0.08"/>
    <n v="14.2"/>
    <n v="5.3"/>
    <n v="947"/>
    <s v="Dorothy Buchanan"/>
    <s v="Express Air"/>
    <s v="Home Office"/>
    <x v="1"/>
    <x v="2"/>
    <s v="Wrap Bag"/>
    <s v="Coloredge Poster Frame"/>
    <n v="0.46"/>
    <s v="United States"/>
    <x v="1"/>
    <s v="New Jersey"/>
    <s v="Bayonne"/>
    <n v="7002"/>
    <x v="52"/>
    <d v="2015-01-13T00:00:00"/>
    <n v="27.23"/>
    <n v="5"/>
    <x v="529"/>
    <n v="86565"/>
    <x v="531"/>
  </r>
  <r>
    <n v="1279"/>
    <s v="Critical "/>
    <n v="0.06"/>
    <n v="40.98"/>
    <n v="2.99"/>
    <n v="949"/>
    <s v="Ernest Oh"/>
    <s v="Regular Air"/>
    <s v="Consumer"/>
    <x v="0"/>
    <x v="8"/>
    <s v="Small Box"/>
    <s v="Avery Trapezoid Ring Binder, 3&quot; Capacity, Black, 1040 sheets"/>
    <n v="0.36"/>
    <s v="United States"/>
    <x v="0"/>
    <s v="California"/>
    <s v="Los Angeles"/>
    <n v="90049"/>
    <x v="22"/>
    <d v="2015-01-04T00:00:00"/>
    <n v="-19.0992"/>
    <n v="3"/>
    <x v="530"/>
    <n v="9285"/>
    <x v="532"/>
  </r>
  <r>
    <n v="1128"/>
    <s v="Low"/>
    <n v="0.02"/>
    <n v="48.04"/>
    <n v="5.09"/>
    <n v="949"/>
    <s v="Ernest Oh"/>
    <s v="Regular Air"/>
    <s v="Consumer"/>
    <x v="0"/>
    <x v="7"/>
    <s v="Small Box"/>
    <s v="Xerox 1910"/>
    <n v="0.37"/>
    <s v="United States"/>
    <x v="0"/>
    <s v="California"/>
    <s v="Los Angeles"/>
    <n v="90049"/>
    <x v="27"/>
    <d v="2015-03-26T00:00:00"/>
    <n v="373.67"/>
    <n v="18"/>
    <x v="531"/>
    <n v="8257"/>
    <x v="533"/>
  </r>
  <r>
    <n v="19279"/>
    <s v="Critical"/>
    <n v="0.06"/>
    <n v="40.98"/>
    <n v="2.99"/>
    <n v="950"/>
    <s v="Jane Shah"/>
    <s v="Regular Air"/>
    <s v="Consumer"/>
    <x v="0"/>
    <x v="8"/>
    <s v="Small Box"/>
    <s v="Avery Trapezoid Ring Binder, 3&quot; Capacity, Black, 1040 sheets"/>
    <n v="0.36"/>
    <s v="United States"/>
    <x v="2"/>
    <s v="Minnesota"/>
    <s v="Prior Lake"/>
    <n v="55372"/>
    <x v="22"/>
    <d v="2015-01-04T00:00:00"/>
    <n v="-14.801880000000001"/>
    <n v="1"/>
    <x v="532"/>
    <n v="89083"/>
    <x v="534"/>
  </r>
  <r>
    <n v="19127"/>
    <s v="Low"/>
    <n v="0.05"/>
    <n v="1500.97"/>
    <n v="29.7"/>
    <n v="950"/>
    <s v="Jane Shah"/>
    <s v="Delivery Truck"/>
    <s v="Consumer"/>
    <x v="2"/>
    <x v="6"/>
    <s v="Jumbo Drum"/>
    <s v="Epson DFX5000+ Dot Matrix Printer"/>
    <n v="0.56999999999999995"/>
    <s v="United States"/>
    <x v="2"/>
    <s v="Minnesota"/>
    <s v="Prior Lake"/>
    <n v="55372"/>
    <x v="27"/>
    <d v="2015-03-22T00:00:00"/>
    <n v="-2561.3235"/>
    <n v="1"/>
    <x v="533"/>
    <n v="89084"/>
    <x v="535"/>
  </r>
  <r>
    <n v="19128"/>
    <s v="Low"/>
    <n v="0.02"/>
    <n v="48.04"/>
    <n v="5.09"/>
    <n v="950"/>
    <s v="Jane Shah"/>
    <s v="Regular Air"/>
    <s v="Consumer"/>
    <x v="0"/>
    <x v="7"/>
    <s v="Small Box"/>
    <s v="Xerox 1910"/>
    <n v="0.37"/>
    <s v="United States"/>
    <x v="2"/>
    <s v="Minnesota"/>
    <s v="Prior Lake"/>
    <n v="55372"/>
    <x v="27"/>
    <d v="2015-03-26T00:00:00"/>
    <n v="168.91890000000001"/>
    <n v="5"/>
    <x v="534"/>
    <n v="89084"/>
    <x v="536"/>
  </r>
  <r>
    <n v="19129"/>
    <s v="Low"/>
    <n v="0.03"/>
    <n v="4.28"/>
    <n v="1.6"/>
    <n v="950"/>
    <s v="Jane Shah"/>
    <s v="Regular Air"/>
    <s v="Consumer"/>
    <x v="0"/>
    <x v="0"/>
    <s v="Wrap Bag"/>
    <s v="Newell 320"/>
    <n v="0.57999999999999996"/>
    <s v="United States"/>
    <x v="2"/>
    <s v="Minnesota"/>
    <s v="Prior Lake"/>
    <n v="55372"/>
    <x v="27"/>
    <d v="2015-03-29T00:00:00"/>
    <n v="-6.2"/>
    <n v="1"/>
    <x v="535"/>
    <n v="89084"/>
    <x v="537"/>
  </r>
  <r>
    <n v="20073"/>
    <s v="Low"/>
    <n v="0.1"/>
    <n v="7.31"/>
    <n v="0.49"/>
    <n v="954"/>
    <s v="Tony Chandler"/>
    <s v="Regular Air"/>
    <s v="Small Business"/>
    <x v="0"/>
    <x v="9"/>
    <s v="Small Box"/>
    <s v="Self-Adhesive Address Labels for Typewriters by Universal"/>
    <n v="0.38"/>
    <s v="United States"/>
    <x v="2"/>
    <s v="Texas"/>
    <s v="Highland Village"/>
    <n v="75067"/>
    <x v="6"/>
    <d v="2015-02-21T00:00:00"/>
    <n v="19.064699999999998"/>
    <n v="4"/>
    <x v="536"/>
    <n v="90771"/>
    <x v="538"/>
  </r>
  <r>
    <n v="20074"/>
    <s v="Low"/>
    <n v="0.08"/>
    <n v="6.7"/>
    <n v="1.56"/>
    <n v="954"/>
    <s v="Tony Chandler"/>
    <s v="Regular Air"/>
    <s v="Small Business"/>
    <x v="0"/>
    <x v="0"/>
    <s v="Wrap Bag"/>
    <s v="Turquoise Lead Holder with Pocket Clip"/>
    <n v="0.52"/>
    <s v="United States"/>
    <x v="2"/>
    <s v="Texas"/>
    <s v="Highland Village"/>
    <n v="75067"/>
    <x v="6"/>
    <d v="2015-02-12T00:00:00"/>
    <n v="10.56"/>
    <n v="5"/>
    <x v="537"/>
    <n v="90771"/>
    <x v="539"/>
  </r>
  <r>
    <n v="25795"/>
    <s v="Not Specified"/>
    <n v="0.01"/>
    <n v="145.44999999999999"/>
    <n v="17.850000000000001"/>
    <n v="959"/>
    <s v="Sally House"/>
    <s v="Delivery Truck"/>
    <s v="Corporate"/>
    <x v="2"/>
    <x v="6"/>
    <s v="Jumbo Drum"/>
    <s v="Panasonic KX-P1150 Dot Matrix Printer"/>
    <n v="0.56000000000000005"/>
    <s v="United States"/>
    <x v="2"/>
    <s v="Texas"/>
    <s v="Burleson"/>
    <n v="76028"/>
    <x v="27"/>
    <d v="2015-03-23T00:00:00"/>
    <n v="837.6807"/>
    <n v="8"/>
    <x v="538"/>
    <n v="91581"/>
    <x v="540"/>
  </r>
  <r>
    <n v="20428"/>
    <s v="Low"/>
    <n v="0.03"/>
    <n v="2.94"/>
    <n v="0.96"/>
    <n v="960"/>
    <s v="Phillip Chappell"/>
    <s v="Regular Air"/>
    <s v="Home Office"/>
    <x v="0"/>
    <x v="0"/>
    <s v="Wrap Bag"/>
    <s v="Newell 343"/>
    <n v="0.57999999999999996"/>
    <s v="United States"/>
    <x v="0"/>
    <s v="California"/>
    <s v="Redondo Beach"/>
    <n v="90278"/>
    <x v="128"/>
    <d v="2015-02-08T00:00:00"/>
    <n v="-4.2"/>
    <n v="1"/>
    <x v="539"/>
    <n v="89401"/>
    <x v="541"/>
  </r>
  <r>
    <n v="20685"/>
    <s v="Not Specified"/>
    <n v="0.05"/>
    <n v="124.49"/>
    <n v="51.94"/>
    <n v="961"/>
    <s v="Benjamin Chan"/>
    <s v="Delivery Truck"/>
    <s v="Home Office"/>
    <x v="1"/>
    <x v="11"/>
    <s v="Jumbo Box"/>
    <s v="Bevis 36 x 72 Conference Tables"/>
    <n v="0.63"/>
    <s v="United States"/>
    <x v="0"/>
    <s v="California"/>
    <s v="Redwood City"/>
    <n v="94061"/>
    <x v="152"/>
    <d v="2015-02-24T00:00:00"/>
    <n v="-44.163600000000002"/>
    <n v="1"/>
    <x v="540"/>
    <n v="89402"/>
    <x v="542"/>
  </r>
  <r>
    <n v="2428"/>
    <s v="Low"/>
    <n v="0.03"/>
    <n v="2.94"/>
    <n v="0.96"/>
    <n v="962"/>
    <s v="Yvonne Clarke"/>
    <s v="Regular Air"/>
    <s v="Home Office"/>
    <x v="0"/>
    <x v="0"/>
    <s v="Wrap Bag"/>
    <s v="Newell 343"/>
    <n v="0.57999999999999996"/>
    <s v="United States"/>
    <x v="2"/>
    <s v="Illinois"/>
    <s v="Chicago"/>
    <n v="60610"/>
    <x v="128"/>
    <d v="2015-02-08T00:00:00"/>
    <n v="-4.2"/>
    <n v="2"/>
    <x v="541"/>
    <n v="17636"/>
    <x v="543"/>
  </r>
  <r>
    <n v="25093"/>
    <s v="Medium"/>
    <n v="0"/>
    <n v="170.98"/>
    <n v="35.89"/>
    <n v="970"/>
    <s v="Lynn Payne"/>
    <s v="Delivery Truck"/>
    <s v="Consumer"/>
    <x v="1"/>
    <x v="14"/>
    <s v="Jumbo Box"/>
    <s v="Rush Hierlooms Collection 1&quot; Thick Stackable Bookcases"/>
    <n v="0.66"/>
    <s v="United States"/>
    <x v="3"/>
    <s v="Virginia"/>
    <s v="Rose Hill"/>
    <n v="24281"/>
    <x v="18"/>
    <d v="2015-04-21T00:00:00"/>
    <n v="-102.66200000000001"/>
    <n v="8"/>
    <x v="542"/>
    <n v="86173"/>
    <x v="544"/>
  </r>
  <r>
    <n v="20536"/>
    <s v="Low"/>
    <n v="0.03"/>
    <n v="284.98"/>
    <n v="69.55"/>
    <n v="972"/>
    <s v="Gregory Holden"/>
    <s v="Delivery Truck"/>
    <s v="Corporate"/>
    <x v="1"/>
    <x v="1"/>
    <s v="Jumbo Drum"/>
    <s v="Global Commerce™ Series High-Back Swivel/Tilt Chairs"/>
    <n v="0.6"/>
    <s v="United States"/>
    <x v="0"/>
    <s v="California"/>
    <s v="Riverside"/>
    <n v="92503"/>
    <x v="136"/>
    <d v="2015-03-05T00:00:00"/>
    <n v="-116.584"/>
    <n v="2"/>
    <x v="543"/>
    <n v="87259"/>
    <x v="545"/>
  </r>
  <r>
    <n v="20537"/>
    <s v="Low"/>
    <n v="0"/>
    <n v="12.99"/>
    <n v="14.37"/>
    <n v="972"/>
    <s v="Gregory Holden"/>
    <s v="Regular Air"/>
    <s v="Corporate"/>
    <x v="1"/>
    <x v="2"/>
    <s v="Large Box"/>
    <s v="Tensor &quot;Hersey Kiss&quot; Styled Floor Lamp"/>
    <n v="0.73"/>
    <s v="United States"/>
    <x v="0"/>
    <s v="California"/>
    <s v="Riverside"/>
    <n v="92503"/>
    <x v="136"/>
    <d v="2015-02-28T00:00:00"/>
    <n v="12.896100000000001"/>
    <n v="1"/>
    <x v="544"/>
    <n v="87259"/>
    <x v="546"/>
  </r>
  <r>
    <n v="24298"/>
    <s v="Low"/>
    <n v="0.1"/>
    <n v="2.2200000000000002"/>
    <n v="5"/>
    <n v="975"/>
    <s v="Francis Evans"/>
    <s v="Regular Air"/>
    <s v="Corporate"/>
    <x v="0"/>
    <x v="15"/>
    <s v="Small Box"/>
    <s v="Hoover Replacement Belt for Commercial Guardsman Heavy-Duty Upright Vacuum"/>
    <n v="0.55000000000000004"/>
    <s v="United States"/>
    <x v="1"/>
    <s v="Massachusetts"/>
    <s v="Boston"/>
    <n v="2108"/>
    <x v="36"/>
    <d v="2015-04-09T00:00:00"/>
    <n v="-21.319199999999999"/>
    <n v="3"/>
    <x v="545"/>
    <n v="87260"/>
    <x v="547"/>
  </r>
  <r>
    <n v="22646"/>
    <s v="Medium"/>
    <n v="0"/>
    <n v="37.76"/>
    <n v="12.9"/>
    <n v="980"/>
    <s v="Howard Burnett"/>
    <s v="Regular Air"/>
    <s v="Corporate"/>
    <x v="0"/>
    <x v="10"/>
    <s v="Small Box"/>
    <s v="Companion Letter/Legal File, Black"/>
    <n v="0.56999999999999995"/>
    <s v="United States"/>
    <x v="1"/>
    <s v="Vermont"/>
    <s v="South Burlington"/>
    <n v="5403"/>
    <x v="64"/>
    <d v="2015-02-06T00:00:00"/>
    <n v="93.846800000000002"/>
    <n v="12"/>
    <x v="546"/>
    <n v="87258"/>
    <x v="548"/>
  </r>
  <r>
    <n v="20010"/>
    <s v="Low"/>
    <n v="0.09"/>
    <n v="300.97000000000003"/>
    <n v="7.18"/>
    <n v="983"/>
    <s v="Sue Drake"/>
    <s v="Regular Air"/>
    <s v="Corporate"/>
    <x v="2"/>
    <x v="13"/>
    <s v="Small Box"/>
    <s v="Gyration Ultra Professional Cordless Optical Suite"/>
    <n v="0.48"/>
    <s v="United States"/>
    <x v="3"/>
    <s v="Arkansas"/>
    <s v="Searcy"/>
    <n v="72143"/>
    <x v="58"/>
    <d v="2015-04-27T00:00:00"/>
    <n v="17.771999999999998"/>
    <n v="10"/>
    <x v="547"/>
    <n v="90201"/>
    <x v="549"/>
  </r>
  <r>
    <n v="25895"/>
    <s v="High"/>
    <n v="0.05"/>
    <n v="4.28"/>
    <n v="5.17"/>
    <n v="993"/>
    <s v="Gail Currin"/>
    <s v="Regular Air"/>
    <s v="Small Business"/>
    <x v="0"/>
    <x v="7"/>
    <s v="Small Box"/>
    <s v="Xerox 1971"/>
    <n v="0.4"/>
    <s v="United States"/>
    <x v="0"/>
    <s v="California"/>
    <s v="Oxnard"/>
    <n v="93030"/>
    <x v="153"/>
    <d v="2015-02-19T00:00:00"/>
    <n v="-104.57"/>
    <n v="9"/>
    <x v="548"/>
    <n v="89432"/>
    <x v="550"/>
  </r>
  <r>
    <n v="19004"/>
    <s v="High"/>
    <n v="0.1"/>
    <n v="400.98"/>
    <n v="76.37"/>
    <n v="994"/>
    <s v="Neal Weber"/>
    <s v="Delivery Truck"/>
    <s v="Small Business"/>
    <x v="1"/>
    <x v="11"/>
    <s v="Jumbo Box"/>
    <s v="Bretford CR8500 Series Meeting Room Furniture"/>
    <n v="0.6"/>
    <s v="United States"/>
    <x v="1"/>
    <s v="Maine"/>
    <s v="Sanford"/>
    <n v="4073"/>
    <x v="88"/>
    <d v="2015-03-15T00:00:00"/>
    <n v="-969.04836599999999"/>
    <n v="2"/>
    <x v="549"/>
    <n v="89433"/>
    <x v="551"/>
  </r>
  <r>
    <n v="23840"/>
    <s v="Low"/>
    <n v="0.09"/>
    <n v="7.64"/>
    <n v="5.83"/>
    <n v="995"/>
    <s v="Lloyd Spencer"/>
    <s v="Regular Air"/>
    <s v="Small Business"/>
    <x v="0"/>
    <x v="7"/>
    <s v="Wrap Bag"/>
    <s v="Rediform Wirebound &quot;Phone Memo&quot; Message Book, 11 x 5-3/4"/>
    <n v="0.36"/>
    <s v="United States"/>
    <x v="1"/>
    <s v="Maine"/>
    <s v="West Scarborough"/>
    <n v="4070"/>
    <x v="16"/>
    <d v="2015-05-15T00:00:00"/>
    <n v="4.032"/>
    <n v="9"/>
    <x v="550"/>
    <n v="89434"/>
    <x v="552"/>
  </r>
  <r>
    <n v="22639"/>
    <s v="Low"/>
    <n v="0.08"/>
    <n v="67.84"/>
    <n v="0.99"/>
    <n v="997"/>
    <s v="Phillip Pollard"/>
    <s v="Regular Air"/>
    <s v="Small Business"/>
    <x v="0"/>
    <x v="15"/>
    <s v="Small Box"/>
    <s v="Fellowes Command Center 5-outlet power strip"/>
    <n v="0.57999999999999996"/>
    <s v="United States"/>
    <x v="1"/>
    <s v="New Jersey"/>
    <s v="Bayonne"/>
    <n v="7002"/>
    <x v="76"/>
    <d v="2015-01-29T00:00:00"/>
    <n v="-23.634399999999999"/>
    <n v="1"/>
    <x v="551"/>
    <n v="89431"/>
    <x v="553"/>
  </r>
  <r>
    <n v="19003"/>
    <s v="High"/>
    <n v="0.08"/>
    <n v="45.19"/>
    <n v="1.99"/>
    <n v="999"/>
    <s v="Rita Barton"/>
    <s v="Regular Air"/>
    <s v="Small Business"/>
    <x v="2"/>
    <x v="13"/>
    <s v="Small Pack"/>
    <s v="Verbatim DVD-RAM, 9.4GB, Rewritable, Type 1, DS, DataLife Plus"/>
    <n v="0.55000000000000004"/>
    <s v="United States"/>
    <x v="1"/>
    <s v="New Jersey"/>
    <s v="Ridgewood"/>
    <n v="7450"/>
    <x v="88"/>
    <d v="2015-03-15T00:00:00"/>
    <n v="-71.83"/>
    <n v="3"/>
    <x v="552"/>
    <n v="89433"/>
    <x v="554"/>
  </r>
  <r>
    <n v="19002"/>
    <s v="High"/>
    <n v="0.03"/>
    <n v="33.979999999999997"/>
    <n v="19.989999999999998"/>
    <n v="1000"/>
    <s v="Lynn Bell"/>
    <s v="Regular Air"/>
    <s v="Small Business"/>
    <x v="1"/>
    <x v="2"/>
    <s v="Small Box"/>
    <s v="Linden® 12&quot; Wall Clock With Oak Frame"/>
    <n v="0.55000000000000004"/>
    <s v="United States"/>
    <x v="1"/>
    <s v="Vermont"/>
    <s v="Bennington"/>
    <n v="5201"/>
    <x v="88"/>
    <d v="2015-03-15T00:00:00"/>
    <n v="-0.74"/>
    <n v="12"/>
    <x v="553"/>
    <n v="89433"/>
    <x v="555"/>
  </r>
  <r>
    <n v="19380"/>
    <s v="Low"/>
    <n v="0.06"/>
    <n v="10.14"/>
    <n v="2.27"/>
    <n v="1005"/>
    <s v="Lloyd Dickson"/>
    <s v="Regular Air"/>
    <s v="Small Business"/>
    <x v="0"/>
    <x v="7"/>
    <s v="Wrap Bag"/>
    <s v="Staples Wirebound Steno Books, 6&quot; x 9&quot;, 12/Pack"/>
    <n v="0.36"/>
    <s v="United States"/>
    <x v="2"/>
    <s v="Illinois"/>
    <s v="Buffalo Grove"/>
    <n v="60089"/>
    <x v="30"/>
    <d v="2015-03-04T00:00:00"/>
    <n v="-3.88"/>
    <n v="1"/>
    <x v="554"/>
    <n v="90043"/>
    <x v="556"/>
  </r>
  <r>
    <n v="20167"/>
    <s v="High"/>
    <n v="0.02"/>
    <n v="40.99"/>
    <n v="17.48"/>
    <n v="1005"/>
    <s v="Lloyd Dickson"/>
    <s v="Regular Air"/>
    <s v="Small Business"/>
    <x v="0"/>
    <x v="7"/>
    <s v="Small Box"/>
    <s v="Xerox 1893"/>
    <n v="0.36"/>
    <s v="United States"/>
    <x v="2"/>
    <s v="Illinois"/>
    <s v="Buffalo Grove"/>
    <n v="60089"/>
    <x v="139"/>
    <d v="2015-02-28T00:00:00"/>
    <n v="551.09280000000001"/>
    <n v="23"/>
    <x v="555"/>
    <n v="90044"/>
    <x v="557"/>
  </r>
  <r>
    <n v="18529"/>
    <s v="High"/>
    <n v="0.01"/>
    <n v="3.15"/>
    <n v="0.49"/>
    <n v="1008"/>
    <s v="Priscilla Frank"/>
    <s v="Regular Air"/>
    <s v="Home Office"/>
    <x v="0"/>
    <x v="9"/>
    <s v="Small Box"/>
    <s v="Self-Adhesive Removable Labels"/>
    <n v="0.37"/>
    <s v="United States"/>
    <x v="1"/>
    <s v="Maine"/>
    <s v="Gorham"/>
    <n v="4038"/>
    <x v="40"/>
    <d v="2015-05-27T00:00:00"/>
    <n v="17.505299999999998"/>
    <n v="8"/>
    <x v="556"/>
    <n v="88371"/>
    <x v="558"/>
  </r>
  <r>
    <n v="18886"/>
    <s v="High"/>
    <n v="0.1"/>
    <n v="550.98"/>
    <n v="45.7"/>
    <n v="1009"/>
    <s v="Kristin George"/>
    <s v="Delivery Truck"/>
    <s v="Corporate"/>
    <x v="1"/>
    <x v="11"/>
    <s v="Jumbo Box"/>
    <s v="Chromcraft Bull-Nose Wood Oval Conference Tables &amp; Bases"/>
    <n v="0.71"/>
    <s v="United States"/>
    <x v="1"/>
    <s v="Maine"/>
    <s v="Saco"/>
    <n v="4072"/>
    <x v="117"/>
    <d v="2015-06-21T00:00:00"/>
    <n v="818.54617499999995"/>
    <n v="14"/>
    <x v="557"/>
    <n v="88372"/>
    <x v="559"/>
  </r>
  <r>
    <n v="21184"/>
    <s v="Critical"/>
    <n v="0.09"/>
    <n v="28.48"/>
    <n v="1.99"/>
    <n v="1014"/>
    <s v="Theresa Winters"/>
    <s v="Regular Air"/>
    <s v="Home Office"/>
    <x v="2"/>
    <x v="13"/>
    <s v="Small Pack"/>
    <s v="Memorex 4.7GB DVD+RW, 3/Pack"/>
    <n v="0.4"/>
    <s v="United States"/>
    <x v="3"/>
    <s v="Arkansas"/>
    <s v="Bryant"/>
    <n v="72022"/>
    <x v="151"/>
    <d v="2015-03-02T00:00:00"/>
    <n v="-17.149999999999999"/>
    <n v="6"/>
    <x v="558"/>
    <n v="88387"/>
    <x v="560"/>
  </r>
  <r>
    <n v="21185"/>
    <s v="Critical"/>
    <n v="0"/>
    <n v="2.08"/>
    <n v="5.33"/>
    <n v="1014"/>
    <s v="Theresa Winters"/>
    <s v="Regular Air"/>
    <s v="Home Office"/>
    <x v="1"/>
    <x v="2"/>
    <s v="Small Box"/>
    <s v="Eldon® Wave Desk Accessories"/>
    <n v="0.43"/>
    <s v="United States"/>
    <x v="3"/>
    <s v="Arkansas"/>
    <s v="Bryant"/>
    <n v="72022"/>
    <x v="151"/>
    <d v="2015-03-03T00:00:00"/>
    <n v="-29.54"/>
    <n v="3"/>
    <x v="559"/>
    <n v="88387"/>
    <x v="561"/>
  </r>
  <r>
    <n v="21186"/>
    <s v="Critical"/>
    <n v="0.06"/>
    <n v="45.99"/>
    <n v="4.99"/>
    <n v="1014"/>
    <s v="Theresa Winters"/>
    <s v="Express Air"/>
    <s v="Home Office"/>
    <x v="2"/>
    <x v="5"/>
    <s v="Small Box"/>
    <s v="KF 788"/>
    <n v="0.56000000000000005"/>
    <s v="United States"/>
    <x v="3"/>
    <s v="Arkansas"/>
    <s v="Bryant"/>
    <n v="72022"/>
    <x v="151"/>
    <d v="2015-03-02T00:00:00"/>
    <n v="-329.78399999999999"/>
    <n v="10"/>
    <x v="560"/>
    <n v="88387"/>
    <x v="562"/>
  </r>
  <r>
    <n v="20880"/>
    <s v="Not Specified"/>
    <n v="0.08"/>
    <n v="10.91"/>
    <n v="2.99"/>
    <n v="1014"/>
    <s v="Theresa Winters"/>
    <s v="Regular Air"/>
    <s v="Home Office"/>
    <x v="0"/>
    <x v="8"/>
    <s v="Small Box"/>
    <s v="Heavy-Duty E-Z-D® Binders"/>
    <n v="0.38"/>
    <s v="United States"/>
    <x v="3"/>
    <s v="Arkansas"/>
    <s v="Bryant"/>
    <n v="72022"/>
    <x v="93"/>
    <d v="2015-03-06T00:00:00"/>
    <n v="-2.1"/>
    <n v="11"/>
    <x v="561"/>
    <n v="88388"/>
    <x v="563"/>
  </r>
  <r>
    <n v="20531"/>
    <s v="Medium"/>
    <n v="0"/>
    <n v="43.98"/>
    <n v="8.99"/>
    <n v="1015"/>
    <s v="Beverly Cameron"/>
    <s v="Regular Air"/>
    <s v="Home Office"/>
    <x v="0"/>
    <x v="0"/>
    <s v="Small Pack"/>
    <s v="Boston 1645 Deluxe Heavier-Duty Electric Pencil Sharpener"/>
    <n v="0.57999999999999996"/>
    <s v="United States"/>
    <x v="3"/>
    <s v="North Carolina"/>
    <s v="Apex"/>
    <n v="27502"/>
    <x v="103"/>
    <d v="2015-03-18T00:00:00"/>
    <n v="829.46699999999998"/>
    <n v="14"/>
    <x v="562"/>
    <n v="88390"/>
    <x v="564"/>
  </r>
  <r>
    <n v="24752"/>
    <s v="High"/>
    <n v="0.02"/>
    <n v="6.48"/>
    <n v="7.86"/>
    <n v="1016"/>
    <s v="Francis Sherrill"/>
    <s v="Express Air"/>
    <s v="Home Office"/>
    <x v="0"/>
    <x v="7"/>
    <s v="Small Box"/>
    <s v="Xerox 213"/>
    <n v="0.37"/>
    <s v="United States"/>
    <x v="3"/>
    <s v="North Carolina"/>
    <s v="Asheville"/>
    <n v="28806"/>
    <x v="20"/>
    <d v="2015-06-13T00:00:00"/>
    <n v="111.22199999999999"/>
    <n v="1"/>
    <x v="563"/>
    <n v="88389"/>
    <x v="565"/>
  </r>
  <r>
    <n v="25027"/>
    <s v="Medium"/>
    <n v="0.05"/>
    <n v="35.89"/>
    <n v="14.72"/>
    <n v="1018"/>
    <s v="Meredith Humphrey"/>
    <s v="Regular Air"/>
    <s v="Home Office"/>
    <x v="0"/>
    <x v="4"/>
    <s v="Small Box"/>
    <s v="Jet-Pak Recycled Peel 'N' Seal Padded Mailers"/>
    <n v="0.4"/>
    <s v="United States"/>
    <x v="3"/>
    <s v="North Carolina"/>
    <s v="Cary"/>
    <n v="27511"/>
    <x v="4"/>
    <d v="2015-04-09T00:00:00"/>
    <n v="22.866"/>
    <n v="19"/>
    <x v="564"/>
    <n v="88391"/>
    <x v="566"/>
  </r>
  <r>
    <n v="25028"/>
    <s v="Medium"/>
    <n v="0"/>
    <n v="11.48"/>
    <n v="5.43"/>
    <n v="1018"/>
    <s v="Meredith Humphrey"/>
    <s v="Regular Air"/>
    <s v="Home Office"/>
    <x v="0"/>
    <x v="7"/>
    <s v="Small Box"/>
    <s v="Personal Creations™ Ink Jet Cards and Labels"/>
    <n v="0.36"/>
    <s v="United States"/>
    <x v="3"/>
    <s v="North Carolina"/>
    <s v="Cary"/>
    <n v="27511"/>
    <x v="4"/>
    <d v="2015-04-08T00:00:00"/>
    <n v="115.72799999999999"/>
    <n v="6"/>
    <x v="565"/>
    <n v="88391"/>
    <x v="567"/>
  </r>
  <r>
    <n v="24926"/>
    <s v="Critical"/>
    <n v="0.09"/>
    <n v="517.48"/>
    <n v="16.63"/>
    <n v="1020"/>
    <s v="Julie Porter"/>
    <s v="Delivery Truck"/>
    <s v="Small Business"/>
    <x v="2"/>
    <x v="6"/>
    <s v="Jumbo Box"/>
    <s v="Panasonic KX-P3626 Dot Matrix Printer"/>
    <n v="0.59"/>
    <s v="United States"/>
    <x v="2"/>
    <s v="Kansas"/>
    <s v="Pittsburg"/>
    <n v="66762"/>
    <x v="146"/>
    <d v="2015-03-07T00:00:00"/>
    <n v="909.36"/>
    <n v="5"/>
    <x v="566"/>
    <n v="88632"/>
    <x v="568"/>
  </r>
  <r>
    <n v="23562"/>
    <s v="Critical"/>
    <n v="7.0000000000000007E-2"/>
    <n v="4.13"/>
    <n v="5.04"/>
    <n v="1020"/>
    <s v="Julie Porter"/>
    <s v="Regular Air"/>
    <s v="Small Business"/>
    <x v="0"/>
    <x v="8"/>
    <s v="Small Box"/>
    <s v="ACCOHIDE® 3-Ring Binder, Blue, 1&quot;"/>
    <n v="0.38"/>
    <s v="United States"/>
    <x v="2"/>
    <s v="Kansas"/>
    <s v="Pittsburg"/>
    <n v="66762"/>
    <x v="92"/>
    <d v="2015-02-07T00:00:00"/>
    <n v="-76.424400000000006"/>
    <n v="20"/>
    <x v="567"/>
    <n v="88634"/>
    <x v="569"/>
  </r>
  <r>
    <n v="23563"/>
    <s v="Critical"/>
    <n v="0"/>
    <n v="4.4800000000000004"/>
    <n v="2.5"/>
    <n v="1020"/>
    <s v="Julie Porter"/>
    <s v="Regular Air"/>
    <s v="Small Business"/>
    <x v="0"/>
    <x v="4"/>
    <s v="Small Box"/>
    <s v="Ampad #10 Peel &amp; Seel® Holiday Envelopes"/>
    <n v="0.37"/>
    <s v="United States"/>
    <x v="2"/>
    <s v="Kansas"/>
    <s v="Pittsburg"/>
    <n v="66762"/>
    <x v="92"/>
    <d v="2015-02-08T00:00:00"/>
    <n v="8.7319999999999993"/>
    <n v="14"/>
    <x v="568"/>
    <n v="88634"/>
    <x v="570"/>
  </r>
  <r>
    <n v="18921"/>
    <s v="Critical"/>
    <n v="0.02"/>
    <n v="39.06"/>
    <n v="10.55"/>
    <n v="1023"/>
    <s v="Glen Newman"/>
    <s v="Regular Air"/>
    <s v="Small Business"/>
    <x v="0"/>
    <x v="8"/>
    <s v="Small Box"/>
    <s v="Ibico Recycled Linen-Style Covers"/>
    <n v="0.37"/>
    <s v="United States"/>
    <x v="1"/>
    <s v="Pennsylvania"/>
    <s v="Wilkinsburg"/>
    <n v="15221"/>
    <x v="7"/>
    <d v="2015-05-15T00:00:00"/>
    <n v="442.0899"/>
    <n v="16"/>
    <x v="569"/>
    <n v="88633"/>
    <x v="571"/>
  </r>
  <r>
    <n v="18922"/>
    <s v="Critical"/>
    <n v="0.1"/>
    <n v="37.700000000000003"/>
    <n v="2.99"/>
    <n v="1023"/>
    <s v="Glen Newman"/>
    <s v="Regular Air"/>
    <s v="Small Business"/>
    <x v="0"/>
    <x v="8"/>
    <s v="Small Box"/>
    <s v="Vinyl Sectional Post Binders"/>
    <n v="0.35"/>
    <s v="United States"/>
    <x v="1"/>
    <s v="Pennsylvania"/>
    <s v="Wilkinsburg"/>
    <n v="15221"/>
    <x v="7"/>
    <d v="2015-05-16T00:00:00"/>
    <n v="455.12400000000002"/>
    <n v="18"/>
    <x v="570"/>
    <n v="88633"/>
    <x v="572"/>
  </r>
  <r>
    <n v="21402"/>
    <s v="Not Specified"/>
    <n v="0.08"/>
    <n v="65.989999999999995"/>
    <n v="5.92"/>
    <n v="1026"/>
    <s v="Eugene Kerr"/>
    <s v="Regular Air"/>
    <s v="Small Business"/>
    <x v="2"/>
    <x v="5"/>
    <s v="Small Box"/>
    <s v="i500plus"/>
    <n v="0.57999999999999996"/>
    <s v="United States"/>
    <x v="1"/>
    <s v="New York"/>
    <s v="Central Islip"/>
    <n v="11722"/>
    <x v="131"/>
    <d v="2015-02-07T00:00:00"/>
    <n v="624.40164000000004"/>
    <n v="22"/>
    <x v="571"/>
    <n v="89005"/>
    <x v="573"/>
  </r>
  <r>
    <n v="20872"/>
    <s v="High"/>
    <n v="0.1"/>
    <n v="5.98"/>
    <n v="3.85"/>
    <n v="1026"/>
    <s v="Eugene Kerr"/>
    <s v="Regular Air"/>
    <s v="Small Business"/>
    <x v="2"/>
    <x v="13"/>
    <s v="Small Pack"/>
    <s v="Imation 3.5&quot; IBM-Formatted Diskettes, 10/Pack"/>
    <n v="0.68"/>
    <s v="United States"/>
    <x v="1"/>
    <s v="New York"/>
    <s v="Central Islip"/>
    <n v="11722"/>
    <x v="124"/>
    <d v="2015-05-30T00:00:00"/>
    <n v="18.922000000000001"/>
    <n v="26"/>
    <x v="572"/>
    <n v="89008"/>
    <x v="574"/>
  </r>
  <r>
    <n v="20873"/>
    <s v="High"/>
    <n v="7.0000000000000007E-2"/>
    <n v="2.61"/>
    <n v="0.5"/>
    <n v="1026"/>
    <s v="Eugene Kerr"/>
    <s v="Regular Air"/>
    <s v="Small Business"/>
    <x v="0"/>
    <x v="9"/>
    <s v="Small Box"/>
    <s v="Avery 494"/>
    <n v="0.39"/>
    <s v="United States"/>
    <x v="1"/>
    <s v="New York"/>
    <s v="Central Islip"/>
    <n v="11722"/>
    <x v="124"/>
    <d v="2015-06-01T00:00:00"/>
    <n v="39.350700000000003"/>
    <n v="22"/>
    <x v="573"/>
    <n v="89008"/>
    <x v="575"/>
  </r>
  <r>
    <n v="22662"/>
    <s v="High"/>
    <n v="0.1"/>
    <n v="73.98"/>
    <n v="4"/>
    <n v="1027"/>
    <s v="Brian Bennett"/>
    <s v="Regular Air"/>
    <s v="Small Business"/>
    <x v="2"/>
    <x v="13"/>
    <s v="Small Box"/>
    <s v="Keytronic French Keyboard"/>
    <n v="0.79"/>
    <s v="United States"/>
    <x v="1"/>
    <s v="New York"/>
    <s v="Cheektowaga"/>
    <n v="14225"/>
    <x v="14"/>
    <d v="2015-03-13T00:00:00"/>
    <n v="-229.87"/>
    <n v="5"/>
    <x v="574"/>
    <n v="89004"/>
    <x v="576"/>
  </r>
  <r>
    <n v="22663"/>
    <s v="High"/>
    <n v="0.05"/>
    <n v="51.98"/>
    <n v="10.17"/>
    <n v="1027"/>
    <s v="Brian Bennett"/>
    <s v="Regular Air"/>
    <s v="Small Business"/>
    <x v="2"/>
    <x v="6"/>
    <s v="Medium Box"/>
    <s v="Canon MP25DIII Desktop Whisper-Quiet Printing Calculator"/>
    <n v="0.37"/>
    <s v="United States"/>
    <x v="1"/>
    <s v="New York"/>
    <s v="Cheektowaga"/>
    <n v="14225"/>
    <x v="14"/>
    <d v="2015-03-13T00:00:00"/>
    <n v="329.9787"/>
    <n v="9"/>
    <x v="575"/>
    <n v="89004"/>
    <x v="577"/>
  </r>
  <r>
    <n v="24325"/>
    <s v="Medium"/>
    <n v="7.0000000000000007E-2"/>
    <n v="7.08"/>
    <n v="2.35"/>
    <n v="1028"/>
    <s v="Marguerite Rodgers"/>
    <s v="Express Air"/>
    <s v="Small Business"/>
    <x v="0"/>
    <x v="0"/>
    <s v="Wrap Bag"/>
    <s v="SANFORD Major Accent™ Highlighters"/>
    <n v="0.47"/>
    <s v="United States"/>
    <x v="1"/>
    <s v="New York"/>
    <s v="Commack"/>
    <n v="11725"/>
    <x v="48"/>
    <d v="2015-03-30T00:00:00"/>
    <n v="30.49"/>
    <n v="13"/>
    <x v="458"/>
    <n v="89006"/>
    <x v="578"/>
  </r>
  <r>
    <n v="23398"/>
    <s v="Not Specified"/>
    <n v="0.05"/>
    <n v="83.1"/>
    <n v="6.13"/>
    <n v="1028"/>
    <s v="Marguerite Rodgers"/>
    <s v="Express Air"/>
    <s v="Small Business"/>
    <x v="2"/>
    <x v="13"/>
    <s v="Small Box"/>
    <s v="Micro Innovations Micro Digital Wireless Keyboard and Mouse, Gray"/>
    <n v="0.45"/>
    <s v="United States"/>
    <x v="1"/>
    <s v="New York"/>
    <s v="Commack"/>
    <n v="11725"/>
    <x v="100"/>
    <d v="2015-05-09T00:00:00"/>
    <n v="1152.5277000000001"/>
    <n v="20"/>
    <x v="576"/>
    <n v="89007"/>
    <x v="579"/>
  </r>
  <r>
    <n v="21959"/>
    <s v="Critical"/>
    <n v="7.0000000000000007E-2"/>
    <n v="125.99"/>
    <n v="2.5"/>
    <n v="1035"/>
    <s v="Kent Burton"/>
    <s v="Regular Air"/>
    <s v="Home Office"/>
    <x v="2"/>
    <x v="5"/>
    <s v="Small Box"/>
    <s v="i2000"/>
    <n v="0.6"/>
    <s v="United States"/>
    <x v="1"/>
    <s v="Ohio"/>
    <s v="Delaware"/>
    <n v="43015"/>
    <x v="114"/>
    <d v="2015-03-13T00:00:00"/>
    <n v="-604.40599999999995"/>
    <n v="1"/>
    <x v="577"/>
    <n v="90710"/>
    <x v="580"/>
  </r>
  <r>
    <n v="21960"/>
    <s v="Critical"/>
    <n v="0.03"/>
    <n v="99.99"/>
    <n v="19.989999999999998"/>
    <n v="1036"/>
    <s v="Jessica Huffman"/>
    <s v="Regular Air"/>
    <s v="Home Office"/>
    <x v="2"/>
    <x v="13"/>
    <s v="Small Box"/>
    <s v="US Robotics 56K V.92 External Faxmodem"/>
    <n v="0.52"/>
    <s v="United States"/>
    <x v="1"/>
    <s v="Ohio"/>
    <s v="Dublin"/>
    <n v="43017"/>
    <x v="114"/>
    <d v="2015-03-14T00:00:00"/>
    <n v="293.66000000000003"/>
    <n v="6"/>
    <x v="578"/>
    <n v="90710"/>
    <x v="581"/>
  </r>
  <r>
    <n v="20669"/>
    <s v="Critical"/>
    <n v="0.1"/>
    <n v="7.64"/>
    <n v="5.83"/>
    <n v="1038"/>
    <s v="Jon Hale"/>
    <s v="Regular Air"/>
    <s v="Corporate"/>
    <x v="0"/>
    <x v="7"/>
    <s v="Wrap Bag"/>
    <s v="Rediform Wirebound &quot;Phone Memo&quot; Message Book, 11 x 5-3/4"/>
    <n v="0.36"/>
    <s v="United States"/>
    <x v="3"/>
    <s v="Florida"/>
    <s v="Belle Glade"/>
    <n v="33430"/>
    <x v="154"/>
    <d v="2015-06-17T00:00:00"/>
    <n v="-403.18740000000003"/>
    <n v="5"/>
    <x v="579"/>
    <n v="90641"/>
    <x v="582"/>
  </r>
  <r>
    <n v="18404"/>
    <s v="Critical"/>
    <n v="0.06"/>
    <n v="55.94"/>
    <n v="4"/>
    <n v="1041"/>
    <s v="Mildred Chase"/>
    <s v="Regular Air"/>
    <s v="Small Business"/>
    <x v="2"/>
    <x v="13"/>
    <s v="Small Box"/>
    <s v="Fellowes Smart Design 104-Key Enhanced Keyboard, PS/2 Adapter, Platinum"/>
    <n v="0.74"/>
    <s v="United States"/>
    <x v="0"/>
    <s v="California"/>
    <s v="Woodland"/>
    <n v="95695"/>
    <x v="89"/>
    <d v="2015-04-18T00:00:00"/>
    <n v="-13.77"/>
    <n v="6"/>
    <x v="580"/>
    <n v="87846"/>
    <x v="583"/>
  </r>
  <r>
    <n v="18405"/>
    <s v="Critical"/>
    <n v="7.0000000000000007E-2"/>
    <n v="6.3"/>
    <n v="0.5"/>
    <n v="1041"/>
    <s v="Mildred Chase"/>
    <s v="Regular Air"/>
    <s v="Small Business"/>
    <x v="0"/>
    <x v="9"/>
    <s v="Small Box"/>
    <s v="Avery 48"/>
    <n v="0.39"/>
    <s v="United States"/>
    <x v="0"/>
    <s v="California"/>
    <s v="Woodland"/>
    <n v="95695"/>
    <x v="89"/>
    <d v="2015-04-17T00:00:00"/>
    <n v="44.912100000000002"/>
    <n v="11"/>
    <x v="581"/>
    <n v="87846"/>
    <x v="584"/>
  </r>
  <r>
    <n v="20937"/>
    <s v="Critical"/>
    <n v="0"/>
    <n v="14.42"/>
    <n v="6.75"/>
    <n v="1042"/>
    <s v="Jerome Burch"/>
    <s v="Express Air"/>
    <s v="Small Business"/>
    <x v="0"/>
    <x v="15"/>
    <s v="Medium Box"/>
    <s v="Holmes Odor Grabber"/>
    <n v="0.52"/>
    <s v="United States"/>
    <x v="0"/>
    <s v="California"/>
    <s v="Yuba City"/>
    <n v="95991"/>
    <x v="41"/>
    <d v="2015-05-17T00:00:00"/>
    <n v="9.33"/>
    <n v="6"/>
    <x v="582"/>
    <n v="87847"/>
    <x v="585"/>
  </r>
  <r>
    <n v="3926"/>
    <s v="Critical"/>
    <n v="0.02"/>
    <n v="209.84"/>
    <n v="21.21"/>
    <n v="1044"/>
    <s v="Erin Ballard"/>
    <s v="Regular Air"/>
    <s v="Home Office"/>
    <x v="1"/>
    <x v="2"/>
    <s v="Large Box"/>
    <s v="Luxo Professional Fluorescent Magnifier Lamp with Clamp-Mount Base"/>
    <n v="0.59"/>
    <s v="United States"/>
    <x v="0"/>
    <s v="California"/>
    <s v="Los Angeles"/>
    <n v="90004"/>
    <x v="110"/>
    <d v="2015-06-14T00:00:00"/>
    <n v="2593.14"/>
    <n v="62"/>
    <x v="583"/>
    <n v="28001"/>
    <x v="586"/>
  </r>
  <r>
    <n v="3927"/>
    <s v="Critical"/>
    <n v="0.01"/>
    <n v="194.3"/>
    <n v="11.54"/>
    <n v="1044"/>
    <s v="Erin Ballard"/>
    <s v="Regular Air"/>
    <s v="Home Office"/>
    <x v="1"/>
    <x v="2"/>
    <s v="Large Box"/>
    <s v="Electrix Halogen Magnifier Lamp"/>
    <n v="0.59"/>
    <s v="United States"/>
    <x v="0"/>
    <s v="California"/>
    <s v="Los Angeles"/>
    <n v="90004"/>
    <x v="110"/>
    <d v="2015-06-16T00:00:00"/>
    <n v="1162.76"/>
    <n v="32"/>
    <x v="584"/>
    <n v="28001"/>
    <x v="587"/>
  </r>
  <r>
    <n v="6711"/>
    <s v="High"/>
    <n v="0"/>
    <n v="6.68"/>
    <n v="5.66"/>
    <n v="1044"/>
    <s v="Erin Ballard"/>
    <s v="Regular Air"/>
    <s v="Home Office"/>
    <x v="0"/>
    <x v="7"/>
    <s v="Small Box"/>
    <s v="Xerox 1923"/>
    <n v="0.37"/>
    <s v="United States"/>
    <x v="0"/>
    <s v="California"/>
    <s v="Los Angeles"/>
    <n v="90004"/>
    <x v="139"/>
    <d v="2015-02-28T00:00:00"/>
    <n v="-76.94"/>
    <n v="90"/>
    <x v="585"/>
    <n v="47813"/>
    <x v="588"/>
  </r>
  <r>
    <n v="24711"/>
    <s v="High"/>
    <n v="0"/>
    <n v="6.68"/>
    <n v="5.66"/>
    <n v="1047"/>
    <s v="Gayle Pearson"/>
    <s v="Regular Air"/>
    <s v="Home Office"/>
    <x v="0"/>
    <x v="7"/>
    <s v="Small Box"/>
    <s v="Xerox 1923"/>
    <n v="0.37"/>
    <s v="United States"/>
    <x v="1"/>
    <s v="Massachusetts"/>
    <s v="Boston"/>
    <n v="2109"/>
    <x v="139"/>
    <d v="2015-02-28T00:00:00"/>
    <n v="-40.008800000000001"/>
    <n v="23"/>
    <x v="586"/>
    <n v="89389"/>
    <x v="589"/>
  </r>
  <r>
    <n v="26259"/>
    <s v="Not Specified"/>
    <n v="0.03"/>
    <n v="5.44"/>
    <n v="7.46"/>
    <n v="1054"/>
    <s v="Keith R Atkinson"/>
    <s v="Express Air"/>
    <s v="Corporate"/>
    <x v="0"/>
    <x v="8"/>
    <s v="Small Box"/>
    <s v="Wilson Jones Custom Binder Spines &amp; Labels"/>
    <n v="0.36"/>
    <s v="United States"/>
    <x v="0"/>
    <s v="Arizona"/>
    <s v="Surprise"/>
    <n v="85374"/>
    <x v="40"/>
    <d v="2015-05-27T00:00:00"/>
    <n v="-51.704000000000001"/>
    <n v="4"/>
    <x v="587"/>
    <n v="90069"/>
    <x v="590"/>
  </r>
  <r>
    <n v="26260"/>
    <s v="Not Specified"/>
    <n v="0.08"/>
    <n v="26.38"/>
    <n v="5.58"/>
    <n v="1054"/>
    <s v="Keith R Atkinson"/>
    <s v="Regular Air"/>
    <s v="Corporate"/>
    <x v="0"/>
    <x v="7"/>
    <s v="Small Box"/>
    <s v="Xerox 1883"/>
    <n v="0.39"/>
    <s v="United States"/>
    <x v="0"/>
    <s v="Arizona"/>
    <s v="Surprise"/>
    <n v="85374"/>
    <x v="40"/>
    <d v="2015-05-26T00:00:00"/>
    <n v="144.7482"/>
    <n v="8"/>
    <x v="588"/>
    <n v="90069"/>
    <x v="591"/>
  </r>
  <r>
    <n v="26261"/>
    <s v="Not Specified"/>
    <n v="0.06"/>
    <n v="20.99"/>
    <n v="2.5"/>
    <n v="1054"/>
    <s v="Keith R Atkinson"/>
    <s v="Regular Air"/>
    <s v="Corporate"/>
    <x v="2"/>
    <x v="5"/>
    <s v="Wrap Bag"/>
    <s v="Accessory37"/>
    <n v="0.81"/>
    <s v="United States"/>
    <x v="0"/>
    <s v="Arizona"/>
    <s v="Surprise"/>
    <n v="85374"/>
    <x v="40"/>
    <d v="2015-05-27T00:00:00"/>
    <n v="-112.18899999999999"/>
    <n v="1"/>
    <x v="589"/>
    <n v="90069"/>
    <x v="592"/>
  </r>
  <r>
    <n v="8200"/>
    <s v="Medium"/>
    <n v="0.09"/>
    <n v="138.75"/>
    <n v="52.42"/>
    <n v="1060"/>
    <s v="Gene Gilliam"/>
    <s v="Delivery Truck"/>
    <s v="Small Business"/>
    <x v="1"/>
    <x v="11"/>
    <s v="Jumbo Box"/>
    <s v="Balt Split Level Computer Training Table"/>
    <n v="0.74"/>
    <s v="United States"/>
    <x v="3"/>
    <s v="Georgia"/>
    <s v="Atlanta"/>
    <n v="30318"/>
    <x v="120"/>
    <d v="2015-03-25T00:00:00"/>
    <n v="-445.97177629999999"/>
    <n v="23"/>
    <x v="590"/>
    <n v="58628"/>
    <x v="593"/>
  </r>
  <r>
    <n v="7980"/>
    <s v="Low"/>
    <n v="7.0000000000000007E-2"/>
    <n v="6.3"/>
    <n v="0.5"/>
    <n v="1060"/>
    <s v="Gene Gilliam"/>
    <s v="Regular Air"/>
    <s v="Small Business"/>
    <x v="0"/>
    <x v="9"/>
    <s v="Small Box"/>
    <s v="Avery 51"/>
    <n v="0.39"/>
    <s v="United States"/>
    <x v="3"/>
    <s v="Georgia"/>
    <s v="Atlanta"/>
    <n v="30318"/>
    <x v="155"/>
    <d v="2015-05-30T00:00:00"/>
    <n v="4.1673999999999998"/>
    <n v="20"/>
    <x v="591"/>
    <n v="57061"/>
    <x v="594"/>
  </r>
  <r>
    <n v="26200"/>
    <s v="Medium"/>
    <n v="0.09"/>
    <n v="138.75"/>
    <n v="52.42"/>
    <n v="1062"/>
    <s v="Willie Robinson"/>
    <s v="Delivery Truck"/>
    <s v="Small Business"/>
    <x v="1"/>
    <x v="11"/>
    <s v="Jumbo Box"/>
    <s v="Balt Split Level Computer Training Table"/>
    <n v="0.74"/>
    <s v="United States"/>
    <x v="1"/>
    <s v="New York"/>
    <s v="Coram"/>
    <n v="11727"/>
    <x v="120"/>
    <d v="2015-03-25T00:00:00"/>
    <n v="-335.31712499999998"/>
    <n v="6"/>
    <x v="592"/>
    <n v="91354"/>
    <x v="595"/>
  </r>
  <r>
    <n v="25979"/>
    <s v="Low"/>
    <n v="0.04"/>
    <n v="22.38"/>
    <n v="15.1"/>
    <n v="1062"/>
    <s v="Willie Robinson"/>
    <s v="Regular Air"/>
    <s v="Small Business"/>
    <x v="0"/>
    <x v="8"/>
    <s v="Small Box"/>
    <s v="Avery Flip-Chart Easel Binder, Black"/>
    <n v="0.38"/>
    <s v="United States"/>
    <x v="1"/>
    <s v="New York"/>
    <s v="Coram"/>
    <n v="11727"/>
    <x v="155"/>
    <d v="2015-06-07T00:00:00"/>
    <n v="16.021799999999999"/>
    <n v="18"/>
    <x v="593"/>
    <n v="91355"/>
    <x v="596"/>
  </r>
  <r>
    <n v="25981"/>
    <s v="Low"/>
    <n v="0.06"/>
    <n v="17.78"/>
    <n v="5.03"/>
    <n v="1062"/>
    <s v="Willie Robinson"/>
    <s v="Regular Air"/>
    <s v="Small Business"/>
    <x v="1"/>
    <x v="2"/>
    <s v="Small Box"/>
    <s v="Seth Thomas 13 1/2&quot; Wall Clock"/>
    <n v="0.54"/>
    <s v="United States"/>
    <x v="1"/>
    <s v="New York"/>
    <s v="Coram"/>
    <n v="11727"/>
    <x v="155"/>
    <d v="2015-06-02T00:00:00"/>
    <n v="38.067300000000003"/>
    <n v="3"/>
    <x v="594"/>
    <n v="91355"/>
    <x v="597"/>
  </r>
  <r>
    <n v="19445"/>
    <s v="Critical"/>
    <n v="0.01"/>
    <n v="15.99"/>
    <n v="13.18"/>
    <n v="1065"/>
    <s v="Vicki Bond"/>
    <s v="Regular Air"/>
    <s v="Corporate"/>
    <x v="0"/>
    <x v="8"/>
    <s v="Small Box"/>
    <s v="GBC Pre-Punched Binding Paper, Plastic, White, 8-1/2&quot; x 11&quot;"/>
    <n v="0.37"/>
    <s v="United States"/>
    <x v="2"/>
    <s v="Illinois"/>
    <s v="Burbank"/>
    <n v="60459"/>
    <x v="29"/>
    <d v="2015-02-20T00:00:00"/>
    <n v="-99.43544"/>
    <n v="23"/>
    <x v="595"/>
    <n v="88899"/>
    <x v="598"/>
  </r>
  <r>
    <n v="20445"/>
    <s v="Low"/>
    <n v="0.04"/>
    <n v="22.84"/>
    <n v="16.87"/>
    <n v="1068"/>
    <s v="Erik Barr"/>
    <s v="Regular Air"/>
    <s v="Home Office"/>
    <x v="0"/>
    <x v="7"/>
    <s v="Small Box"/>
    <s v="Xerox 1982"/>
    <n v="0.39"/>
    <s v="United States"/>
    <x v="2"/>
    <s v="Illinois"/>
    <s v="Calumet City"/>
    <n v="60409"/>
    <x v="44"/>
    <d v="2015-03-16T00:00:00"/>
    <n v="-97.28"/>
    <n v="12"/>
    <x v="596"/>
    <n v="87109"/>
    <x v="599"/>
  </r>
  <r>
    <n v="24737"/>
    <s v="Medium"/>
    <n v="0.02"/>
    <n v="15.94"/>
    <n v="5.45"/>
    <n v="1069"/>
    <s v="Pam Bennett"/>
    <s v="Regular Air"/>
    <s v="Home Office"/>
    <x v="0"/>
    <x v="0"/>
    <s v="Small Pack"/>
    <s v="Boston 16701 Slimline Battery Pencil Sharpener"/>
    <n v="0.55000000000000004"/>
    <s v="United States"/>
    <x v="2"/>
    <s v="Illinois"/>
    <s v="Carbondale"/>
    <n v="62901"/>
    <x v="50"/>
    <d v="2015-05-15T00:00:00"/>
    <n v="139.61199999999999"/>
    <n v="41"/>
    <x v="597"/>
    <n v="87110"/>
    <x v="600"/>
  </r>
  <r>
    <n v="22685"/>
    <s v="Not Specified"/>
    <n v="0.01"/>
    <n v="150.88999999999999"/>
    <n v="60.2"/>
    <n v="1072"/>
    <s v="Marion Owens"/>
    <s v="Delivery Truck"/>
    <s v="Corporate"/>
    <x v="1"/>
    <x v="1"/>
    <s v="Jumbo Drum"/>
    <s v="Global Leather &amp; Oak Executive Chair, Burgundy"/>
    <n v="0.77"/>
    <s v="United States"/>
    <x v="1"/>
    <s v="Pennsylvania"/>
    <s v="Bethlehem"/>
    <n v="18018"/>
    <x v="12"/>
    <d v="2015-03-30T00:00:00"/>
    <n v="-505.76"/>
    <n v="3"/>
    <x v="598"/>
    <n v="89631"/>
    <x v="601"/>
  </r>
  <r>
    <n v="26176"/>
    <s v="High"/>
    <n v="0.04"/>
    <n v="19.23"/>
    <n v="6.15"/>
    <n v="1075"/>
    <s v="Theodore Tyson"/>
    <s v="Regular Air"/>
    <s v="Home Office"/>
    <x v="1"/>
    <x v="2"/>
    <s v="Small Pack"/>
    <s v="Executive Impressions 13&quot; Clairmont Wall Clock"/>
    <n v="0.44"/>
    <s v="United States"/>
    <x v="2"/>
    <s v="Illinois"/>
    <s v="Romeoville"/>
    <n v="60441"/>
    <x v="156"/>
    <d v="2015-03-10T00:00:00"/>
    <n v="152.4348"/>
    <n v="11"/>
    <x v="599"/>
    <n v="86422"/>
    <x v="602"/>
  </r>
  <r>
    <n v="23312"/>
    <s v="Not Specified"/>
    <n v="0.08"/>
    <n v="13.9"/>
    <n v="7.59"/>
    <n v="1080"/>
    <s v="Colleen Fletcher"/>
    <s v="Regular Air"/>
    <s v="Corporate"/>
    <x v="0"/>
    <x v="12"/>
    <s v="Small Pack"/>
    <s v="Acme Hot Forged Carbon Steel Scissors with Nickel-Plated Handles, 3 7/8&quot; Cut, 8&quot;L"/>
    <n v="0.56000000000000005"/>
    <s v="United States"/>
    <x v="2"/>
    <s v="Illinois"/>
    <s v="Saint Charles"/>
    <n v="60174"/>
    <x v="100"/>
    <d v="2015-05-09T00:00:00"/>
    <n v="9.8620000000000001"/>
    <n v="14"/>
    <x v="600"/>
    <n v="88461"/>
    <x v="603"/>
  </r>
  <r>
    <n v="24324"/>
    <s v="Not Specified"/>
    <n v="7.0000000000000007E-2"/>
    <n v="55.99"/>
    <n v="5"/>
    <n v="1083"/>
    <s v="Hazel Dale"/>
    <s v="Express Air"/>
    <s v="Corporate"/>
    <x v="2"/>
    <x v="5"/>
    <s v="Small Pack"/>
    <s v="Accessory36"/>
    <n v="0.83"/>
    <s v="United States"/>
    <x v="2"/>
    <s v="Illinois"/>
    <s v="Springfield"/>
    <n v="62701"/>
    <x v="157"/>
    <d v="2015-04-02T00:00:00"/>
    <n v="-232.99100000000001"/>
    <n v="1"/>
    <x v="601"/>
    <n v="88460"/>
    <x v="604"/>
  </r>
  <r>
    <n v="18047"/>
    <s v="Not Specified"/>
    <n v="0.05"/>
    <n v="7.64"/>
    <n v="5.83"/>
    <n v="1085"/>
    <s v="Ted Dunlap"/>
    <s v="Regular Air"/>
    <s v="Home Office"/>
    <x v="0"/>
    <x v="7"/>
    <s v="Wrap Bag"/>
    <s v="Rediform Wirebound &quot;Phone Memo&quot; Message Book, 11 x 5-3/4"/>
    <n v="0.36"/>
    <s v="United States"/>
    <x v="1"/>
    <s v="New York"/>
    <s v="Deer Park"/>
    <n v="11729"/>
    <x v="99"/>
    <d v="2015-01-06T00:00:00"/>
    <n v="-40.275199999999998"/>
    <n v="6"/>
    <x v="602"/>
    <n v="86122"/>
    <x v="605"/>
  </r>
  <r>
    <n v="25279"/>
    <s v="High"/>
    <n v="0.04"/>
    <n v="9.06"/>
    <n v="9.86"/>
    <n v="1085"/>
    <s v="Ted Dunlap"/>
    <s v="Regular Air"/>
    <s v="Home Office"/>
    <x v="0"/>
    <x v="7"/>
    <s v="Small Box"/>
    <s v="Southworth 25% Cotton Linen-Finish Paper &amp; Envelopes"/>
    <n v="0.4"/>
    <s v="United States"/>
    <x v="1"/>
    <s v="New York"/>
    <s v="Deer Park"/>
    <n v="11729"/>
    <x v="158"/>
    <d v="2015-04-25T00:00:00"/>
    <n v="-53.25"/>
    <n v="3"/>
    <x v="603"/>
    <n v="86123"/>
    <x v="606"/>
  </r>
  <r>
    <n v="23104"/>
    <s v="Not Specified"/>
    <n v="0.06"/>
    <n v="30.42"/>
    <n v="8.65"/>
    <n v="1085"/>
    <s v="Ted Dunlap"/>
    <s v="Regular Air"/>
    <s v="Corporate"/>
    <x v="2"/>
    <x v="13"/>
    <s v="Small Box"/>
    <s v="Fellowes Internet Keyboard, Platinum"/>
    <n v="0.74"/>
    <s v="United States"/>
    <x v="1"/>
    <s v="New York"/>
    <s v="Deer Park"/>
    <n v="11729"/>
    <x v="116"/>
    <d v="2015-05-15T00:00:00"/>
    <n v="-159.25"/>
    <n v="10"/>
    <x v="604"/>
    <n v="86124"/>
    <x v="607"/>
  </r>
  <r>
    <n v="23105"/>
    <s v="Not Specified"/>
    <n v="0.02"/>
    <n v="37.94"/>
    <n v="5.08"/>
    <n v="1085"/>
    <s v="Ted Dunlap"/>
    <s v="Regular Air"/>
    <s v="Corporate"/>
    <x v="0"/>
    <x v="7"/>
    <s v="Wrap Bag"/>
    <s v="Snap-A-Way® Black Print Carbonless Ruled Speed Letter, Triplicate"/>
    <n v="0.38"/>
    <s v="United States"/>
    <x v="1"/>
    <s v="New York"/>
    <s v="Deer Park"/>
    <n v="11729"/>
    <x v="116"/>
    <d v="2015-05-14T00:00:00"/>
    <n v="206.517"/>
    <n v="8"/>
    <x v="605"/>
    <n v="86124"/>
    <x v="608"/>
  </r>
  <r>
    <n v="25280"/>
    <s v="High"/>
    <n v="0.04"/>
    <n v="14.27"/>
    <n v="7.27"/>
    <n v="1086"/>
    <s v="Leon Peele"/>
    <s v="Regular Air"/>
    <s v="Home Office"/>
    <x v="0"/>
    <x v="8"/>
    <s v="Small Box"/>
    <s v="GBC Laser Imprintable Binding System Covers, Desert Sand"/>
    <n v="0.38"/>
    <s v="United States"/>
    <x v="1"/>
    <s v="New York"/>
    <s v="Dix Hills"/>
    <n v="11746"/>
    <x v="158"/>
    <d v="2015-04-25T00:00:00"/>
    <n v="2.125"/>
    <n v="3"/>
    <x v="606"/>
    <n v="86123"/>
    <x v="609"/>
  </r>
  <r>
    <n v="22537"/>
    <s v="Medium"/>
    <n v="0.02"/>
    <n v="15.14"/>
    <n v="4.53"/>
    <n v="1101"/>
    <s v="Kimberly McCarthy"/>
    <s v="Regular Air"/>
    <s v="Small Business"/>
    <x v="0"/>
    <x v="10"/>
    <s v="Small Box"/>
    <s v="Eldon® Gobal File Keepers"/>
    <n v="0.81"/>
    <s v="United States"/>
    <x v="0"/>
    <s v="California"/>
    <s v="Oxnard"/>
    <n v="93030"/>
    <x v="130"/>
    <d v="2015-05-06T00:00:00"/>
    <n v="5.8840000000000003"/>
    <n v="3"/>
    <x v="607"/>
    <n v="91488"/>
    <x v="610"/>
  </r>
  <r>
    <n v="21847"/>
    <s v="Not Specified"/>
    <n v="0.05"/>
    <n v="328.14"/>
    <n v="91.05"/>
    <n v="1103"/>
    <s v="Sidney Bowling"/>
    <s v="Delivery Truck"/>
    <s v="Home Office"/>
    <x v="0"/>
    <x v="15"/>
    <s v="Jumbo Drum"/>
    <s v="Sanyo Counter Height Refrigerator with Crisper, 3.6 Cubic Foot, Stainless Steel/Black"/>
    <n v="0.56999999999999995"/>
    <s v="United States"/>
    <x v="2"/>
    <s v="Nebraska"/>
    <s v="Omaha"/>
    <n v="68046"/>
    <x v="98"/>
    <d v="2015-04-11T00:00:00"/>
    <n v="772.04"/>
    <n v="7"/>
    <x v="608"/>
    <n v="90977"/>
    <x v="611"/>
  </r>
  <r>
    <n v="3847"/>
    <s v="Not Specified"/>
    <n v="0.05"/>
    <n v="328.14"/>
    <n v="91.05"/>
    <n v="1104"/>
    <s v="Timothy Ross"/>
    <s v="Delivery Truck"/>
    <s v="Home Office"/>
    <x v="0"/>
    <x v="15"/>
    <s v="Jumbo Drum"/>
    <s v="Sanyo Counter Height Refrigerator with Crisper, 3.6 Cubic Foot, Stainless Steel/Black"/>
    <n v="0.56999999999999995"/>
    <s v="United States"/>
    <x v="1"/>
    <s v="New York"/>
    <s v="New York City"/>
    <n v="10282"/>
    <x v="98"/>
    <d v="2015-04-11T00:00:00"/>
    <n v="772.04"/>
    <n v="29"/>
    <x v="609"/>
    <n v="27456"/>
    <x v="612"/>
  </r>
  <r>
    <n v="2808"/>
    <s v="Medium"/>
    <n v="0.04"/>
    <n v="6.35"/>
    <n v="1.02"/>
    <n v="1106"/>
    <s v="Maxine Collier Grady"/>
    <s v="Regular Air"/>
    <s v="Small Business"/>
    <x v="0"/>
    <x v="7"/>
    <s v="Wrap Bag"/>
    <s v="Telephone Message Books with Fax/Mobile Section, 5 1/2&quot; x 3 3/16&quot;"/>
    <n v="0.39"/>
    <s v="United States"/>
    <x v="2"/>
    <s v="Texas"/>
    <s v="Dallas"/>
    <n v="75220"/>
    <x v="135"/>
    <d v="2015-05-23T00:00:00"/>
    <n v="81.91"/>
    <n v="52"/>
    <x v="610"/>
    <n v="20261"/>
    <x v="613"/>
  </r>
  <r>
    <n v="106"/>
    <s v="High"/>
    <n v="0.01"/>
    <n v="9.31"/>
    <n v="3.98"/>
    <n v="1106"/>
    <s v="Maxine Collier Grady"/>
    <s v="Regular Air"/>
    <s v="Small Business"/>
    <x v="0"/>
    <x v="12"/>
    <s v="Small Pack"/>
    <s v="Acme® Forged Steel Scissors with Black Enamel Handles"/>
    <n v="0.56000000000000005"/>
    <s v="United States"/>
    <x v="2"/>
    <s v="Texas"/>
    <s v="Dallas"/>
    <n v="75220"/>
    <x v="8"/>
    <d v="2015-05-22T00:00:00"/>
    <n v="-10.9"/>
    <n v="61"/>
    <x v="611"/>
    <n v="646"/>
    <x v="614"/>
  </r>
  <r>
    <n v="6443"/>
    <s v="Not Specified"/>
    <n v="0.08"/>
    <n v="140.81"/>
    <n v="24.49"/>
    <n v="1106"/>
    <s v="Maxine Collier Grady"/>
    <s v="Regular Air"/>
    <s v="Consumer"/>
    <x v="1"/>
    <x v="1"/>
    <s v="Large Box"/>
    <s v="Hon Olson Stacker Stools"/>
    <n v="0.56999999999999995"/>
    <s v="United States"/>
    <x v="2"/>
    <s v="Texas"/>
    <s v="Dallas"/>
    <n v="75220"/>
    <x v="132"/>
    <d v="2015-06-08T00:00:00"/>
    <n v="1232.79"/>
    <n v="81"/>
    <x v="612"/>
    <n v="45824"/>
    <x v="615"/>
  </r>
  <r>
    <n v="18106"/>
    <s v="High"/>
    <n v="0.01"/>
    <n v="9.31"/>
    <n v="3.98"/>
    <n v="1107"/>
    <s v="Joanna Keith"/>
    <s v="Regular Air"/>
    <s v="Small Business"/>
    <x v="0"/>
    <x v="12"/>
    <s v="Small Pack"/>
    <s v="Acme® Forged Steel Scissors with Black Enamel Handles"/>
    <n v="0.56000000000000005"/>
    <s v="United States"/>
    <x v="2"/>
    <s v="Texas"/>
    <s v="Lake Jackson"/>
    <n v="77566"/>
    <x v="8"/>
    <d v="2015-05-22T00:00:00"/>
    <n v="2.1800000000000002"/>
    <n v="15"/>
    <x v="613"/>
    <n v="86411"/>
    <x v="616"/>
  </r>
  <r>
    <n v="20807"/>
    <s v="Medium"/>
    <n v="0.09"/>
    <n v="31.74"/>
    <n v="12.62"/>
    <n v="1108"/>
    <s v="Dwight Bishop"/>
    <s v="Express Air"/>
    <s v="Small Business"/>
    <x v="0"/>
    <x v="8"/>
    <s v="Small Box"/>
    <s v="GBC Wire Binding Strips"/>
    <n v="0.37"/>
    <s v="United States"/>
    <x v="2"/>
    <s v="Texas"/>
    <s v="Lancaster"/>
    <n v="75146"/>
    <x v="135"/>
    <d v="2015-05-20T00:00:00"/>
    <n v="67.107500000000002"/>
    <n v="9"/>
    <x v="614"/>
    <n v="86409"/>
    <x v="617"/>
  </r>
  <r>
    <n v="20808"/>
    <s v="Medium"/>
    <n v="0.04"/>
    <n v="6.35"/>
    <n v="1.02"/>
    <n v="1108"/>
    <s v="Dwight Bishop"/>
    <s v="Regular Air"/>
    <s v="Small Business"/>
    <x v="0"/>
    <x v="7"/>
    <s v="Wrap Bag"/>
    <s v="Telephone Message Books with Fax/Mobile Section, 5 1/2&quot; x 3 3/16&quot;"/>
    <n v="0.39"/>
    <s v="United States"/>
    <x v="2"/>
    <s v="Texas"/>
    <s v="Lancaster"/>
    <n v="75146"/>
    <x v="135"/>
    <d v="2015-05-23T00:00:00"/>
    <n v="54.937800000000003"/>
    <n v="13"/>
    <x v="615"/>
    <n v="86409"/>
    <x v="618"/>
  </r>
  <r>
    <n v="20809"/>
    <s v="Medium"/>
    <n v="0.02"/>
    <n v="65.989999999999995"/>
    <n v="8.99"/>
    <n v="1108"/>
    <s v="Dwight Bishop"/>
    <s v="Express Air"/>
    <s v="Small Business"/>
    <x v="2"/>
    <x v="5"/>
    <s v="Small Box"/>
    <s v="Talkabout T8367"/>
    <n v="0.56000000000000005"/>
    <s v="United States"/>
    <x v="2"/>
    <s v="Texas"/>
    <s v="Lancaster"/>
    <n v="75146"/>
    <x v="135"/>
    <d v="2015-05-21T00:00:00"/>
    <n v="168.23699999999999"/>
    <n v="8"/>
    <x v="616"/>
    <n v="86409"/>
    <x v="619"/>
  </r>
  <r>
    <n v="22480"/>
    <s v="Medium"/>
    <n v="0.08"/>
    <n v="8.3699999999999992"/>
    <n v="10.16"/>
    <n v="1109"/>
    <s v="Dennis Welch"/>
    <s v="Regular Air"/>
    <s v="Consumer"/>
    <x v="1"/>
    <x v="2"/>
    <s v="Large Box"/>
    <s v="Westinghouse Clip-On Gooseneck Lamps"/>
    <n v="0.59"/>
    <s v="United States"/>
    <x v="2"/>
    <s v="Texas"/>
    <s v="Laredo"/>
    <n v="78041"/>
    <x v="159"/>
    <d v="2015-06-29T00:00:00"/>
    <n v="-169.232"/>
    <n v="13"/>
    <x v="617"/>
    <n v="86410"/>
    <x v="620"/>
  </r>
  <r>
    <n v="20176"/>
    <s v="Not Specified"/>
    <n v="0.03"/>
    <n v="300.98"/>
    <n v="54.92"/>
    <n v="1112"/>
    <s v="Luis Kerr"/>
    <s v="Delivery Truck"/>
    <s v="Corporate"/>
    <x v="1"/>
    <x v="14"/>
    <s v="Jumbo Box"/>
    <s v="Atlantic Metals Mobile 5-Shelf Bookcases, Custom Colors"/>
    <n v="0.55000000000000004"/>
    <s v="United States"/>
    <x v="0"/>
    <s v="California"/>
    <s v="Yucaipa"/>
    <n v="92399"/>
    <x v="57"/>
    <d v="2015-04-04T00:00:00"/>
    <n v="1272.5808"/>
    <n v="12"/>
    <x v="618"/>
    <n v="90832"/>
    <x v="621"/>
  </r>
  <r>
    <n v="20177"/>
    <s v="Not Specified"/>
    <n v="0.02"/>
    <n v="2550.14"/>
    <n v="29.7"/>
    <n v="1112"/>
    <s v="Luis Kerr"/>
    <s v="Delivery Truck"/>
    <s v="Corporate"/>
    <x v="2"/>
    <x v="6"/>
    <s v="Jumbo Drum"/>
    <s v="Epson DFX-8500 Dot Matrix Printer"/>
    <n v="0.56999999999999995"/>
    <s v="United States"/>
    <x v="0"/>
    <s v="California"/>
    <s v="Yucaipa"/>
    <n v="92399"/>
    <x v="57"/>
    <d v="2015-04-04T00:00:00"/>
    <n v="-5390.7388920000003"/>
    <n v="2"/>
    <x v="619"/>
    <n v="90832"/>
    <x v="622"/>
  </r>
  <r>
    <n v="26060"/>
    <s v="Critical"/>
    <n v="0.01"/>
    <n v="2.89"/>
    <n v="0.5"/>
    <n v="1113"/>
    <s v="Julia Reynolds"/>
    <s v="Regular Air"/>
    <s v="Corporate"/>
    <x v="0"/>
    <x v="9"/>
    <s v="Small Box"/>
    <s v="Avery 498"/>
    <n v="0.38"/>
    <s v="United States"/>
    <x v="0"/>
    <s v="Colorado"/>
    <s v="Arvada"/>
    <n v="80004"/>
    <x v="34"/>
    <d v="2015-04-07T00:00:00"/>
    <n v="29.725200000000001"/>
    <n v="14"/>
    <x v="173"/>
    <n v="90833"/>
    <x v="623"/>
  </r>
  <r>
    <n v="26061"/>
    <s v="Critical"/>
    <n v="0"/>
    <n v="55.99"/>
    <n v="5"/>
    <n v="1113"/>
    <s v="Julia Reynolds"/>
    <s v="Regular Air"/>
    <s v="Corporate"/>
    <x v="2"/>
    <x v="5"/>
    <s v="Small Pack"/>
    <s v="Accessory6"/>
    <n v="0.8"/>
    <s v="United States"/>
    <x v="0"/>
    <s v="Colorado"/>
    <s v="Arvada"/>
    <n v="80004"/>
    <x v="34"/>
    <d v="2015-04-08T00:00:00"/>
    <n v="-187.11"/>
    <n v="5"/>
    <x v="620"/>
    <n v="90833"/>
    <x v="624"/>
  </r>
  <r>
    <n v="21579"/>
    <s v="Not Specified"/>
    <n v="0.06"/>
    <n v="64.650000000000006"/>
    <n v="35"/>
    <n v="1117"/>
    <s v="Samantha Koch"/>
    <s v="Regular Air"/>
    <s v="Home Office"/>
    <x v="0"/>
    <x v="10"/>
    <s v="Large Box"/>
    <s v="Space Solutions Commercial Steel Shelving"/>
    <n v="0.8"/>
    <s v="United States"/>
    <x v="0"/>
    <s v="Arizona"/>
    <s v="Tucson"/>
    <n v="85705"/>
    <x v="64"/>
    <d v="2015-02-06T00:00:00"/>
    <n v="-139.28720000000001"/>
    <n v="4"/>
    <x v="621"/>
    <n v="86768"/>
    <x v="625"/>
  </r>
  <r>
    <n v="21329"/>
    <s v="Low"/>
    <n v="0.04"/>
    <n v="19.98"/>
    <n v="8.68"/>
    <n v="1121"/>
    <s v="Tonya Proctor"/>
    <s v="Regular Air"/>
    <s v="Consumer"/>
    <x v="0"/>
    <x v="7"/>
    <s v="Small Box"/>
    <s v="Southworth 25% Cotton Premium Laser Paper and Envelopes"/>
    <n v="0.37"/>
    <s v="United States"/>
    <x v="0"/>
    <s v="California"/>
    <s v="Temecula"/>
    <n v="92592"/>
    <x v="131"/>
    <d v="2015-02-14T00:00:00"/>
    <n v="108"/>
    <n v="8"/>
    <x v="622"/>
    <n v="86767"/>
    <x v="626"/>
  </r>
  <r>
    <n v="21330"/>
    <s v="Low"/>
    <n v="0.08"/>
    <n v="125.99"/>
    <n v="7.69"/>
    <n v="1121"/>
    <s v="Tonya Proctor"/>
    <s v="Regular Air"/>
    <s v="Consumer"/>
    <x v="2"/>
    <x v="5"/>
    <s v="Small Box"/>
    <s v="Timeport L7089"/>
    <n v="0.57999999999999996"/>
    <s v="United States"/>
    <x v="0"/>
    <s v="California"/>
    <s v="Temecula"/>
    <n v="92592"/>
    <x v="131"/>
    <d v="2015-02-09T00:00:00"/>
    <n v="377.154"/>
    <n v="7"/>
    <x v="623"/>
    <n v="86767"/>
    <x v="627"/>
  </r>
  <r>
    <n v="20612"/>
    <s v="High"/>
    <n v="0.03"/>
    <n v="7.3"/>
    <n v="7.72"/>
    <n v="1123"/>
    <s v="Peggy Lanier"/>
    <s v="Regular Air"/>
    <s v="Small Business"/>
    <x v="0"/>
    <x v="8"/>
    <s v="Small Box"/>
    <s v="Angle-D Binders with Locking Rings, Label Holders"/>
    <n v="0.38"/>
    <s v="United States"/>
    <x v="0"/>
    <s v="California"/>
    <s v="Roseville"/>
    <n v="95661"/>
    <x v="24"/>
    <d v="2015-03-18T00:00:00"/>
    <n v="-127.05200000000001"/>
    <n v="14"/>
    <x v="624"/>
    <n v="87015"/>
    <x v="628"/>
  </r>
  <r>
    <n v="18212"/>
    <s v="High"/>
    <n v="0.09"/>
    <n v="175.99"/>
    <n v="4.99"/>
    <n v="1123"/>
    <s v="Peggy Lanier"/>
    <s v="Regular Air"/>
    <s v="Small Business"/>
    <x v="2"/>
    <x v="5"/>
    <s v="Small Box"/>
    <n v="5165"/>
    <n v="0.59"/>
    <s v="United States"/>
    <x v="0"/>
    <s v="California"/>
    <s v="Roseville"/>
    <n v="95661"/>
    <x v="105"/>
    <d v="2015-06-22T00:00:00"/>
    <n v="2169.7464"/>
    <n v="22"/>
    <x v="625"/>
    <n v="87016"/>
    <x v="629"/>
  </r>
  <r>
    <n v="18211"/>
    <s v="High"/>
    <n v="0.09"/>
    <n v="160.97999999999999"/>
    <n v="35.020000000000003"/>
    <n v="1124"/>
    <s v="Randy Jiang"/>
    <s v="Delivery Truck"/>
    <s v="Small Business"/>
    <x v="1"/>
    <x v="14"/>
    <s v="Jumbo Box"/>
    <s v="Rush Hierlooms Collection Rich Wood Bookcases"/>
    <n v="0.72"/>
    <s v="United States"/>
    <x v="1"/>
    <s v="Connecticut"/>
    <s v="Norwich"/>
    <n v="6360"/>
    <x v="105"/>
    <d v="2015-06-21T00:00:00"/>
    <n v="-229.93"/>
    <n v="18"/>
    <x v="626"/>
    <n v="87016"/>
    <x v="630"/>
  </r>
  <r>
    <n v="22052"/>
    <s v="Medium"/>
    <n v="0.02"/>
    <n v="4.0599999999999996"/>
    <n v="6.89"/>
    <n v="1127"/>
    <s v="Ray Grady"/>
    <s v="Regular Air"/>
    <s v="Consumer"/>
    <x v="0"/>
    <x v="15"/>
    <s v="Small Box"/>
    <s v="Eureka Disposable Bags for Sanitaire® Vibra Groomer I® Upright Vac"/>
    <n v="0.6"/>
    <s v="United States"/>
    <x v="2"/>
    <s v="Texas"/>
    <s v="Eagle Pass"/>
    <n v="78852"/>
    <x v="152"/>
    <d v="2015-02-26T00:00:00"/>
    <n v="-93.735200000000006"/>
    <n v="16"/>
    <x v="627"/>
    <n v="87221"/>
    <x v="631"/>
  </r>
  <r>
    <n v="26377"/>
    <s v="Low"/>
    <n v="0.04"/>
    <n v="4.71"/>
    <n v="0.7"/>
    <n v="1127"/>
    <s v="Ray Grady"/>
    <s v="Regular Air"/>
    <s v="Consumer"/>
    <x v="0"/>
    <x v="3"/>
    <s v="Wrap Bag"/>
    <s v="Plymouth Boxed Rubber Bands by Plymouth"/>
    <n v="0.8"/>
    <s v="United States"/>
    <x v="2"/>
    <s v="Texas"/>
    <s v="Eagle Pass"/>
    <n v="78852"/>
    <x v="33"/>
    <d v="2015-06-26T00:00:00"/>
    <n v="4.53"/>
    <n v="19"/>
    <x v="628"/>
    <n v="87222"/>
    <x v="632"/>
  </r>
  <r>
    <n v="26378"/>
    <s v="Low"/>
    <n v="0.06"/>
    <n v="4.2"/>
    <n v="2.2599999999999998"/>
    <n v="1128"/>
    <s v="Kurt O'Connor"/>
    <s v="Regular Air"/>
    <s v="Consumer"/>
    <x v="0"/>
    <x v="7"/>
    <s v="Wrap Bag"/>
    <s v="Important Message Pads, 50 4-1/4 x 5-1/2 Forms per Pad"/>
    <n v="0.36"/>
    <s v="United States"/>
    <x v="2"/>
    <s v="Texas"/>
    <s v="Edinburg"/>
    <n v="78539"/>
    <x v="33"/>
    <d v="2015-06-27T00:00:00"/>
    <n v="9.7799999999999994"/>
    <n v="13"/>
    <x v="629"/>
    <n v="87222"/>
    <x v="633"/>
  </r>
  <r>
    <n v="4501"/>
    <s v="Low"/>
    <n v="0.04"/>
    <n v="8.6"/>
    <n v="6.19"/>
    <n v="1129"/>
    <s v="Pam Patton"/>
    <s v="Regular Air"/>
    <s v="Home Office"/>
    <x v="0"/>
    <x v="8"/>
    <s v="Small Box"/>
    <s v="Avery Printable Repositionable Plastic Tabs"/>
    <n v="0.38"/>
    <s v="United States"/>
    <x v="1"/>
    <s v="Massachusetts"/>
    <s v="Boston"/>
    <n v="2118"/>
    <x v="160"/>
    <d v="2015-02-23T00:00:00"/>
    <n v="-63.813499999999998"/>
    <n v="37"/>
    <x v="630"/>
    <n v="32037"/>
    <x v="634"/>
  </r>
  <r>
    <n v="4502"/>
    <s v="Low"/>
    <n v="7.0000000000000007E-2"/>
    <n v="699.99"/>
    <n v="24.49"/>
    <n v="1129"/>
    <s v="Pam Patton"/>
    <s v="Regular Air"/>
    <s v="Home Office"/>
    <x v="2"/>
    <x v="16"/>
    <s v="Large Box"/>
    <s v="Canon Imageclass D680 Copier / Fax"/>
    <n v="0.54"/>
    <s v="United States"/>
    <x v="1"/>
    <s v="Massachusetts"/>
    <s v="Boston"/>
    <n v="2118"/>
    <x v="160"/>
    <d v="2015-02-20T00:00:00"/>
    <n v="325.29000000000002"/>
    <n v="15"/>
    <x v="631"/>
    <n v="32037"/>
    <x v="635"/>
  </r>
  <r>
    <n v="6891"/>
    <s v="Not Specified"/>
    <n v="0.05"/>
    <n v="5.78"/>
    <n v="7.64"/>
    <n v="1129"/>
    <s v="Pam Patton"/>
    <s v="Express Air"/>
    <s v="Corporate"/>
    <x v="0"/>
    <x v="7"/>
    <s v="Small Box"/>
    <s v="HP Office Recycled Paper (20Lb. and 87 Bright)"/>
    <n v="0.36"/>
    <s v="United States"/>
    <x v="1"/>
    <s v="Massachusetts"/>
    <s v="Boston"/>
    <n v="2118"/>
    <x v="48"/>
    <d v="2015-03-31T00:00:00"/>
    <n v="-116.05"/>
    <n v="29"/>
    <x v="632"/>
    <n v="49125"/>
    <x v="636"/>
  </r>
  <r>
    <n v="1917"/>
    <s v="Medium"/>
    <n v="0.02"/>
    <n v="7.64"/>
    <n v="1.39"/>
    <n v="1129"/>
    <s v="Pam Patton"/>
    <s v="Regular Air"/>
    <s v="Home Office"/>
    <x v="0"/>
    <x v="4"/>
    <s v="Small Box"/>
    <s v="#10- 4 1/8&quot; x 9 1/2&quot; Security-Tint Envelopes"/>
    <n v="0.36"/>
    <s v="United States"/>
    <x v="1"/>
    <s v="Massachusetts"/>
    <s v="Boston"/>
    <n v="2118"/>
    <x v="8"/>
    <d v="2015-05-23T00:00:00"/>
    <n v="117.38"/>
    <n v="52"/>
    <x v="633"/>
    <n v="13735"/>
    <x v="637"/>
  </r>
  <r>
    <n v="5568"/>
    <s v="Low"/>
    <n v="0.03"/>
    <n v="30.98"/>
    <n v="6.5"/>
    <n v="1129"/>
    <s v="Pam Patton"/>
    <s v="Regular Air"/>
    <s v="Corporate"/>
    <x v="2"/>
    <x v="13"/>
    <s v="Small Box"/>
    <s v="Logitech Internet Navigator Keyboard"/>
    <n v="0.79"/>
    <s v="United States"/>
    <x v="1"/>
    <s v="Massachusetts"/>
    <s v="Boston"/>
    <n v="2118"/>
    <x v="1"/>
    <d v="2015-06-17T00:00:00"/>
    <n v="-144.19999999999999"/>
    <n v="44"/>
    <x v="634"/>
    <n v="39430"/>
    <x v="638"/>
  </r>
  <r>
    <n v="8099"/>
    <s v="Low"/>
    <n v="0.02"/>
    <n v="4.9800000000000004"/>
    <n v="6.07"/>
    <n v="1129"/>
    <s v="Pam Patton"/>
    <s v="Regular Air"/>
    <s v="Home Office"/>
    <x v="0"/>
    <x v="7"/>
    <s v="Small Box"/>
    <s v="Xerox 1897"/>
    <n v="0.36"/>
    <s v="United States"/>
    <x v="1"/>
    <s v="Massachusetts"/>
    <s v="Boston"/>
    <n v="2118"/>
    <x v="161"/>
    <d v="2015-01-28T00:00:00"/>
    <n v="-46.92"/>
    <n v="19"/>
    <x v="635"/>
    <n v="57794"/>
    <x v="639"/>
  </r>
  <r>
    <n v="19917"/>
    <s v="Medium"/>
    <n v="0.02"/>
    <n v="7.64"/>
    <n v="1.39"/>
    <n v="1131"/>
    <s v="Benjamin Strauss"/>
    <s v="Regular Air"/>
    <s v="Home Office"/>
    <x v="0"/>
    <x v="4"/>
    <s v="Small Box"/>
    <s v="#10- 4 1/8&quot; x 9 1/2&quot; Security-Tint Envelopes"/>
    <n v="0.36"/>
    <s v="United States"/>
    <x v="2"/>
    <s v="Texas"/>
    <s v="El Paso"/>
    <n v="79907"/>
    <x v="8"/>
    <d v="2015-05-23T00:00:00"/>
    <n v="70.193700000000007"/>
    <n v="13"/>
    <x v="636"/>
    <n v="88103"/>
    <x v="640"/>
  </r>
  <r>
    <n v="23860"/>
    <s v="Medium"/>
    <n v="0.06"/>
    <n v="6.37"/>
    <n v="5.19"/>
    <n v="1132"/>
    <s v="Michael Robbins"/>
    <s v="Regular Air"/>
    <s v="Corporate"/>
    <x v="0"/>
    <x v="8"/>
    <s v="Small Box"/>
    <s v="C-Line Peel &amp; Stick Add-On Filing Pockets, 8-3/4 x 5-1/8, 10/Pack"/>
    <n v="0.38"/>
    <s v="United States"/>
    <x v="2"/>
    <s v="Texas"/>
    <s v="Euless"/>
    <n v="76039"/>
    <x v="104"/>
    <d v="2015-02-11T00:00:00"/>
    <n v="-48.219499999999996"/>
    <n v="6"/>
    <x v="637"/>
    <n v="88101"/>
    <x v="641"/>
  </r>
  <r>
    <n v="22501"/>
    <s v="Low"/>
    <n v="0.04"/>
    <n v="8.6"/>
    <n v="6.19"/>
    <n v="1132"/>
    <s v="Michael Robbins"/>
    <s v="Regular Air"/>
    <s v="Home Office"/>
    <x v="0"/>
    <x v="8"/>
    <s v="Small Box"/>
    <s v="Avery Printable Repositionable Plastic Tabs"/>
    <n v="0.38"/>
    <s v="United States"/>
    <x v="2"/>
    <s v="Texas"/>
    <s v="Euless"/>
    <n v="76039"/>
    <x v="160"/>
    <d v="2015-02-23T00:00:00"/>
    <n v="-63.813499999999998"/>
    <n v="9"/>
    <x v="638"/>
    <n v="88102"/>
    <x v="642"/>
  </r>
  <r>
    <n v="22502"/>
    <s v="Low"/>
    <n v="7.0000000000000007E-2"/>
    <n v="699.99"/>
    <n v="24.49"/>
    <n v="1132"/>
    <s v="Michael Robbins"/>
    <s v="Regular Air"/>
    <s v="Home Office"/>
    <x v="2"/>
    <x v="16"/>
    <s v="Large Box"/>
    <s v="Canon Imageclass D680 Copier / Fax"/>
    <n v="0.54"/>
    <s v="United States"/>
    <x v="2"/>
    <s v="Texas"/>
    <s v="Euless"/>
    <n v="76039"/>
    <x v="160"/>
    <d v="2015-02-20T00:00:00"/>
    <n v="325.29000000000002"/>
    <n v="4"/>
    <x v="639"/>
    <n v="88102"/>
    <x v="643"/>
  </r>
  <r>
    <n v="23568"/>
    <s v="Low"/>
    <n v="0.03"/>
    <n v="30.98"/>
    <n v="6.5"/>
    <n v="1132"/>
    <s v="Michael Robbins"/>
    <s v="Regular Air"/>
    <s v="Corporate"/>
    <x v="2"/>
    <x v="13"/>
    <s v="Small Box"/>
    <s v="Logitech Internet Navigator Keyboard"/>
    <n v="0.79"/>
    <s v="United States"/>
    <x v="2"/>
    <s v="Texas"/>
    <s v="Euless"/>
    <n v="76039"/>
    <x v="1"/>
    <d v="2015-06-17T00:00:00"/>
    <n v="-115.36"/>
    <n v="11"/>
    <x v="640"/>
    <n v="88104"/>
    <x v="644"/>
  </r>
  <r>
    <n v="26099"/>
    <s v="Low"/>
    <n v="0.02"/>
    <n v="4.9800000000000004"/>
    <n v="6.07"/>
    <n v="1133"/>
    <s v="Marjorie Owens"/>
    <s v="Regular Air"/>
    <s v="Home Office"/>
    <x v="0"/>
    <x v="7"/>
    <s v="Small Box"/>
    <s v="Xerox 1897"/>
    <n v="0.36"/>
    <s v="United States"/>
    <x v="2"/>
    <s v="Texas"/>
    <s v="Farmers Branch"/>
    <n v="75234"/>
    <x v="161"/>
    <d v="2015-01-28T00:00:00"/>
    <n v="-46.92"/>
    <n v="5"/>
    <x v="641"/>
    <n v="88105"/>
    <x v="645"/>
  </r>
  <r>
    <n v="22119"/>
    <s v="High"/>
    <n v="0.09"/>
    <n v="270.97000000000003"/>
    <n v="28.06"/>
    <n v="1136"/>
    <s v="Carmen McPherson"/>
    <s v="Delivery Truck"/>
    <s v="Consumer"/>
    <x v="2"/>
    <x v="6"/>
    <s v="Jumbo Drum"/>
    <s v="Epson LQ-570e Dot Matrix Printer"/>
    <n v="0.56000000000000005"/>
    <s v="United States"/>
    <x v="2"/>
    <s v="Illinois"/>
    <s v="Carol Stream"/>
    <n v="60188"/>
    <x v="22"/>
    <d v="2015-01-04T00:00:00"/>
    <n v="2660.1432"/>
    <n v="15"/>
    <x v="642"/>
    <n v="87940"/>
    <x v="646"/>
  </r>
  <r>
    <n v="19357"/>
    <s v="Medium"/>
    <n v="0.02"/>
    <n v="160.97999999999999"/>
    <n v="30"/>
    <n v="1138"/>
    <s v="Malcolm Floyd"/>
    <s v="Delivery Truck"/>
    <s v="Home Office"/>
    <x v="1"/>
    <x v="1"/>
    <s v="Jumbo Drum"/>
    <s v="Office Star - Mid Back Dual function Ergonomic High Back Chair with 2-Way Adjustable Arms"/>
    <n v="0.62"/>
    <s v="United States"/>
    <x v="2"/>
    <s v="Texas"/>
    <s v="The Colony"/>
    <n v="75056"/>
    <x v="160"/>
    <d v="2015-02-19T00:00:00"/>
    <n v="-51.116"/>
    <n v="1"/>
    <x v="643"/>
    <n v="86574"/>
    <x v="647"/>
  </r>
  <r>
    <n v="25467"/>
    <s v="Medium"/>
    <n v="0.05"/>
    <n v="363.25"/>
    <n v="19.989999999999998"/>
    <n v="1142"/>
    <s v="Russell Chan"/>
    <s v="Regular Air"/>
    <s v="Home Office"/>
    <x v="0"/>
    <x v="15"/>
    <s v="Small Box"/>
    <s v="Hoover WindTunnel™ Plus Canister Vacuum"/>
    <n v="0.56999999999999995"/>
    <s v="United States"/>
    <x v="2"/>
    <s v="Texas"/>
    <s v="Waco"/>
    <n v="76706"/>
    <x v="148"/>
    <d v="2015-01-06T00:00:00"/>
    <n v="1766.7795000000001"/>
    <n v="7"/>
    <x v="644"/>
    <n v="86573"/>
    <x v="648"/>
  </r>
  <r>
    <n v="24539"/>
    <s v="Medium"/>
    <n v="0.01"/>
    <n v="18.97"/>
    <n v="9.5399999999999991"/>
    <n v="1142"/>
    <s v="Russell Chan"/>
    <s v="Regular Air"/>
    <s v="Home Office"/>
    <x v="0"/>
    <x v="7"/>
    <s v="Small Box"/>
    <s v="Xerox 1939"/>
    <n v="0.37"/>
    <s v="United States"/>
    <x v="2"/>
    <s v="Texas"/>
    <s v="Waco"/>
    <n v="76706"/>
    <x v="132"/>
    <d v="2015-06-09T00:00:00"/>
    <n v="85.875"/>
    <n v="11"/>
    <x v="645"/>
    <n v="86575"/>
    <x v="649"/>
  </r>
  <r>
    <n v="25179"/>
    <s v="Low"/>
    <n v="0.05"/>
    <n v="7.59"/>
    <n v="4"/>
    <n v="1151"/>
    <s v="Edna Huang"/>
    <s v="Regular Air"/>
    <s v="Corporate"/>
    <x v="1"/>
    <x v="2"/>
    <s v="Wrap Bag"/>
    <s v="Master Giant Foot® Doorstop, Safety Yellow"/>
    <n v="0.42"/>
    <s v="United States"/>
    <x v="1"/>
    <s v="Massachusetts"/>
    <s v="South Hadley"/>
    <n v="1075"/>
    <x v="62"/>
    <d v="2015-06-09T00:00:00"/>
    <n v="6.0926999999999998"/>
    <n v="1"/>
    <x v="646"/>
    <n v="91344"/>
    <x v="650"/>
  </r>
  <r>
    <n v="24224"/>
    <s v="Critical"/>
    <n v="0.09"/>
    <n v="9.11"/>
    <n v="2.15"/>
    <n v="1155"/>
    <s v="Alex Nicholson"/>
    <s v="Express Air"/>
    <s v="Consumer"/>
    <x v="0"/>
    <x v="7"/>
    <s v="Wrap Bag"/>
    <s v="Black Print Carbonless Snap-Off® Rapid Letter, 8 1/2&quot; x 7&quot;"/>
    <n v="0.4"/>
    <s v="United States"/>
    <x v="0"/>
    <s v="California"/>
    <s v="Montebello"/>
    <n v="90640"/>
    <x v="22"/>
    <d v="2015-01-04T00:00:00"/>
    <n v="20.299600000000002"/>
    <n v="4"/>
    <x v="647"/>
    <n v="90853"/>
    <x v="651"/>
  </r>
  <r>
    <n v="24225"/>
    <s v="Critical"/>
    <n v="0.08"/>
    <n v="15.04"/>
    <n v="1.97"/>
    <n v="1155"/>
    <s v="Alex Nicholson"/>
    <s v="Regular Air"/>
    <s v="Consumer"/>
    <x v="0"/>
    <x v="7"/>
    <s v="Wrap Bag"/>
    <s v="White GlueTop Scratch Pads"/>
    <n v="0.39"/>
    <s v="United States"/>
    <x v="0"/>
    <s v="California"/>
    <s v="Montebello"/>
    <n v="90640"/>
    <x v="22"/>
    <d v="2015-01-02T00:00:00"/>
    <n v="108.5163"/>
    <n v="11"/>
    <x v="648"/>
    <n v="90853"/>
    <x v="652"/>
  </r>
  <r>
    <n v="20212"/>
    <s v="High"/>
    <n v="0.06"/>
    <n v="175.99"/>
    <n v="8.99"/>
    <n v="1156"/>
    <s v="Edith Forbes"/>
    <s v="Regular Air"/>
    <s v="Consumer"/>
    <x v="2"/>
    <x v="5"/>
    <s v="Small Box"/>
    <n v="2180"/>
    <n v="0.56999999999999995"/>
    <s v="United States"/>
    <x v="1"/>
    <s v="Massachusetts"/>
    <s v="Tewksbury"/>
    <n v="1876"/>
    <x v="79"/>
    <d v="2015-02-15T00:00:00"/>
    <n v="48.47148"/>
    <n v="7"/>
    <x v="649"/>
    <n v="90855"/>
    <x v="653"/>
  </r>
  <r>
    <n v="20897"/>
    <s v="High"/>
    <n v="0.04"/>
    <n v="100.98"/>
    <n v="35.840000000000003"/>
    <n v="1159"/>
    <s v="Arlene Weeks"/>
    <s v="Delivery Truck"/>
    <s v="Consumer"/>
    <x v="1"/>
    <x v="14"/>
    <s v="Jumbo Box"/>
    <s v="Bush Westfield Collection Bookcases, Fully Assembled"/>
    <n v="0.62"/>
    <s v="United States"/>
    <x v="1"/>
    <s v="New Jersey"/>
    <s v="Union City"/>
    <n v="7086"/>
    <x v="135"/>
    <d v="2015-05-21T00:00:00"/>
    <n v="-152.76"/>
    <n v="1"/>
    <x v="650"/>
    <n v="90854"/>
    <x v="654"/>
  </r>
  <r>
    <n v="18860"/>
    <s v="Not Specified"/>
    <n v="0.09"/>
    <n v="9.7799999999999994"/>
    <n v="1.39"/>
    <n v="1170"/>
    <s v="Jessie Houston"/>
    <s v="Regular Air"/>
    <s v="Consumer"/>
    <x v="0"/>
    <x v="4"/>
    <s v="Small Box"/>
    <s v="Staples #10 Laser &amp; Inkjet Envelopes, 4 1/8&quot; x 9 1/2&quot;, 100/Box"/>
    <n v="0.39"/>
    <s v="United States"/>
    <x v="1"/>
    <s v="Delaware"/>
    <s v="Newark"/>
    <n v="19711"/>
    <x v="42"/>
    <d v="2015-06-03T00:00:00"/>
    <n v="125.20740000000001"/>
    <n v="19"/>
    <x v="651"/>
    <n v="87520"/>
    <x v="655"/>
  </r>
  <r>
    <n v="18861"/>
    <s v="Not Specified"/>
    <n v="0"/>
    <n v="200.99"/>
    <n v="8.08"/>
    <n v="1170"/>
    <s v="Jessie Houston"/>
    <s v="Regular Air"/>
    <s v="Consumer"/>
    <x v="2"/>
    <x v="5"/>
    <s v="Small Box"/>
    <n v="5125"/>
    <n v="0.59"/>
    <s v="United States"/>
    <x v="1"/>
    <s v="Delaware"/>
    <s v="Newark"/>
    <n v="19711"/>
    <x v="42"/>
    <d v="2015-06-04T00:00:00"/>
    <n v="281.53440000000001"/>
    <n v="6"/>
    <x v="652"/>
    <n v="87520"/>
    <x v="656"/>
  </r>
  <r>
    <n v="19182"/>
    <s v="High"/>
    <n v="0.03"/>
    <n v="4.4800000000000004"/>
    <n v="49"/>
    <n v="1178"/>
    <s v="Sandy Hunt"/>
    <s v="Regular Air"/>
    <s v="Consumer"/>
    <x v="0"/>
    <x v="15"/>
    <s v="Large Box"/>
    <s v="Hoover Portapower™ Portable Vacuum"/>
    <n v="0.6"/>
    <s v="United States"/>
    <x v="3"/>
    <s v="Florida"/>
    <s v="Altamonte Springs"/>
    <n v="32701"/>
    <x v="37"/>
    <d v="2015-04-11T00:00:00"/>
    <n v="64.266000000000005"/>
    <n v="2"/>
    <x v="653"/>
    <n v="89787"/>
    <x v="657"/>
  </r>
  <r>
    <n v="19183"/>
    <s v="High"/>
    <n v="0.06"/>
    <n v="350.99"/>
    <n v="39"/>
    <n v="1178"/>
    <s v="Sandy Hunt"/>
    <s v="Delivery Truck"/>
    <s v="Consumer"/>
    <x v="1"/>
    <x v="1"/>
    <s v="Jumbo Drum"/>
    <s v="Global Leather Executive Chair"/>
    <n v="0.55000000000000004"/>
    <s v="United States"/>
    <x v="3"/>
    <s v="Florida"/>
    <s v="Altamonte Springs"/>
    <n v="32701"/>
    <x v="37"/>
    <d v="2015-04-11T00:00:00"/>
    <n v="-302.61559999999997"/>
    <n v="10"/>
    <x v="654"/>
    <n v="89787"/>
    <x v="658"/>
  </r>
  <r>
    <n v="19184"/>
    <s v="High"/>
    <n v="0.09"/>
    <n v="40.98"/>
    <n v="6.5"/>
    <n v="1178"/>
    <s v="Sandy Hunt"/>
    <s v="Express Air"/>
    <s v="Consumer"/>
    <x v="2"/>
    <x v="13"/>
    <s v="Small Box"/>
    <s v="Targus USB Numeric Keypad"/>
    <n v="0.74"/>
    <s v="United States"/>
    <x v="3"/>
    <s v="Florida"/>
    <s v="Altamonte Springs"/>
    <n v="32701"/>
    <x v="37"/>
    <d v="2015-04-11T00:00:00"/>
    <n v="5.6916000000000002"/>
    <n v="7"/>
    <x v="655"/>
    <n v="89787"/>
    <x v="659"/>
  </r>
  <r>
    <n v="19185"/>
    <s v="High"/>
    <n v="0.09"/>
    <n v="349.45"/>
    <n v="60"/>
    <n v="1178"/>
    <s v="Sandy Hunt"/>
    <s v="Delivery Truck"/>
    <s v="Consumer"/>
    <x v="1"/>
    <x v="11"/>
    <s v="Jumbo Drum"/>
    <s v="SAFCO PlanMaster Heigh-Adjustable Drafting Table Base, 43w x 30d x 30-37h, Black"/>
    <m/>
    <s v="United States"/>
    <x v="3"/>
    <s v="Florida"/>
    <s v="Altamonte Springs"/>
    <n v="32701"/>
    <x v="37"/>
    <d v="2015-04-10T00:00:00"/>
    <n v="-369.11"/>
    <n v="7"/>
    <x v="656"/>
    <n v="89787"/>
    <x v="660"/>
  </r>
  <r>
    <n v="19484"/>
    <s v="High"/>
    <n v="7.0000000000000007E-2"/>
    <n v="2.61"/>
    <n v="0.5"/>
    <n v="1182"/>
    <s v="Jesse Williamson"/>
    <s v="Regular Air"/>
    <s v="Home Office"/>
    <x v="0"/>
    <x v="9"/>
    <s v="Small Box"/>
    <s v="Avery 494"/>
    <n v="0.39"/>
    <s v="United States"/>
    <x v="0"/>
    <s v="Utah"/>
    <s v="Spanish Fork"/>
    <n v="84660"/>
    <x v="94"/>
    <d v="2015-05-23T00:00:00"/>
    <n v="27.013500000000001"/>
    <n v="15"/>
    <x v="657"/>
    <n v="86913"/>
    <x v="661"/>
  </r>
  <r>
    <n v="21522"/>
    <s v="Not Specified"/>
    <n v="0.04"/>
    <n v="35.99"/>
    <n v="3.3"/>
    <n v="1183"/>
    <s v="Becky O'Brien"/>
    <s v="Regular Air"/>
    <s v="Home Office"/>
    <x v="2"/>
    <x v="5"/>
    <s v="Small Pack"/>
    <s v="Accessory9"/>
    <n v="0.39"/>
    <s v="United States"/>
    <x v="0"/>
    <s v="Utah"/>
    <s v="Springville"/>
    <n v="84663"/>
    <x v="159"/>
    <d v="2015-06-29T00:00:00"/>
    <n v="184.19550000000001"/>
    <n v="9"/>
    <x v="658"/>
    <n v="86914"/>
    <x v="662"/>
  </r>
  <r>
    <n v="22190"/>
    <s v="Medium"/>
    <n v="0"/>
    <n v="6783.02"/>
    <n v="24.49"/>
    <n v="1185"/>
    <s v="Lee Xu"/>
    <s v="Regular Air"/>
    <s v="Consumer"/>
    <x v="2"/>
    <x v="6"/>
    <s v="Large Box"/>
    <s v="Polycom ViewStation™ ISDN Videoconferencing Unit"/>
    <n v="0.39"/>
    <s v="United States"/>
    <x v="3"/>
    <s v="Alabama"/>
    <s v="Madison"/>
    <n v="35756"/>
    <x v="68"/>
    <d v="2015-03-22T00:00:00"/>
    <n v="4.1100000000000003"/>
    <n v="3"/>
    <x v="659"/>
    <n v="85938"/>
    <x v="663"/>
  </r>
  <r>
    <n v="20764"/>
    <s v="Not Specified"/>
    <n v="0.08"/>
    <n v="11.7"/>
    <n v="6.96"/>
    <n v="1185"/>
    <s v="Lee Xu"/>
    <s v="Regular Air"/>
    <s v="Consumer"/>
    <x v="0"/>
    <x v="15"/>
    <s v="Medium Box"/>
    <s v="Harmony HEPA Quiet Air Purifiers"/>
    <n v="0.5"/>
    <s v="United States"/>
    <x v="3"/>
    <s v="Alabama"/>
    <s v="Madison"/>
    <n v="35756"/>
    <x v="98"/>
    <d v="2015-04-13T00:00:00"/>
    <n v="28.565999999999999"/>
    <n v="8"/>
    <x v="660"/>
    <n v="85940"/>
    <x v="664"/>
  </r>
  <r>
    <n v="24358"/>
    <s v="Critical"/>
    <n v="7.0000000000000007E-2"/>
    <n v="400.97"/>
    <n v="48.26"/>
    <n v="1186"/>
    <s v="Glenda Herbert"/>
    <s v="Delivery Truck"/>
    <s v="Consumer"/>
    <x v="2"/>
    <x v="6"/>
    <s v="Jumbo Box"/>
    <s v="Hewlett-Packard Deskjet 1220Cse Color Inkjet Printer"/>
    <n v="0.36"/>
    <s v="United States"/>
    <x v="0"/>
    <s v="California"/>
    <s v="Huntington Beach"/>
    <n v="92646"/>
    <x v="37"/>
    <d v="2015-04-10T00:00:00"/>
    <n v="2581.5590999999999"/>
    <n v="10"/>
    <x v="661"/>
    <n v="85939"/>
    <x v="665"/>
  </r>
  <r>
    <n v="18829"/>
    <s v="Low"/>
    <n v="0.06"/>
    <n v="10.89"/>
    <n v="4.5"/>
    <n v="1189"/>
    <s v="Dwight Stephenson"/>
    <s v="Regular Air"/>
    <s v="Consumer"/>
    <x v="0"/>
    <x v="15"/>
    <s v="Small Box"/>
    <s v="Belkin 6 Outlet Metallic Surge Strip"/>
    <n v="0.59"/>
    <s v="United States"/>
    <x v="0"/>
    <s v="California"/>
    <s v="Huntington Beach"/>
    <n v="92646"/>
    <x v="77"/>
    <d v="2015-06-22T00:00:00"/>
    <n v="-25.111999999999998"/>
    <n v="14"/>
    <x v="662"/>
    <n v="87584"/>
    <x v="666"/>
  </r>
  <r>
    <n v="18830"/>
    <s v="Low"/>
    <n v="0.03"/>
    <n v="10.64"/>
    <n v="5.16"/>
    <n v="1189"/>
    <s v="Dwight Stephenson"/>
    <s v="Regular Air"/>
    <s v="Consumer"/>
    <x v="1"/>
    <x v="2"/>
    <s v="Small Box"/>
    <s v="Eldon Expressions Punched Metal &amp; Wood Desk Accessories, Pewter &amp; Cherry"/>
    <n v="0.56999999999999995"/>
    <s v="United States"/>
    <x v="0"/>
    <s v="California"/>
    <s v="Huntington Beach"/>
    <n v="92646"/>
    <x v="77"/>
    <d v="2015-06-22T00:00:00"/>
    <n v="17.376000000000001"/>
    <n v="16"/>
    <x v="663"/>
    <n v="87584"/>
    <x v="667"/>
  </r>
  <r>
    <n v="18831"/>
    <s v="Low"/>
    <n v="0.03"/>
    <n v="7.96"/>
    <n v="4.95"/>
    <n v="1189"/>
    <s v="Dwight Stephenson"/>
    <s v="Regular Air"/>
    <s v="Consumer"/>
    <x v="1"/>
    <x v="2"/>
    <s v="Small Box"/>
    <s v="Staples Plastic Wall Frames"/>
    <n v="0.41"/>
    <s v="United States"/>
    <x v="0"/>
    <s v="California"/>
    <s v="Huntington Beach"/>
    <n v="92646"/>
    <x v="77"/>
    <d v="2015-06-19T00:00:00"/>
    <n v="24.260400000000001"/>
    <n v="4"/>
    <x v="664"/>
    <n v="87584"/>
    <x v="668"/>
  </r>
  <r>
    <n v="19553"/>
    <s v="Low"/>
    <n v="0.03"/>
    <n v="28.53"/>
    <n v="1.49"/>
    <n v="1191"/>
    <s v="John Morse"/>
    <s v="Regular Air"/>
    <s v="Small Business"/>
    <x v="0"/>
    <x v="8"/>
    <s v="Small Box"/>
    <s v="Lock-Up Easel 'Spel-Binder'"/>
    <n v="0.38"/>
    <s v="United States"/>
    <x v="1"/>
    <s v="Connecticut"/>
    <s v="New Britain"/>
    <n v="6050"/>
    <x v="162"/>
    <d v="2015-07-01T00:00:00"/>
    <n v="59.4405"/>
    <n v="3"/>
    <x v="665"/>
    <n v="87587"/>
    <x v="669"/>
  </r>
  <r>
    <n v="830"/>
    <s v="Low"/>
    <n v="0.03"/>
    <n v="10.64"/>
    <n v="5.16"/>
    <n v="1193"/>
    <s v="Louis Parrish"/>
    <s v="Regular Air"/>
    <s v="Consumer"/>
    <x v="1"/>
    <x v="2"/>
    <s v="Small Box"/>
    <s v="Eldon Expressions Punched Metal &amp; Wood Desk Accessories, Pewter &amp; Cherry"/>
    <n v="0.56999999999999995"/>
    <s v="United States"/>
    <x v="1"/>
    <s v="District of Columbia"/>
    <s v="Washington"/>
    <n v="20016"/>
    <x v="77"/>
    <d v="2015-06-22T00:00:00"/>
    <n v="14.48"/>
    <n v="63"/>
    <x v="666"/>
    <n v="5984"/>
    <x v="670"/>
  </r>
  <r>
    <n v="831"/>
    <s v="Low"/>
    <n v="0.03"/>
    <n v="7.96"/>
    <n v="4.95"/>
    <n v="1193"/>
    <s v="Louis Parrish"/>
    <s v="Regular Air"/>
    <s v="Consumer"/>
    <x v="1"/>
    <x v="2"/>
    <s v="Small Box"/>
    <s v="Staples Plastic Wall Frames"/>
    <n v="0.41"/>
    <s v="United States"/>
    <x v="1"/>
    <s v="District of Columbia"/>
    <s v="Washington"/>
    <n v="20016"/>
    <x v="77"/>
    <d v="2015-06-19T00:00:00"/>
    <n v="22.25"/>
    <n v="17"/>
    <x v="667"/>
    <n v="5984"/>
    <x v="671"/>
  </r>
  <r>
    <n v="4131"/>
    <s v="High"/>
    <n v="0.05"/>
    <n v="52.4"/>
    <n v="16.11"/>
    <n v="1193"/>
    <s v="Louis Parrish"/>
    <s v="Regular Air"/>
    <s v="Consumer"/>
    <x v="0"/>
    <x v="8"/>
    <s v="Small Box"/>
    <s v="Ibico Laser Imprintable Binding System Covers"/>
    <n v="0.39"/>
    <s v="United States"/>
    <x v="1"/>
    <s v="District of Columbia"/>
    <s v="Washington"/>
    <n v="20016"/>
    <x v="147"/>
    <d v="2015-02-27T00:00:00"/>
    <n v="592.52650000000006"/>
    <n v="85"/>
    <x v="668"/>
    <n v="29350"/>
    <x v="672"/>
  </r>
  <r>
    <n v="4133"/>
    <s v="High"/>
    <n v="0.05"/>
    <n v="36.549999999999997"/>
    <n v="13.89"/>
    <n v="1193"/>
    <s v="Louis Parrish"/>
    <s v="Express Air"/>
    <s v="Consumer"/>
    <x v="0"/>
    <x v="0"/>
    <s v="Wrap Bag"/>
    <s v="Dixon Ticonderoga Core-Lock Colored Pencils, 48-Color Set"/>
    <n v="0.41"/>
    <s v="United States"/>
    <x v="1"/>
    <s v="District of Columbia"/>
    <s v="Washington"/>
    <n v="20016"/>
    <x v="147"/>
    <d v="2015-02-26T00:00:00"/>
    <n v="232.8"/>
    <n v="83"/>
    <x v="669"/>
    <n v="29350"/>
    <x v="673"/>
  </r>
  <r>
    <n v="5468"/>
    <s v="Not Specified"/>
    <n v="0.03"/>
    <n v="5.98"/>
    <n v="1.49"/>
    <n v="1193"/>
    <s v="Louis Parrish"/>
    <s v="Regular Air"/>
    <s v="Small Business"/>
    <x v="0"/>
    <x v="8"/>
    <s v="Small Box"/>
    <s v="Avery Hanging File Binders"/>
    <n v="0.39"/>
    <s v="United States"/>
    <x v="1"/>
    <s v="District of Columbia"/>
    <s v="Washington"/>
    <n v="20016"/>
    <x v="90"/>
    <d v="2015-05-03T00:00:00"/>
    <n v="38.08"/>
    <n v="85"/>
    <x v="670"/>
    <n v="38852"/>
    <x v="674"/>
  </r>
  <r>
    <n v="1552"/>
    <s v="Low"/>
    <n v="0.09"/>
    <n v="49.99"/>
    <n v="19.989999999999998"/>
    <n v="1193"/>
    <s v="Louis Parrish"/>
    <s v="Regular Air"/>
    <s v="Small Business"/>
    <x v="2"/>
    <x v="13"/>
    <s v="Small Box"/>
    <s v="Zoom V.92 USB External Faxmodem"/>
    <n v="0.41"/>
    <s v="United States"/>
    <x v="1"/>
    <s v="District of Columbia"/>
    <s v="Washington"/>
    <n v="20016"/>
    <x v="162"/>
    <d v="2015-06-30T00:00:00"/>
    <n v="-17.03"/>
    <n v="48"/>
    <x v="671"/>
    <n v="11206"/>
    <x v="675"/>
  </r>
  <r>
    <n v="1553"/>
    <s v="Low"/>
    <n v="0.03"/>
    <n v="28.53"/>
    <n v="1.49"/>
    <n v="1193"/>
    <s v="Louis Parrish"/>
    <s v="Regular Air"/>
    <s v="Small Business"/>
    <x v="0"/>
    <x v="8"/>
    <s v="Small Box"/>
    <s v="Lock-Up Easel 'Spel-Binder'"/>
    <n v="0.38"/>
    <s v="United States"/>
    <x v="1"/>
    <s v="District of Columbia"/>
    <s v="Washington"/>
    <n v="20016"/>
    <x v="162"/>
    <d v="2015-07-01T00:00:00"/>
    <n v="39.627000000000002"/>
    <n v="11"/>
    <x v="672"/>
    <n v="11206"/>
    <x v="676"/>
  </r>
  <r>
    <n v="23468"/>
    <s v="Not Specified"/>
    <n v="0.03"/>
    <n v="5.98"/>
    <n v="1.49"/>
    <n v="1194"/>
    <s v="Sidney Brewer"/>
    <s v="Regular Air"/>
    <s v="Small Business"/>
    <x v="0"/>
    <x v="8"/>
    <s v="Small Box"/>
    <s v="Avery Hanging File Binders"/>
    <n v="0.39"/>
    <s v="United States"/>
    <x v="3"/>
    <s v="Florida"/>
    <s v="Immokalee"/>
    <n v="34142"/>
    <x v="90"/>
    <d v="2015-05-03T00:00:00"/>
    <n v="20.495999999999999"/>
    <n v="21"/>
    <x v="673"/>
    <n v="87586"/>
    <x v="677"/>
  </r>
  <r>
    <n v="19358"/>
    <s v="High"/>
    <n v="0.08"/>
    <n v="355.98"/>
    <n v="58.92"/>
    <n v="1197"/>
    <s v="Grace McNeill Hunt"/>
    <s v="Delivery Truck"/>
    <s v="Small Business"/>
    <x v="1"/>
    <x v="1"/>
    <s v="Jumbo Drum"/>
    <s v="Hon 4700 Series Mobuis™ Mid-Back Task Chairs with Adjustable Arms"/>
    <n v="0.64"/>
    <s v="United States"/>
    <x v="1"/>
    <s v="Massachusetts"/>
    <s v="Sudbury"/>
    <n v="1776"/>
    <x v="103"/>
    <d v="2015-03-20T00:00:00"/>
    <n v="103.83"/>
    <n v="4"/>
    <x v="674"/>
    <n v="87583"/>
    <x v="678"/>
  </r>
  <r>
    <n v="22132"/>
    <s v="High"/>
    <n v="0.1"/>
    <n v="15.14"/>
    <n v="4.53"/>
    <n v="1199"/>
    <s v="Edward Lamm"/>
    <s v="Regular Air"/>
    <s v="Consumer"/>
    <x v="0"/>
    <x v="10"/>
    <s v="Small Box"/>
    <s v="Eldon® Gobal File Keepers"/>
    <n v="0.81"/>
    <s v="United States"/>
    <x v="1"/>
    <s v="New Hampshire"/>
    <s v="Nashua"/>
    <n v="3060"/>
    <x v="147"/>
    <d v="2015-02-28T00:00:00"/>
    <n v="-24.897600000000001"/>
    <n v="5"/>
    <x v="675"/>
    <n v="87585"/>
    <x v="679"/>
  </r>
  <r>
    <n v="22131"/>
    <s v="High"/>
    <n v="0.05"/>
    <n v="52.4"/>
    <n v="16.11"/>
    <n v="1200"/>
    <s v="Beth English"/>
    <s v="Regular Air"/>
    <s v="Consumer"/>
    <x v="0"/>
    <x v="8"/>
    <s v="Small Box"/>
    <s v="Ibico Laser Imprintable Binding System Covers"/>
    <n v="0.39"/>
    <s v="United States"/>
    <x v="1"/>
    <s v="New Jersey"/>
    <s v="Elmwood Park"/>
    <n v="7407"/>
    <x v="147"/>
    <d v="2015-02-27T00:00:00"/>
    <n v="776.77440000000001"/>
    <n v="21"/>
    <x v="676"/>
    <n v="87585"/>
    <x v="680"/>
  </r>
  <r>
    <n v="22133"/>
    <s v="High"/>
    <n v="0.05"/>
    <n v="36.549999999999997"/>
    <n v="13.89"/>
    <n v="1202"/>
    <s v="Faye Wolf"/>
    <s v="Express Air"/>
    <s v="Consumer"/>
    <x v="0"/>
    <x v="0"/>
    <s v="Wrap Bag"/>
    <s v="Dixon Ticonderoga Core-Lock Colored Pencils, 48-Color Set"/>
    <n v="0.41"/>
    <s v="United States"/>
    <x v="1"/>
    <s v="New Jersey"/>
    <s v="South Orange"/>
    <n v="7079"/>
    <x v="147"/>
    <d v="2015-02-26T00:00:00"/>
    <n v="344.54399999999998"/>
    <n v="21"/>
    <x v="677"/>
    <n v="87585"/>
    <x v="681"/>
  </r>
  <r>
    <n v="19552"/>
    <s v="Low"/>
    <n v="0.09"/>
    <n v="49.99"/>
    <n v="19.989999999999998"/>
    <n v="1203"/>
    <s v="Judy Merritt"/>
    <s v="Regular Air"/>
    <s v="Small Business"/>
    <x v="2"/>
    <x v="13"/>
    <s v="Small Box"/>
    <s v="Zoom V.92 USB External Faxmodem"/>
    <n v="0.41"/>
    <s v="United States"/>
    <x v="1"/>
    <s v="Rhode Island"/>
    <s v="Cranston"/>
    <n v="2920"/>
    <x v="162"/>
    <d v="2015-06-30T00:00:00"/>
    <n v="-8.5150000000000006"/>
    <n v="12"/>
    <x v="678"/>
    <n v="87587"/>
    <x v="682"/>
  </r>
  <r>
    <n v="18636"/>
    <s v="Low"/>
    <n v="0.01"/>
    <n v="3.08"/>
    <n v="0.5"/>
    <n v="1211"/>
    <s v="Debra Proctor"/>
    <s v="Regular Air"/>
    <s v="Corporate"/>
    <x v="0"/>
    <x v="9"/>
    <s v="Small Box"/>
    <s v="Avery 497"/>
    <n v="0.37"/>
    <s v="United States"/>
    <x v="2"/>
    <s v="Indiana"/>
    <s v="Fort Wayne"/>
    <n v="46806"/>
    <x v="108"/>
    <d v="2015-02-06T00:00:00"/>
    <n v="9.0045000000000002"/>
    <n v="4"/>
    <x v="679"/>
    <n v="88598"/>
    <x v="683"/>
  </r>
  <r>
    <n v="22528"/>
    <s v="High"/>
    <n v="0.08"/>
    <n v="4.91"/>
    <n v="4.97"/>
    <n v="1212"/>
    <s v="Eileen Fletcher"/>
    <s v="Regular Air"/>
    <s v="Corporate"/>
    <x v="0"/>
    <x v="8"/>
    <s v="Small Box"/>
    <s v="Pressboard Covers with Storage Hooks, 9 1/2&quot; x 11&quot;, Light Blue"/>
    <n v="0.38"/>
    <s v="United States"/>
    <x v="2"/>
    <s v="Indiana"/>
    <s v="Gary"/>
    <n v="46404"/>
    <x v="43"/>
    <d v="2015-01-16T00:00:00"/>
    <n v="-99.762500000000003"/>
    <n v="12"/>
    <x v="680"/>
    <n v="88600"/>
    <x v="684"/>
  </r>
  <r>
    <n v="22529"/>
    <s v="High"/>
    <n v="0.01"/>
    <n v="3499.99"/>
    <n v="24.49"/>
    <n v="1212"/>
    <s v="Eileen Fletcher"/>
    <s v="Regular Air"/>
    <s v="Corporate"/>
    <x v="2"/>
    <x v="16"/>
    <s v="Large Box"/>
    <s v="Canon imageCLASS 2200 Advanced Copier"/>
    <n v="0.37"/>
    <s v="United States"/>
    <x v="2"/>
    <s v="Indiana"/>
    <s v="Gary"/>
    <n v="46404"/>
    <x v="43"/>
    <d v="2015-01-16T00:00:00"/>
    <n v="-3061.82"/>
    <n v="1"/>
    <x v="681"/>
    <n v="88600"/>
    <x v="685"/>
  </r>
  <r>
    <n v="24270"/>
    <s v="Low"/>
    <n v="7.0000000000000007E-2"/>
    <n v="29.89"/>
    <n v="1.99"/>
    <n v="1213"/>
    <s v="Jeremy Pratt"/>
    <s v="Express Air"/>
    <s v="Corporate"/>
    <x v="2"/>
    <x v="13"/>
    <s v="Small Pack"/>
    <s v="Verbatim DVD-RAM, 5.2GB, Rewritable, Type 1, DS"/>
    <n v="0.5"/>
    <s v="United States"/>
    <x v="2"/>
    <s v="Indiana"/>
    <s v="Granger"/>
    <n v="46530"/>
    <x v="128"/>
    <d v="2015-02-09T00:00:00"/>
    <n v="258.6189"/>
    <n v="13"/>
    <x v="682"/>
    <n v="88599"/>
    <x v="686"/>
  </r>
  <r>
    <n v="24271"/>
    <s v="Low"/>
    <n v="0.03"/>
    <n v="8.34"/>
    <n v="4.82"/>
    <n v="1213"/>
    <s v="Jeremy Pratt"/>
    <s v="Regular Air"/>
    <s v="Corporate"/>
    <x v="0"/>
    <x v="7"/>
    <s v="Small Box"/>
    <s v="Southworth 25% Cotton Antique Laid Paper &amp; Envelopes"/>
    <n v="0.4"/>
    <s v="United States"/>
    <x v="2"/>
    <s v="Indiana"/>
    <s v="Granger"/>
    <n v="46530"/>
    <x v="128"/>
    <d v="2015-02-08T00:00:00"/>
    <n v="-6.71"/>
    <n v="5"/>
    <x v="683"/>
    <n v="88599"/>
    <x v="687"/>
  </r>
  <r>
    <n v="22530"/>
    <s v="High"/>
    <n v="0.03"/>
    <n v="5.84"/>
    <n v="1.2"/>
    <n v="1213"/>
    <s v="Jeremy Pratt"/>
    <s v="Regular Air"/>
    <s v="Corporate"/>
    <x v="0"/>
    <x v="0"/>
    <s v="Wrap Bag"/>
    <s v="Newell 312"/>
    <n v="0.55000000000000004"/>
    <s v="United States"/>
    <x v="2"/>
    <s v="Indiana"/>
    <s v="Granger"/>
    <n v="46530"/>
    <x v="43"/>
    <d v="2015-01-17T00:00:00"/>
    <n v="-0.01"/>
    <n v="2"/>
    <x v="684"/>
    <n v="88600"/>
    <x v="688"/>
  </r>
  <r>
    <n v="7632"/>
    <s v="Medium"/>
    <n v="0.09"/>
    <n v="130.97999999999999"/>
    <n v="30"/>
    <n v="1217"/>
    <s v="Billy Perry Browning"/>
    <s v="Delivery Truck"/>
    <s v="Small Business"/>
    <x v="1"/>
    <x v="1"/>
    <s v="Jumbo Drum"/>
    <s v="Office Star - Contemporary Task Swivel chair with 2-way adjustable arms, Plum"/>
    <n v="0.78"/>
    <s v="United States"/>
    <x v="1"/>
    <s v="Massachusetts"/>
    <s v="Boston"/>
    <n v="2112"/>
    <x v="65"/>
    <d v="2015-05-01T00:00:00"/>
    <n v="-421.76"/>
    <n v="41"/>
    <x v="685"/>
    <n v="54595"/>
    <x v="689"/>
  </r>
  <r>
    <n v="25631"/>
    <s v="Medium"/>
    <n v="0.02"/>
    <n v="8.34"/>
    <n v="2.64"/>
    <n v="1226"/>
    <s v="Ken Cash"/>
    <s v="Regular Air"/>
    <s v="Small Business"/>
    <x v="0"/>
    <x v="12"/>
    <s v="Small Pack"/>
    <s v="Acme® Elite Stainless Steel Scissors"/>
    <n v="0.59"/>
    <s v="United States"/>
    <x v="1"/>
    <s v="Rhode Island"/>
    <s v="Pawtucket"/>
    <n v="2861"/>
    <x v="65"/>
    <d v="2015-04-30T00:00:00"/>
    <n v="6.79"/>
    <n v="8"/>
    <x v="686"/>
    <n v="90800"/>
    <x v="690"/>
  </r>
  <r>
    <n v="25632"/>
    <s v="Medium"/>
    <n v="0.09"/>
    <n v="130.97999999999999"/>
    <n v="30"/>
    <n v="1227"/>
    <s v="Elsie Hwang"/>
    <s v="Delivery Truck"/>
    <s v="Small Business"/>
    <x v="1"/>
    <x v="1"/>
    <s v="Jumbo Drum"/>
    <s v="Office Star - Contemporary Task Swivel chair with 2-way adjustable arms, Plum"/>
    <n v="0.78"/>
    <s v="United States"/>
    <x v="1"/>
    <s v="Vermont"/>
    <s v="South Burlington"/>
    <n v="5403"/>
    <x v="65"/>
    <d v="2015-05-01T00:00:00"/>
    <n v="-421.76"/>
    <n v="10"/>
    <x v="687"/>
    <n v="90800"/>
    <x v="691"/>
  </r>
  <r>
    <n v="7810"/>
    <s v="Medium"/>
    <n v="0"/>
    <n v="7.1"/>
    <n v="6.05"/>
    <n v="1228"/>
    <s v="Hazel Jennings"/>
    <s v="Regular Air"/>
    <s v="Small Business"/>
    <x v="0"/>
    <x v="8"/>
    <s v="Small Box"/>
    <s v="Wilson Jones Hanging View Binder, White, 1&quot;"/>
    <n v="0.39"/>
    <s v="United States"/>
    <x v="1"/>
    <s v="Pennsylvania"/>
    <s v="Philadelphia"/>
    <n v="19140"/>
    <x v="160"/>
    <d v="2015-02-17T00:00:00"/>
    <n v="-60.145000000000003"/>
    <n v="28"/>
    <x v="688"/>
    <n v="55874"/>
    <x v="692"/>
  </r>
  <r>
    <n v="7811"/>
    <s v="Medium"/>
    <n v="0.01"/>
    <n v="4.9800000000000004"/>
    <n v="4.62"/>
    <n v="1228"/>
    <s v="Hazel Jennings"/>
    <s v="Express Air"/>
    <s v="Small Business"/>
    <x v="2"/>
    <x v="13"/>
    <s v="Small Pack"/>
    <s v="Imation 3.5&quot;, DISKETTE 44766 HGHLD3.52HD/FM, 10/Pack"/>
    <n v="0.64"/>
    <s v="United States"/>
    <x v="1"/>
    <s v="Pennsylvania"/>
    <s v="Philadelphia"/>
    <n v="19140"/>
    <x v="160"/>
    <d v="2015-02-18T00:00:00"/>
    <n v="-111.72"/>
    <n v="41"/>
    <x v="689"/>
    <n v="55874"/>
    <x v="693"/>
  </r>
  <r>
    <n v="7812"/>
    <s v="Medium"/>
    <n v="0.06"/>
    <n v="5.68"/>
    <n v="1.39"/>
    <n v="1228"/>
    <s v="Hazel Jennings"/>
    <s v="Regular Air"/>
    <s v="Small Business"/>
    <x v="0"/>
    <x v="4"/>
    <s v="Small Box"/>
    <s v="Staples Standard Envelopes"/>
    <n v="0.38"/>
    <s v="United States"/>
    <x v="1"/>
    <s v="Pennsylvania"/>
    <s v="Philadelphia"/>
    <n v="19140"/>
    <x v="160"/>
    <d v="2015-02-16T00:00:00"/>
    <n v="33.01"/>
    <n v="24"/>
    <x v="690"/>
    <n v="55874"/>
    <x v="694"/>
  </r>
  <r>
    <n v="25811"/>
    <s v="Medium"/>
    <n v="0.01"/>
    <n v="4.9800000000000004"/>
    <n v="4.62"/>
    <n v="1229"/>
    <s v="Patrick Byrne"/>
    <s v="Express Air"/>
    <s v="Small Business"/>
    <x v="2"/>
    <x v="13"/>
    <s v="Small Pack"/>
    <s v="Imation 3.5&quot;, DISKETTE 44766 HGHLD3.52HD/FM, 10/Pack"/>
    <n v="0.64"/>
    <s v="United States"/>
    <x v="2"/>
    <s v="Texas"/>
    <s v="Sulphur Springs"/>
    <n v="75482"/>
    <x v="160"/>
    <d v="2015-02-18T00:00:00"/>
    <n v="-111.72"/>
    <n v="10"/>
    <x v="691"/>
    <n v="90378"/>
    <x v="695"/>
  </r>
  <r>
    <n v="21206"/>
    <s v="Critical"/>
    <n v="0.1"/>
    <n v="120.98"/>
    <n v="9.07"/>
    <n v="1233"/>
    <s v="Gary Hester"/>
    <s v="Express Air"/>
    <s v="Consumer"/>
    <x v="0"/>
    <x v="8"/>
    <s v="Small Box"/>
    <s v="GBC VeloBinder Electric Binding Machine"/>
    <n v="0.35"/>
    <s v="United States"/>
    <x v="2"/>
    <s v="Texas"/>
    <s v="Flower Mound"/>
    <n v="75028"/>
    <x v="37"/>
    <d v="2015-04-11T00:00:00"/>
    <n v="297.45715999999999"/>
    <n v="5"/>
    <x v="692"/>
    <n v="89375"/>
    <x v="696"/>
  </r>
  <r>
    <n v="21207"/>
    <s v="Critical"/>
    <n v="0.02"/>
    <n v="152.47999999999999"/>
    <n v="6.5"/>
    <n v="1233"/>
    <s v="Gary Hester"/>
    <s v="Express Air"/>
    <s v="Consumer"/>
    <x v="2"/>
    <x v="13"/>
    <s v="Small Box"/>
    <s v="Adesso Programmable 142-Key Keyboard"/>
    <n v="0.74"/>
    <s v="United States"/>
    <x v="2"/>
    <s v="Texas"/>
    <s v="Flower Mound"/>
    <n v="75028"/>
    <x v="37"/>
    <d v="2015-04-11T00:00:00"/>
    <n v="-564.60239999999999"/>
    <n v="1"/>
    <x v="693"/>
    <n v="89375"/>
    <x v="697"/>
  </r>
  <r>
    <n v="19874"/>
    <s v="High"/>
    <n v="0.09"/>
    <n v="99.99"/>
    <n v="19.989999999999998"/>
    <n v="1233"/>
    <s v="Gary Hester"/>
    <s v="Regular Air"/>
    <s v="Consumer"/>
    <x v="2"/>
    <x v="13"/>
    <s v="Small Box"/>
    <s v="US Robotics 56K V.92 External Faxmodem"/>
    <n v="0.52"/>
    <s v="United States"/>
    <x v="2"/>
    <s v="Texas"/>
    <s v="Flower Mound"/>
    <n v="75028"/>
    <x v="141"/>
    <d v="2015-06-06T00:00:00"/>
    <n v="-161.47499999999999"/>
    <n v="1"/>
    <x v="694"/>
    <n v="89376"/>
    <x v="698"/>
  </r>
  <r>
    <n v="19875"/>
    <s v="High"/>
    <n v="0.04"/>
    <n v="205.99"/>
    <n v="5.26"/>
    <n v="1233"/>
    <s v="Gary Hester"/>
    <s v="Regular Air"/>
    <s v="Consumer"/>
    <x v="2"/>
    <x v="5"/>
    <s v="Small Box"/>
    <s v="i470"/>
    <n v="0.56000000000000005"/>
    <s v="United States"/>
    <x v="2"/>
    <s v="Texas"/>
    <s v="Flower Mound"/>
    <n v="75028"/>
    <x v="141"/>
    <d v="2015-06-05T00:00:00"/>
    <n v="-0.81399999999999995"/>
    <n v="6"/>
    <x v="695"/>
    <n v="89376"/>
    <x v="699"/>
  </r>
  <r>
    <n v="20592"/>
    <s v="Medium"/>
    <n v="0.03"/>
    <n v="128.24"/>
    <n v="12.65"/>
    <n v="1237"/>
    <s v="Eva Simpson"/>
    <s v="Regular Air"/>
    <s v="Corporate"/>
    <x v="1"/>
    <x v="1"/>
    <s v="Medium Box"/>
    <s v="SAFCO Folding Chair Trolley"/>
    <m/>
    <s v="United States"/>
    <x v="2"/>
    <s v="Texas"/>
    <s v="Carrollton"/>
    <n v="75007"/>
    <x v="70"/>
    <d v="2015-02-02T00:00:00"/>
    <n v="790.46400000000006"/>
    <n v="9"/>
    <x v="696"/>
    <n v="86075"/>
    <x v="700"/>
  </r>
  <r>
    <n v="18625"/>
    <s v="Not Specified"/>
    <n v="0.02"/>
    <n v="7.38"/>
    <n v="5.21"/>
    <n v="1237"/>
    <s v="Eva Simpson"/>
    <s v="Regular Air"/>
    <s v="Corporate"/>
    <x v="1"/>
    <x v="2"/>
    <s v="Small Box"/>
    <s v="Eldon® Expressions™ Wood Desk Accessories, Oak"/>
    <n v="0.56000000000000005"/>
    <s v="United States"/>
    <x v="2"/>
    <s v="Texas"/>
    <s v="Carrollton"/>
    <n v="75007"/>
    <x v="48"/>
    <d v="2015-03-30T00:00:00"/>
    <n v="7.74"/>
    <n v="3"/>
    <x v="697"/>
    <n v="86076"/>
    <x v="701"/>
  </r>
  <r>
    <n v="20432"/>
    <s v="Medium"/>
    <n v="0.05"/>
    <n v="300.98"/>
    <n v="13.99"/>
    <n v="1237"/>
    <s v="Eva Simpson"/>
    <s v="Regular Air"/>
    <s v="Corporate"/>
    <x v="2"/>
    <x v="6"/>
    <s v="Medium Box"/>
    <s v="Polycom VoiceStation 100"/>
    <n v="0.39"/>
    <s v="United States"/>
    <x v="2"/>
    <s v="Texas"/>
    <s v="Carrollton"/>
    <n v="75007"/>
    <x v="40"/>
    <d v="2015-05-26T00:00:00"/>
    <n v="3985.3089"/>
    <n v="20"/>
    <x v="698"/>
    <n v="86077"/>
    <x v="702"/>
  </r>
  <r>
    <n v="20433"/>
    <s v="Medium"/>
    <n v="0.04"/>
    <n v="205.99"/>
    <n v="5"/>
    <n v="1237"/>
    <s v="Eva Simpson"/>
    <s v="Express Air"/>
    <s v="Corporate"/>
    <x v="2"/>
    <x v="5"/>
    <s v="Small Box"/>
    <s v="Phone 918"/>
    <n v="0.59"/>
    <s v="United States"/>
    <x v="2"/>
    <s v="Texas"/>
    <s v="Carrollton"/>
    <n v="75007"/>
    <x v="40"/>
    <d v="2015-05-26T00:00:00"/>
    <n v="13.956799999999999"/>
    <n v="11"/>
    <x v="699"/>
    <n v="86077"/>
    <x v="703"/>
  </r>
  <r>
    <n v="20593"/>
    <s v="Medium"/>
    <n v="0.01"/>
    <n v="160.97999999999999"/>
    <n v="30"/>
    <n v="1238"/>
    <s v="April Bowers"/>
    <s v="Delivery Truck"/>
    <s v="Corporate"/>
    <x v="1"/>
    <x v="1"/>
    <s v="Jumbo Drum"/>
    <s v="Office Star - Mid Back Dual function Ergonomic High Back Chair with 2-Way Adjustable Arms"/>
    <n v="0.62"/>
    <s v="United States"/>
    <x v="2"/>
    <s v="Texas"/>
    <s v="Cedar Hill"/>
    <n v="75104"/>
    <x v="70"/>
    <d v="2015-02-02T00:00:00"/>
    <n v="788.79"/>
    <n v="10"/>
    <x v="700"/>
    <n v="86075"/>
    <x v="704"/>
  </r>
  <r>
    <n v="20920"/>
    <s v="Not Specified"/>
    <n v="0"/>
    <n v="387.99"/>
    <n v="19.989999999999998"/>
    <n v="1241"/>
    <s v="Bradley Schroeder"/>
    <s v="Regular Air"/>
    <s v="Corporate"/>
    <x v="0"/>
    <x v="8"/>
    <s v="Small Box"/>
    <s v="Fellowes PB300 Plastic Comb Binding Machine"/>
    <n v="0.38"/>
    <s v="United States"/>
    <x v="3"/>
    <s v="Alabama"/>
    <s v="Auburn"/>
    <n v="36830"/>
    <x v="44"/>
    <d v="2015-03-17T00:00:00"/>
    <n v="-70.14"/>
    <n v="23"/>
    <x v="701"/>
    <n v="90880"/>
    <x v="705"/>
  </r>
  <r>
    <n v="20233"/>
    <s v="Critical"/>
    <n v="0.06"/>
    <n v="200.97"/>
    <n v="15.59"/>
    <n v="1241"/>
    <s v="Bradley Schroeder"/>
    <s v="Delivery Truck"/>
    <s v="Small Business"/>
    <x v="2"/>
    <x v="6"/>
    <s v="Jumbo Drum"/>
    <s v="Hewlett-Packard Deskjet 6122 Color Inkjet Printer"/>
    <n v="0.36"/>
    <s v="United States"/>
    <x v="3"/>
    <s v="Alabama"/>
    <s v="Auburn"/>
    <n v="36830"/>
    <x v="78"/>
    <d v="2015-03-25T00:00:00"/>
    <n v="531.61800000000005"/>
    <n v="7"/>
    <x v="702"/>
    <n v="90881"/>
    <x v="706"/>
  </r>
  <r>
    <n v="5117"/>
    <s v="High"/>
    <n v="0.1"/>
    <n v="22.38"/>
    <n v="15.1"/>
    <n v="1246"/>
    <s v="Lois Hansen"/>
    <s v="Regular Air"/>
    <s v="Home Office"/>
    <x v="0"/>
    <x v="8"/>
    <s v="Small Box"/>
    <s v="Avery Flip-Chart Easel Binder, Black"/>
    <n v="0.38"/>
    <s v="United States"/>
    <x v="1"/>
    <s v="New York"/>
    <s v="New York City"/>
    <n v="10009"/>
    <x v="121"/>
    <d v="2015-04-06T00:00:00"/>
    <n v="-107.51349999999999"/>
    <n v="26"/>
    <x v="703"/>
    <n v="36452"/>
    <x v="707"/>
  </r>
  <r>
    <n v="5118"/>
    <s v="High"/>
    <n v="0.04"/>
    <n v="6.98"/>
    <n v="2.83"/>
    <n v="1246"/>
    <s v="Lois Hansen"/>
    <s v="Regular Air"/>
    <s v="Home Office"/>
    <x v="1"/>
    <x v="2"/>
    <s v="Small Pack"/>
    <s v="G.E. Halogen Desk Lamp Bulbs"/>
    <n v="0.37"/>
    <s v="United States"/>
    <x v="1"/>
    <s v="New York"/>
    <s v="New York City"/>
    <n v="10009"/>
    <x v="121"/>
    <d v="2015-04-07T00:00:00"/>
    <n v="46.01"/>
    <n v="18"/>
    <x v="704"/>
    <n v="36452"/>
    <x v="708"/>
  </r>
  <r>
    <n v="6581"/>
    <s v="Low"/>
    <n v="0.03"/>
    <n v="256.99"/>
    <n v="11.25"/>
    <n v="1246"/>
    <s v="Lois Hansen"/>
    <s v="Regular Air"/>
    <s v="Home Office"/>
    <x v="2"/>
    <x v="13"/>
    <s v="Small Box"/>
    <s v="Hayes Optima 56K V.90 Internal Voice Modem"/>
    <n v="0.51"/>
    <s v="United States"/>
    <x v="1"/>
    <s v="New York"/>
    <s v="New York City"/>
    <n v="10009"/>
    <x v="55"/>
    <d v="2015-05-22T00:00:00"/>
    <n v="1489.8"/>
    <n v="32"/>
    <x v="705"/>
    <n v="46853"/>
    <x v="709"/>
  </r>
  <r>
    <n v="23117"/>
    <s v="High"/>
    <n v="0.1"/>
    <n v="22.38"/>
    <n v="15.1"/>
    <n v="1247"/>
    <s v="Henry O'Connell"/>
    <s v="Regular Air"/>
    <s v="Home Office"/>
    <x v="0"/>
    <x v="8"/>
    <s v="Small Box"/>
    <s v="Avery Flip-Chart Easel Binder, Black"/>
    <n v="0.38"/>
    <s v="United States"/>
    <x v="2"/>
    <s v="Texas"/>
    <s v="Leander"/>
    <n v="78641"/>
    <x v="121"/>
    <d v="2015-04-06T00:00:00"/>
    <n v="-107.51349999999999"/>
    <n v="7"/>
    <x v="706"/>
    <n v="91555"/>
    <x v="710"/>
  </r>
  <r>
    <n v="23118"/>
    <s v="High"/>
    <n v="0.04"/>
    <n v="6.98"/>
    <n v="2.83"/>
    <n v="1247"/>
    <s v="Henry O'Connell"/>
    <s v="Regular Air"/>
    <s v="Home Office"/>
    <x v="1"/>
    <x v="2"/>
    <s v="Small Pack"/>
    <s v="G.E. Halogen Desk Lamp Bulbs"/>
    <n v="0.37"/>
    <s v="United States"/>
    <x v="2"/>
    <s v="Texas"/>
    <s v="Leander"/>
    <n v="78641"/>
    <x v="121"/>
    <d v="2015-04-07T00:00:00"/>
    <n v="24.819299999999998"/>
    <n v="5"/>
    <x v="707"/>
    <n v="91555"/>
    <x v="711"/>
  </r>
  <r>
    <n v="18413"/>
    <s v="High"/>
    <n v="0"/>
    <n v="3.89"/>
    <n v="7.01"/>
    <n v="1250"/>
    <s v="Kara Patton"/>
    <s v="Regular Air"/>
    <s v="Corporate"/>
    <x v="0"/>
    <x v="8"/>
    <s v="Small Box"/>
    <s v="Avery Binder Labels"/>
    <n v="0.37"/>
    <s v="United States"/>
    <x v="2"/>
    <s v="Illinois"/>
    <s v="Carpentersville"/>
    <n v="60110"/>
    <x v="37"/>
    <d v="2015-04-09T00:00:00"/>
    <n v="-255.16890000000001"/>
    <n v="21"/>
    <x v="708"/>
    <n v="87877"/>
    <x v="712"/>
  </r>
  <r>
    <n v="18414"/>
    <s v="High"/>
    <n v="0.09"/>
    <n v="120.98"/>
    <n v="30"/>
    <n v="1250"/>
    <s v="Kara Patton"/>
    <s v="Delivery Truck"/>
    <s v="Corporate"/>
    <x v="1"/>
    <x v="1"/>
    <s v="Jumbo Drum"/>
    <s v="Hon Every-Day® Chair Series Swivel Task Chairs"/>
    <n v="0.64"/>
    <s v="United States"/>
    <x v="2"/>
    <s v="Illinois"/>
    <s v="Carpentersville"/>
    <n v="60110"/>
    <x v="37"/>
    <d v="2015-04-11T00:00:00"/>
    <n v="74.004800000000003"/>
    <n v="22"/>
    <x v="709"/>
    <n v="87877"/>
    <x v="713"/>
  </r>
  <r>
    <n v="18415"/>
    <s v="High"/>
    <n v="0.1"/>
    <n v="30.98"/>
    <n v="5.76"/>
    <n v="1250"/>
    <s v="Kara Patton"/>
    <s v="Regular Air"/>
    <s v="Corporate"/>
    <x v="0"/>
    <x v="7"/>
    <s v="Small Box"/>
    <s v="IBM Multi-Purpose Copy Paper, 8 1/2 x 11&quot;, Case"/>
    <n v="0.4"/>
    <s v="United States"/>
    <x v="2"/>
    <s v="Illinois"/>
    <s v="Carpentersville"/>
    <n v="60110"/>
    <x v="37"/>
    <d v="2015-04-10T00:00:00"/>
    <n v="109.4248"/>
    <n v="8"/>
    <x v="710"/>
    <n v="87877"/>
    <x v="714"/>
  </r>
  <r>
    <n v="19322"/>
    <s v="Low"/>
    <n v="0.02"/>
    <n v="46.89"/>
    <n v="5.0999999999999996"/>
    <n v="1253"/>
    <s v="Vickie Coates"/>
    <s v="Regular Air"/>
    <s v="Home Office"/>
    <x v="0"/>
    <x v="15"/>
    <s v="Medium Box"/>
    <s v="Bionaire Personal Warm Mist Humidifier/Vaporizer"/>
    <n v="0.46"/>
    <s v="United States"/>
    <x v="2"/>
    <s v="Texas"/>
    <s v="Cedar Park"/>
    <n v="78613"/>
    <x v="45"/>
    <d v="2015-04-23T00:00:00"/>
    <n v="421.3485"/>
    <n v="13"/>
    <x v="711"/>
    <n v="89981"/>
    <x v="715"/>
  </r>
  <r>
    <n v="19323"/>
    <s v="Low"/>
    <n v="0.05"/>
    <n v="140.97999999999999"/>
    <n v="36.090000000000003"/>
    <n v="1253"/>
    <s v="Vickie Coates"/>
    <s v="Delivery Truck"/>
    <s v="Home Office"/>
    <x v="1"/>
    <x v="14"/>
    <s v="Jumbo Box"/>
    <s v="Sauder Forest Hills Library, Woodland Oak Finish"/>
    <n v="0.77"/>
    <s v="United States"/>
    <x v="2"/>
    <s v="Texas"/>
    <s v="Cedar Park"/>
    <n v="78613"/>
    <x v="45"/>
    <d v="2015-04-25T00:00:00"/>
    <n v="-373.09"/>
    <n v="5"/>
    <x v="712"/>
    <n v="89981"/>
    <x v="716"/>
  </r>
  <r>
    <n v="19324"/>
    <s v="Low"/>
    <n v="0.1"/>
    <n v="212.6"/>
    <n v="110.2"/>
    <n v="1253"/>
    <s v="Vickie Coates"/>
    <s v="Delivery Truck"/>
    <s v="Home Office"/>
    <x v="1"/>
    <x v="11"/>
    <s v="Jumbo Box"/>
    <s v="Bush Advantage Collection® Round Conference Table"/>
    <n v="0.73"/>
    <s v="United States"/>
    <x v="2"/>
    <s v="Texas"/>
    <s v="Cedar Park"/>
    <n v="78613"/>
    <x v="45"/>
    <d v="2015-04-25T00:00:00"/>
    <n v="-3465.0720000000001"/>
    <n v="12"/>
    <x v="713"/>
    <n v="89981"/>
    <x v="717"/>
  </r>
  <r>
    <n v="23455"/>
    <s v="Medium"/>
    <n v="0.04"/>
    <n v="2.08"/>
    <n v="1.49"/>
    <n v="1254"/>
    <s v="Anne Bland"/>
    <s v="Regular Air"/>
    <s v="Home Office"/>
    <x v="0"/>
    <x v="8"/>
    <s v="Small Box"/>
    <s v="Economy Binders"/>
    <n v="0.36"/>
    <s v="United States"/>
    <x v="2"/>
    <s v="Texas"/>
    <s v="Channelview"/>
    <n v="77530"/>
    <x v="8"/>
    <d v="2015-05-23T00:00:00"/>
    <n v="-11.281499999999999"/>
    <n v="16"/>
    <x v="714"/>
    <n v="89982"/>
    <x v="718"/>
  </r>
  <r>
    <n v="23815"/>
    <s v="Critical"/>
    <n v="0.06"/>
    <n v="80.98"/>
    <n v="35"/>
    <n v="1254"/>
    <s v="Anne Bland"/>
    <s v="Regular Air"/>
    <s v="Home Office"/>
    <x v="0"/>
    <x v="10"/>
    <s v="Large Box"/>
    <s v="Carina Double Wide Media Storage Towers in Natural &amp; Black"/>
    <n v="0.81"/>
    <s v="United States"/>
    <x v="2"/>
    <s v="Texas"/>
    <s v="Channelview"/>
    <n v="77530"/>
    <x v="14"/>
    <d v="2015-03-13T00:00:00"/>
    <n v="-218.77"/>
    <n v="2"/>
    <x v="715"/>
    <n v="89983"/>
    <x v="719"/>
  </r>
  <r>
    <n v="23926"/>
    <s v="Medium"/>
    <n v="0.06"/>
    <n v="3.95"/>
    <n v="2"/>
    <n v="1254"/>
    <s v="Anne Bland"/>
    <s v="Regular Air"/>
    <s v="Home Office"/>
    <x v="0"/>
    <x v="3"/>
    <s v="Wrap Bag"/>
    <s v="Advantus Map Pennant Flags and Round Head Tacks"/>
    <n v="0.53"/>
    <s v="United States"/>
    <x v="2"/>
    <s v="Texas"/>
    <s v="Channelview"/>
    <n v="77530"/>
    <x v="120"/>
    <d v="2015-03-25T00:00:00"/>
    <n v="-9.68"/>
    <n v="5"/>
    <x v="716"/>
    <n v="89984"/>
    <x v="720"/>
  </r>
  <r>
    <n v="18131"/>
    <s v="Medium"/>
    <n v="0.01"/>
    <n v="115.99"/>
    <n v="56.14"/>
    <n v="1257"/>
    <s v="Ryan Foster"/>
    <s v="Delivery Truck"/>
    <s v="Home Office"/>
    <x v="2"/>
    <x v="6"/>
    <s v="Jumbo Drum"/>
    <s v="Hewlett-Packard Deskjet 5550 Color Inkjet Printer"/>
    <n v="0.4"/>
    <s v="United States"/>
    <x v="0"/>
    <s v="Colorado"/>
    <s v="Aurora"/>
    <n v="80013"/>
    <x v="55"/>
    <d v="2015-05-23T00:00:00"/>
    <n v="-164.39519999999999"/>
    <n v="5"/>
    <x v="717"/>
    <n v="86535"/>
    <x v="721"/>
  </r>
  <r>
    <n v="18693"/>
    <s v="Critical"/>
    <n v="0.04"/>
    <n v="2.52"/>
    <n v="1.92"/>
    <n v="1257"/>
    <s v="Ryan Foster"/>
    <s v="Regular Air"/>
    <s v="Home Office"/>
    <x v="0"/>
    <x v="12"/>
    <s v="Wrap Bag"/>
    <s v="Letter Slitter"/>
    <n v="0.82"/>
    <s v="United States"/>
    <x v="0"/>
    <s v="Colorado"/>
    <s v="Aurora"/>
    <n v="80013"/>
    <x v="158"/>
    <d v="2015-04-24T00:00:00"/>
    <n v="-8.2080000000000002"/>
    <n v="1"/>
    <x v="718"/>
    <n v="86536"/>
    <x v="722"/>
  </r>
  <r>
    <n v="24939"/>
    <s v="High"/>
    <n v="0.03"/>
    <n v="3.69"/>
    <n v="2.5"/>
    <n v="1259"/>
    <s v="Keith Hobbs"/>
    <s v="Express Air"/>
    <s v="Home Office"/>
    <x v="0"/>
    <x v="4"/>
    <s v="Small Box"/>
    <s v="Colored Envelopes"/>
    <n v="0.39"/>
    <s v="United States"/>
    <x v="3"/>
    <s v="Kentucky"/>
    <s v="Danville"/>
    <n v="40422"/>
    <x v="18"/>
    <d v="2015-04-20T00:00:00"/>
    <n v="-2196.6840000000002"/>
    <n v="9"/>
    <x v="207"/>
    <n v="86534"/>
    <x v="723"/>
  </r>
  <r>
    <n v="21771"/>
    <s v="Critical"/>
    <n v="0.02"/>
    <n v="73.98"/>
    <n v="14.52"/>
    <n v="1261"/>
    <s v="Vickie Gonzalez"/>
    <s v="Regular Air"/>
    <s v="Home Office"/>
    <x v="2"/>
    <x v="13"/>
    <s v="Small Box"/>
    <s v="Keytronic French Keyboard"/>
    <n v="0.65"/>
    <s v="United States"/>
    <x v="0"/>
    <s v="Colorado"/>
    <s v="Broomfield"/>
    <n v="80020"/>
    <x v="163"/>
    <d v="2015-05-10T00:00:00"/>
    <n v="43.537999999999997"/>
    <n v="5"/>
    <x v="719"/>
    <n v="89730"/>
    <x v="724"/>
  </r>
  <r>
    <n v="24559"/>
    <s v="Critical"/>
    <n v="0.05"/>
    <n v="5.28"/>
    <n v="6.26"/>
    <n v="1265"/>
    <s v="Danielle Kramer"/>
    <s v="Regular Air"/>
    <s v="Home Office"/>
    <x v="0"/>
    <x v="7"/>
    <s v="Small Box"/>
    <s v="Xerox 1928"/>
    <n v="0.4"/>
    <s v="United States"/>
    <x v="2"/>
    <s v="Oklahoma"/>
    <s v="Altus"/>
    <n v="73521"/>
    <x v="164"/>
    <d v="2015-06-12T00:00:00"/>
    <n v="-11.375999999999999"/>
    <n v="1"/>
    <x v="720"/>
    <n v="89729"/>
    <x v="725"/>
  </r>
  <r>
    <n v="22363"/>
    <s v="Critical"/>
    <n v="0.01"/>
    <n v="13.99"/>
    <n v="7.51"/>
    <n v="1267"/>
    <s v="Rosemary Branch"/>
    <s v="Regular Air"/>
    <s v="Corporate"/>
    <x v="2"/>
    <x v="6"/>
    <s v="Medium Box"/>
    <s v="Sharp EL500L Fraction Calculator"/>
    <n v="0.39"/>
    <s v="United States"/>
    <x v="3"/>
    <s v="Florida"/>
    <s v="Boca Raton"/>
    <n v="33433"/>
    <x v="104"/>
    <d v="2015-02-11T00:00:00"/>
    <n v="533.74199999999996"/>
    <n v="2"/>
    <x v="721"/>
    <n v="89514"/>
    <x v="726"/>
  </r>
  <r>
    <n v="21848"/>
    <s v="Not Specified"/>
    <n v="0.08"/>
    <n v="128.24"/>
    <n v="12.65"/>
    <n v="1267"/>
    <s v="Rosemary Branch"/>
    <s v="Regular Air"/>
    <s v="Corporate"/>
    <x v="1"/>
    <x v="1"/>
    <s v="Medium Box"/>
    <s v="SAFCO Folding Chair Trolley"/>
    <m/>
    <s v="United States"/>
    <x v="3"/>
    <s v="Florida"/>
    <s v="Boca Raton"/>
    <n v="33433"/>
    <x v="3"/>
    <d v="2015-05-13T00:00:00"/>
    <n v="-379.34399999999999"/>
    <n v="3"/>
    <x v="722"/>
    <n v="89515"/>
    <x v="727"/>
  </r>
  <r>
    <n v="21849"/>
    <s v="Not Specified"/>
    <n v="0.04"/>
    <n v="5.98"/>
    <n v="4.38"/>
    <n v="1267"/>
    <s v="Rosemary Branch"/>
    <s v="Regular Air"/>
    <s v="Corporate"/>
    <x v="2"/>
    <x v="13"/>
    <s v="Small Pack"/>
    <s v="Imation 3.5&quot; DS/HD IBM Formatted Diskettes, 10/Pack"/>
    <n v="0.75"/>
    <s v="United States"/>
    <x v="3"/>
    <s v="Florida"/>
    <s v="Boca Raton"/>
    <n v="33433"/>
    <x v="3"/>
    <d v="2015-05-14T00:00:00"/>
    <n v="-1522.3040000000001"/>
    <n v="11"/>
    <x v="723"/>
    <n v="89515"/>
    <x v="728"/>
  </r>
  <r>
    <n v="19550"/>
    <s v="Medium"/>
    <n v="7.0000000000000007E-2"/>
    <n v="125.99"/>
    <n v="7.69"/>
    <n v="1271"/>
    <s v="Joanne Church"/>
    <s v="Regular Air"/>
    <s v="Corporate"/>
    <x v="2"/>
    <x v="5"/>
    <s v="Small Box"/>
    <s v="StarTAC 3000"/>
    <n v="0.59"/>
    <s v="United States"/>
    <x v="0"/>
    <s v="California"/>
    <s v="La Mesa"/>
    <n v="91941"/>
    <x v="37"/>
    <d v="2015-04-10T00:00:00"/>
    <n v="588.24570000000006"/>
    <n v="8"/>
    <x v="724"/>
    <n v="88410"/>
    <x v="729"/>
  </r>
  <r>
    <n v="19398"/>
    <s v="Low"/>
    <n v="0.1"/>
    <n v="34.229999999999997"/>
    <n v="5.0199999999999996"/>
    <n v="1271"/>
    <s v="Joanne Church"/>
    <s v="Regular Air"/>
    <s v="Corporate"/>
    <x v="1"/>
    <x v="2"/>
    <s v="Small Box"/>
    <s v="Hand-Finished Solid Wood Document Frame"/>
    <n v="0.55000000000000004"/>
    <s v="United States"/>
    <x v="0"/>
    <s v="California"/>
    <s v="La Mesa"/>
    <n v="91941"/>
    <x v="90"/>
    <d v="2015-05-06T00:00:00"/>
    <n v="151.56540000000001"/>
    <n v="7"/>
    <x v="725"/>
    <n v="88411"/>
    <x v="730"/>
  </r>
  <r>
    <n v="20628"/>
    <s v="Critical"/>
    <n v="7.0000000000000007E-2"/>
    <n v="40.98"/>
    <n v="7.47"/>
    <n v="1279"/>
    <s v="Josephine Rao"/>
    <s v="Regular Air"/>
    <s v="Corporate"/>
    <x v="0"/>
    <x v="8"/>
    <s v="Small Box"/>
    <s v="Wilson Jones Ledger-Size, Piano-Hinge Binder, 2&quot;, Blue"/>
    <n v="0.37"/>
    <s v="United States"/>
    <x v="2"/>
    <s v="Indiana"/>
    <s v="Hammond"/>
    <n v="46324"/>
    <x v="151"/>
    <d v="2015-03-02T00:00:00"/>
    <n v="54.901499999999999"/>
    <n v="2"/>
    <x v="726"/>
    <n v="90114"/>
    <x v="731"/>
  </r>
  <r>
    <n v="25005"/>
    <s v="Not Specified"/>
    <n v="0"/>
    <n v="442.14"/>
    <n v="14.7"/>
    <n v="1279"/>
    <s v="Josephine Rao"/>
    <s v="Delivery Truck"/>
    <s v="Corporate"/>
    <x v="2"/>
    <x v="6"/>
    <s v="Jumbo Drum"/>
    <s v="Okidata ML390 Turbo Dot Matrix Printers"/>
    <n v="0.56000000000000005"/>
    <s v="United States"/>
    <x v="2"/>
    <s v="Indiana"/>
    <s v="Hammond"/>
    <n v="46324"/>
    <x v="93"/>
    <d v="2015-03-05T00:00:00"/>
    <n v="501.51"/>
    <n v="5"/>
    <x v="727"/>
    <n v="90115"/>
    <x v="732"/>
  </r>
  <r>
    <n v="2628"/>
    <s v="Critical"/>
    <n v="7.0000000000000007E-2"/>
    <n v="40.98"/>
    <n v="7.47"/>
    <n v="1280"/>
    <s v="Harold Albright"/>
    <s v="Regular Air"/>
    <s v="Corporate"/>
    <x v="0"/>
    <x v="8"/>
    <s v="Small Box"/>
    <s v="Wilson Jones Ledger-Size, Piano-Hinge Binder, 2&quot;, Blue"/>
    <n v="0.37"/>
    <s v="United States"/>
    <x v="0"/>
    <s v="Washington"/>
    <s v="Seattle"/>
    <n v="98119"/>
    <x v="151"/>
    <d v="2015-03-02T00:00:00"/>
    <n v="54.901499999999999"/>
    <n v="8"/>
    <x v="728"/>
    <n v="19042"/>
    <x v="733"/>
  </r>
  <r>
    <n v="22125"/>
    <s v="Low"/>
    <n v="0.1"/>
    <n v="238.4"/>
    <n v="24.49"/>
    <n v="1281"/>
    <s v="Pauline Denton"/>
    <s v="Regular Air"/>
    <s v="Small Business"/>
    <x v="1"/>
    <x v="1"/>
    <s v="Large Box"/>
    <s v="Safco Contoured Stacking Chairs"/>
    <m/>
    <s v="United States"/>
    <x v="2"/>
    <s v="Indiana"/>
    <s v="Vincennes"/>
    <n v="47591"/>
    <x v="76"/>
    <d v="2015-01-26T00:00:00"/>
    <n v="875.28440000000001"/>
    <n v="8"/>
    <x v="729"/>
    <n v="89112"/>
    <x v="734"/>
  </r>
  <r>
    <n v="22126"/>
    <s v="Low"/>
    <n v="0.03"/>
    <n v="199.99"/>
    <n v="24.49"/>
    <n v="1281"/>
    <s v="Pauline Denton"/>
    <s v="Express Air"/>
    <s v="Small Business"/>
    <x v="2"/>
    <x v="16"/>
    <s v="Large Box"/>
    <s v="Canon PC-428 Personal Copier"/>
    <n v="0.46"/>
    <s v="United States"/>
    <x v="2"/>
    <s v="Indiana"/>
    <s v="Vincennes"/>
    <n v="47591"/>
    <x v="76"/>
    <d v="2015-01-26T00:00:00"/>
    <n v="727.73609999999996"/>
    <n v="5"/>
    <x v="730"/>
    <n v="89112"/>
    <x v="735"/>
  </r>
  <r>
    <n v="4125"/>
    <s v="Low"/>
    <n v="0.1"/>
    <n v="238.4"/>
    <n v="24.49"/>
    <n v="1282"/>
    <s v="Dana Sharpe"/>
    <s v="Regular Air"/>
    <s v="Small Business"/>
    <x v="1"/>
    <x v="1"/>
    <s v="Large Box"/>
    <s v="Safco Contoured Stacking Chairs"/>
    <m/>
    <s v="United States"/>
    <x v="1"/>
    <s v="Pennsylvania"/>
    <s v="Philadelphia"/>
    <n v="19134"/>
    <x v="76"/>
    <d v="2015-01-26T00:00:00"/>
    <n v="460.67599999999999"/>
    <n v="30"/>
    <x v="731"/>
    <n v="29319"/>
    <x v="736"/>
  </r>
  <r>
    <n v="4126"/>
    <s v="Low"/>
    <n v="0.03"/>
    <n v="199.99"/>
    <n v="24.49"/>
    <n v="1282"/>
    <s v="Dana Sharpe"/>
    <s v="Express Air"/>
    <s v="Small Business"/>
    <x v="2"/>
    <x v="16"/>
    <s v="Large Box"/>
    <s v="Canon PC-428 Personal Copier"/>
    <n v="0.46"/>
    <s v="United States"/>
    <x v="1"/>
    <s v="Pennsylvania"/>
    <s v="Philadelphia"/>
    <n v="19134"/>
    <x v="76"/>
    <d v="2015-01-26T00:00:00"/>
    <n v="393.42"/>
    <n v="21"/>
    <x v="732"/>
    <n v="29319"/>
    <x v="737"/>
  </r>
  <r>
    <n v="19990"/>
    <s v="Not Specified"/>
    <n v="0.04"/>
    <n v="150.97999999999999"/>
    <n v="13.99"/>
    <n v="1298"/>
    <s v="Herbert Beard"/>
    <s v="Regular Air"/>
    <s v="Home Office"/>
    <x v="2"/>
    <x v="6"/>
    <s v="Medium Box"/>
    <s v="Canon MP41DH Printing Calculator"/>
    <n v="0.38"/>
    <s v="United States"/>
    <x v="2"/>
    <s v="Texas"/>
    <s v="Sulphur Springs"/>
    <n v="75482"/>
    <x v="6"/>
    <d v="2015-02-15T00:00:00"/>
    <n v="606.05460000000005"/>
    <n v="6"/>
    <x v="733"/>
    <n v="90662"/>
    <x v="738"/>
  </r>
  <r>
    <n v="19991"/>
    <s v="Not Specified"/>
    <n v="0.04"/>
    <n v="176.19"/>
    <n v="11.87"/>
    <n v="1298"/>
    <s v="Herbert Beard"/>
    <s v="Regular Air"/>
    <s v="Home Office"/>
    <x v="0"/>
    <x v="10"/>
    <s v="Small Box"/>
    <s v="Fellowes High-Stak® Drawer Files"/>
    <n v="0.62"/>
    <s v="United States"/>
    <x v="2"/>
    <s v="Texas"/>
    <s v="Sulphur Springs"/>
    <n v="75482"/>
    <x v="6"/>
    <d v="2015-02-14T00:00:00"/>
    <n v="320.10000000000002"/>
    <n v="4"/>
    <x v="734"/>
    <n v="90662"/>
    <x v="739"/>
  </r>
  <r>
    <n v="23120"/>
    <s v="High"/>
    <n v="0.03"/>
    <n v="39.479999999999997"/>
    <n v="1.99"/>
    <n v="1303"/>
    <s v="Cindy Harvey"/>
    <s v="Regular Air"/>
    <s v="Consumer"/>
    <x v="2"/>
    <x v="13"/>
    <s v="Small Pack"/>
    <s v="80 Minute CD-R Spindle, 100/Pack - Staples"/>
    <n v="0.54"/>
    <s v="United States"/>
    <x v="0"/>
    <s v="Utah"/>
    <s v="Tooele"/>
    <n v="84074"/>
    <x v="153"/>
    <d v="2015-02-21T00:00:00"/>
    <n v="317.08949999999999"/>
    <n v="12"/>
    <x v="735"/>
    <n v="87003"/>
    <x v="740"/>
  </r>
  <r>
    <n v="20652"/>
    <s v="Low"/>
    <n v="0.01"/>
    <n v="65.989999999999995"/>
    <n v="5.31"/>
    <n v="1303"/>
    <s v="Cindy Harvey"/>
    <s v="Regular Air"/>
    <s v="Consumer"/>
    <x v="2"/>
    <x v="5"/>
    <s v="Small Box"/>
    <n v="3390"/>
    <n v="0.56999999999999995"/>
    <s v="United States"/>
    <x v="0"/>
    <s v="Utah"/>
    <s v="Tooele"/>
    <n v="84074"/>
    <x v="153"/>
    <d v="2015-02-26T00:00:00"/>
    <n v="250.36272"/>
    <n v="9"/>
    <x v="736"/>
    <n v="87005"/>
    <x v="741"/>
  </r>
  <r>
    <n v="25092"/>
    <s v="Medium"/>
    <n v="0.08"/>
    <n v="2.88"/>
    <n v="0.5"/>
    <n v="1304"/>
    <s v="Sherri McIntosh"/>
    <s v="Regular Air"/>
    <s v="Consumer"/>
    <x v="0"/>
    <x v="9"/>
    <s v="Small Box"/>
    <s v="Avery 507"/>
    <n v="0.39"/>
    <s v="United States"/>
    <x v="0"/>
    <s v="Utah"/>
    <s v="West Jordan"/>
    <n v="84084"/>
    <x v="45"/>
    <d v="2015-04-24T00:00:00"/>
    <n v="6.0305999999999997"/>
    <n v="3"/>
    <x v="737"/>
    <n v="87004"/>
    <x v="742"/>
  </r>
  <r>
    <n v="26274"/>
    <s v="High"/>
    <n v="0.04"/>
    <n v="62.18"/>
    <n v="10.84"/>
    <n v="1305"/>
    <s v="Chris Pritchard"/>
    <s v="Regular Air"/>
    <s v="Consumer"/>
    <x v="1"/>
    <x v="2"/>
    <s v="Medium Box"/>
    <s v="Deflect-o Glass Clear Studded Chair Mats"/>
    <n v="0.63"/>
    <s v="United States"/>
    <x v="0"/>
    <s v="Utah"/>
    <s v="West Valley City"/>
    <n v="84120"/>
    <x v="149"/>
    <d v="2015-02-19T00:00:00"/>
    <n v="125.8077"/>
    <n v="3"/>
    <x v="738"/>
    <n v="87002"/>
    <x v="743"/>
  </r>
  <r>
    <n v="22832"/>
    <s v="Low"/>
    <n v="0.04"/>
    <n v="8.33"/>
    <n v="1.99"/>
    <n v="1307"/>
    <s v="Teresa Hill"/>
    <s v="Regular Air"/>
    <s v="Small Business"/>
    <x v="2"/>
    <x v="13"/>
    <s v="Small Pack"/>
    <s v="80 Minute Slim Jewel Case CD-R , 10/Pack - Staples"/>
    <n v="0.52"/>
    <s v="United States"/>
    <x v="0"/>
    <s v="Oregon"/>
    <s v="Coos Bay"/>
    <n v="97420"/>
    <x v="133"/>
    <d v="2015-07-07T00:00:00"/>
    <n v="44.892000000000003"/>
    <n v="16"/>
    <x v="739"/>
    <n v="91451"/>
    <x v="744"/>
  </r>
  <r>
    <n v="3167"/>
    <s v="Medium"/>
    <n v="0.04"/>
    <n v="5.34"/>
    <n v="2.99"/>
    <n v="1314"/>
    <s v="Keith Marsh"/>
    <s v="Regular Air"/>
    <s v="Home Office"/>
    <x v="0"/>
    <x v="8"/>
    <s v="Small Box"/>
    <s v="Wilson Jones 14 Line Acrylic Coated Pressboard Data Binders"/>
    <n v="0.38"/>
    <s v="United States"/>
    <x v="0"/>
    <s v="California"/>
    <s v="Los Angeles"/>
    <n v="90058"/>
    <x v="25"/>
    <d v="2015-04-01T00:00:00"/>
    <n v="3.4510000000000001"/>
    <n v="45"/>
    <x v="740"/>
    <n v="22755"/>
    <x v="745"/>
  </r>
  <r>
    <n v="3168"/>
    <s v="Medium"/>
    <n v="0.06"/>
    <n v="55.99"/>
    <n v="5"/>
    <n v="1314"/>
    <s v="Keith Marsh"/>
    <s v="Regular Air"/>
    <s v="Home Office"/>
    <x v="2"/>
    <x v="5"/>
    <s v="Small Pack"/>
    <s v="Accessory6"/>
    <n v="0.8"/>
    <s v="United States"/>
    <x v="0"/>
    <s v="California"/>
    <s v="Los Angeles"/>
    <n v="90058"/>
    <x v="25"/>
    <d v="2015-04-01T00:00:00"/>
    <n v="-275.25299999999999"/>
    <n v="5"/>
    <x v="741"/>
    <n v="22755"/>
    <x v="746"/>
  </r>
  <r>
    <n v="3791"/>
    <s v="Low"/>
    <n v="0.05"/>
    <n v="80.98"/>
    <n v="35"/>
    <n v="1314"/>
    <s v="Keith Marsh"/>
    <s v="Regular Air"/>
    <s v="Home Office"/>
    <x v="0"/>
    <x v="10"/>
    <s v="Large Box"/>
    <s v="Carina Double Wide Media Storage Towers in Natural &amp; Black"/>
    <n v="0.81"/>
    <s v="United States"/>
    <x v="0"/>
    <s v="California"/>
    <s v="Los Angeles"/>
    <n v="90058"/>
    <x v="99"/>
    <d v="2015-01-09T00:00:00"/>
    <n v="-746.44"/>
    <n v="34"/>
    <x v="742"/>
    <n v="27013"/>
    <x v="747"/>
  </r>
  <r>
    <n v="3792"/>
    <s v="Low"/>
    <n v="0.05"/>
    <n v="279.48"/>
    <n v="35"/>
    <n v="1314"/>
    <s v="Keith Marsh"/>
    <s v="Regular Air"/>
    <s v="Home Office"/>
    <x v="0"/>
    <x v="10"/>
    <s v="Large Box"/>
    <s v="Tennsco Snap-Together Open Shelving Units, Starter Sets and Add-On Units"/>
    <n v="0.8"/>
    <s v="United States"/>
    <x v="0"/>
    <s v="California"/>
    <s v="Los Angeles"/>
    <n v="90058"/>
    <x v="99"/>
    <d v="2015-01-05T00:00:00"/>
    <n v="-274.95"/>
    <n v="31"/>
    <x v="743"/>
    <n v="27013"/>
    <x v="748"/>
  </r>
  <r>
    <n v="21166"/>
    <s v="Medium"/>
    <n v="0"/>
    <n v="4.91"/>
    <n v="5.68"/>
    <n v="1315"/>
    <s v="Adam Saunders Gray"/>
    <s v="Regular Air"/>
    <s v="Home Office"/>
    <x v="0"/>
    <x v="8"/>
    <s v="Small Box"/>
    <s v="Acco Pressboard Covers with Storage Hooks, 14 7/8&quot; x 11&quot;, Light Blue"/>
    <n v="0.36"/>
    <s v="United States"/>
    <x v="0"/>
    <s v="Colorado"/>
    <s v="Colorado Springs"/>
    <n v="80906"/>
    <x v="25"/>
    <d v="2015-03-31T00:00:00"/>
    <n v="-95.047499999999999"/>
    <n v="9"/>
    <x v="744"/>
    <n v="87602"/>
    <x v="749"/>
  </r>
  <r>
    <n v="21167"/>
    <s v="Medium"/>
    <n v="0.04"/>
    <n v="5.34"/>
    <n v="2.99"/>
    <n v="1316"/>
    <s v="Marion Lindsey"/>
    <s v="Regular Air"/>
    <s v="Home Office"/>
    <x v="0"/>
    <x v="8"/>
    <s v="Small Box"/>
    <s v="Wilson Jones 14 Line Acrylic Coated Pressboard Data Binders"/>
    <n v="0.38"/>
    <s v="United States"/>
    <x v="0"/>
    <s v="Colorado"/>
    <s v="Commerce City"/>
    <n v="80022"/>
    <x v="25"/>
    <d v="2015-04-01T00:00:00"/>
    <n v="3.4510000000000001"/>
    <n v="11"/>
    <x v="745"/>
    <n v="87602"/>
    <x v="750"/>
  </r>
  <r>
    <n v="21168"/>
    <s v="Medium"/>
    <n v="0.06"/>
    <n v="55.99"/>
    <n v="5"/>
    <n v="1316"/>
    <s v="Marion Lindsey"/>
    <s v="Regular Air"/>
    <s v="Home Office"/>
    <x v="2"/>
    <x v="5"/>
    <s v="Small Pack"/>
    <s v="Accessory6"/>
    <n v="0.8"/>
    <s v="United States"/>
    <x v="0"/>
    <s v="Colorado"/>
    <s v="Commerce City"/>
    <n v="80022"/>
    <x v="25"/>
    <d v="2015-04-01T00:00:00"/>
    <n v="-275.25299999999999"/>
    <n v="1"/>
    <x v="746"/>
    <n v="87602"/>
    <x v="751"/>
  </r>
  <r>
    <n v="21791"/>
    <s v="Low"/>
    <n v="0.05"/>
    <n v="80.98"/>
    <n v="35"/>
    <n v="1316"/>
    <s v="Marion Lindsey"/>
    <s v="Regular Air"/>
    <s v="Home Office"/>
    <x v="0"/>
    <x v="10"/>
    <s v="Large Box"/>
    <s v="Carina Double Wide Media Storage Towers in Natural &amp; Black"/>
    <n v="0.81"/>
    <s v="United States"/>
    <x v="0"/>
    <s v="Colorado"/>
    <s v="Commerce City"/>
    <n v="80022"/>
    <x v="99"/>
    <d v="2015-01-09T00:00:00"/>
    <n v="-746.44"/>
    <n v="8"/>
    <x v="747"/>
    <n v="87603"/>
    <x v="752"/>
  </r>
  <r>
    <n v="21792"/>
    <s v="Low"/>
    <n v="0.05"/>
    <n v="279.48"/>
    <n v="35"/>
    <n v="1316"/>
    <s v="Marion Lindsey"/>
    <s v="Regular Air"/>
    <s v="Home Office"/>
    <x v="0"/>
    <x v="10"/>
    <s v="Large Box"/>
    <s v="Tennsco Snap-Together Open Shelving Units, Starter Sets and Add-On Units"/>
    <n v="0.8"/>
    <s v="United States"/>
    <x v="0"/>
    <s v="Colorado"/>
    <s v="Commerce City"/>
    <n v="80022"/>
    <x v="99"/>
    <d v="2015-01-05T00:00:00"/>
    <n v="-274.95"/>
    <n v="8"/>
    <x v="748"/>
    <n v="87603"/>
    <x v="753"/>
  </r>
  <r>
    <n v="21006"/>
    <s v="Low"/>
    <n v="0.02"/>
    <n v="55.99"/>
    <n v="3.3"/>
    <n v="1338"/>
    <s v="Denise McIntosh"/>
    <s v="Regular Air"/>
    <s v="Home Office"/>
    <x v="2"/>
    <x v="5"/>
    <s v="Small Pack"/>
    <s v="Accessory24"/>
    <n v="0.59"/>
    <s v="United States"/>
    <x v="2"/>
    <s v="Illinois"/>
    <s v="Chicago"/>
    <n v="60623"/>
    <x v="104"/>
    <d v="2015-02-10T00:00:00"/>
    <n v="525.20039999999995"/>
    <n v="16"/>
    <x v="749"/>
    <n v="91244"/>
    <x v="754"/>
  </r>
  <r>
    <n v="3004"/>
    <s v="Low"/>
    <n v="0"/>
    <n v="22.38"/>
    <n v="15.1"/>
    <n v="1340"/>
    <s v="Marie Bass"/>
    <s v="Express Air"/>
    <s v="Home Office"/>
    <x v="0"/>
    <x v="8"/>
    <s v="Small Box"/>
    <s v="Avery Flip-Chart Easel Binder, Black"/>
    <n v="0.38"/>
    <s v="United States"/>
    <x v="1"/>
    <s v="New York"/>
    <s v="New York City"/>
    <n v="10170"/>
    <x v="104"/>
    <d v="2015-02-17T00:00:00"/>
    <n v="-52.646999999999998"/>
    <n v="29"/>
    <x v="750"/>
    <n v="21636"/>
    <x v="755"/>
  </r>
  <r>
    <n v="3005"/>
    <s v="Low"/>
    <n v="7.0000000000000007E-2"/>
    <n v="5.98"/>
    <n v="4.6900000000000004"/>
    <n v="1340"/>
    <s v="Marie Bass"/>
    <s v="Regular Air"/>
    <s v="Home Office"/>
    <x v="0"/>
    <x v="10"/>
    <s v="Small Box"/>
    <s v="Perma STOR-ALL™ Hanging File Box, 13 1/8&quot;W x 12 1/4&quot;D x 10 1/2&quot;H"/>
    <n v="0.68"/>
    <s v="United States"/>
    <x v="1"/>
    <s v="New York"/>
    <s v="New York City"/>
    <n v="10170"/>
    <x v="104"/>
    <d v="2015-02-15T00:00:00"/>
    <n v="-24.44"/>
    <n v="11"/>
    <x v="751"/>
    <n v="21636"/>
    <x v="756"/>
  </r>
  <r>
    <n v="3006"/>
    <s v="Low"/>
    <n v="0.02"/>
    <n v="55.99"/>
    <n v="3.3"/>
    <n v="1340"/>
    <s v="Marie Bass"/>
    <s v="Regular Air"/>
    <s v="Home Office"/>
    <x v="2"/>
    <x v="5"/>
    <s v="Small Pack"/>
    <s v="Accessory24"/>
    <n v="0.59"/>
    <s v="United States"/>
    <x v="1"/>
    <s v="New York"/>
    <s v="New York City"/>
    <n v="10170"/>
    <x v="104"/>
    <d v="2015-02-10T00:00:00"/>
    <n v="366.50700000000001"/>
    <n v="63"/>
    <x v="752"/>
    <n v="21636"/>
    <x v="757"/>
  </r>
  <r>
    <n v="3431"/>
    <s v="Not Specified"/>
    <n v="7.0000000000000007E-2"/>
    <n v="3.98"/>
    <n v="0.83"/>
    <n v="1340"/>
    <s v="Marie Bass"/>
    <s v="Regular Air"/>
    <s v="Home Office"/>
    <x v="0"/>
    <x v="0"/>
    <s v="Wrap Bag"/>
    <s v="Fluorescent Highlighters by Dixon"/>
    <n v="0.51"/>
    <s v="United States"/>
    <x v="1"/>
    <s v="New York"/>
    <s v="New York City"/>
    <n v="10170"/>
    <x v="132"/>
    <d v="2015-06-09T00:00:00"/>
    <n v="27.38"/>
    <n v="76"/>
    <x v="753"/>
    <n v="24455"/>
    <x v="758"/>
  </r>
  <r>
    <n v="21005"/>
    <s v="Low"/>
    <n v="7.0000000000000007E-2"/>
    <n v="5.98"/>
    <n v="4.6900000000000004"/>
    <n v="1341"/>
    <s v="Edward Bynum"/>
    <s v="Regular Air"/>
    <s v="Home Office"/>
    <x v="0"/>
    <x v="10"/>
    <s v="Small Box"/>
    <s v="Perma STOR-ALL™ Hanging File Box, 13 1/8&quot;W x 12 1/4&quot;D x 10 1/2&quot;H"/>
    <n v="0.68"/>
    <s v="United States"/>
    <x v="1"/>
    <s v="Pennsylvania"/>
    <s v="Chambersburg"/>
    <n v="17201"/>
    <x v="104"/>
    <d v="2015-02-15T00:00:00"/>
    <n v="-12.7088"/>
    <n v="3"/>
    <x v="754"/>
    <n v="91244"/>
    <x v="759"/>
  </r>
  <r>
    <n v="21430"/>
    <s v="Not Specified"/>
    <n v="0"/>
    <n v="20.89"/>
    <n v="1.99"/>
    <n v="1341"/>
    <s v="Edward Bynum"/>
    <s v="Regular Air"/>
    <s v="Home Office"/>
    <x v="2"/>
    <x v="13"/>
    <s v="Small Pack"/>
    <s v="IBM 80 Minute CD-R Spindle, 50/Pack"/>
    <n v="0.48"/>
    <s v="United States"/>
    <x v="1"/>
    <s v="Pennsylvania"/>
    <s v="Chambersburg"/>
    <n v="17201"/>
    <x v="132"/>
    <d v="2015-06-08T00:00:00"/>
    <n v="-5.2949999999999999"/>
    <n v="4"/>
    <x v="755"/>
    <n v="91245"/>
    <x v="760"/>
  </r>
  <r>
    <n v="21431"/>
    <s v="Not Specified"/>
    <n v="7.0000000000000007E-2"/>
    <n v="3.98"/>
    <n v="0.83"/>
    <n v="1341"/>
    <s v="Edward Bynum"/>
    <s v="Regular Air"/>
    <s v="Home Office"/>
    <x v="0"/>
    <x v="0"/>
    <s v="Wrap Bag"/>
    <s v="Fluorescent Highlighters by Dixon"/>
    <n v="0.51"/>
    <s v="United States"/>
    <x v="1"/>
    <s v="Pennsylvania"/>
    <s v="Chambersburg"/>
    <n v="17201"/>
    <x v="132"/>
    <d v="2015-06-09T00:00:00"/>
    <n v="41.07"/>
    <n v="19"/>
    <x v="756"/>
    <n v="91245"/>
    <x v="761"/>
  </r>
  <r>
    <n v="20804"/>
    <s v="Low"/>
    <n v="0.1"/>
    <n v="2.62"/>
    <n v="0.8"/>
    <n v="1347"/>
    <s v="Vivian Goldstein"/>
    <s v="Regular Air"/>
    <s v="Home Office"/>
    <x v="0"/>
    <x v="3"/>
    <s v="Wrap Bag"/>
    <s v="Staples Metal Binder Clips"/>
    <n v="0.39"/>
    <s v="United States"/>
    <x v="3"/>
    <s v="Florida"/>
    <s v="Brandon"/>
    <n v="33511"/>
    <x v="122"/>
    <d v="2015-05-06T00:00:00"/>
    <n v="-94.490899999999996"/>
    <n v="21"/>
    <x v="757"/>
    <n v="89686"/>
    <x v="762"/>
  </r>
  <r>
    <n v="22414"/>
    <s v="High"/>
    <n v="0"/>
    <n v="12.2"/>
    <n v="6.02"/>
    <n v="1350"/>
    <s v="Jackie Burke"/>
    <s v="Express Air"/>
    <s v="Home Office"/>
    <x v="1"/>
    <x v="2"/>
    <s v="Small Pack"/>
    <s v="Advantus Panel Wall Certificate Holder - 8.5x11"/>
    <n v="0.43"/>
    <s v="United States"/>
    <x v="3"/>
    <s v="Florida"/>
    <s v="Carol City"/>
    <n v="33055"/>
    <x v="89"/>
    <d v="2015-04-18T00:00:00"/>
    <n v="-172.298"/>
    <n v="4"/>
    <x v="758"/>
    <n v="88233"/>
    <x v="763"/>
  </r>
  <r>
    <n v="18499"/>
    <s v="Not Specified"/>
    <n v="0.1"/>
    <n v="110.99"/>
    <n v="8.99"/>
    <n v="1351"/>
    <s v="Janet McCullough"/>
    <s v="Express Air"/>
    <s v="Home Office"/>
    <x v="2"/>
    <x v="5"/>
    <s v="Small Box"/>
    <s v="LX 677"/>
    <n v="0.56999999999999995"/>
    <s v="United States"/>
    <x v="3"/>
    <s v="Florida"/>
    <s v="Coconut Creek"/>
    <n v="33063"/>
    <x v="39"/>
    <d v="2015-01-29T00:00:00"/>
    <n v="3285.48"/>
    <n v="7"/>
    <x v="759"/>
    <n v="88232"/>
    <x v="764"/>
  </r>
  <r>
    <n v="24232"/>
    <s v="High"/>
    <n v="0.05"/>
    <n v="17.670000000000002"/>
    <n v="8.99"/>
    <n v="1352"/>
    <s v="Vivian Clarke"/>
    <s v="Regular Air"/>
    <s v="Home Office"/>
    <x v="1"/>
    <x v="2"/>
    <s v="Small Pack"/>
    <s v="Executive Impressions 12&quot; Wall Clock"/>
    <n v="0.47"/>
    <s v="United States"/>
    <x v="1"/>
    <s v="Maryland"/>
    <s v="Camp Springs"/>
    <n v="20746"/>
    <x v="122"/>
    <d v="2015-05-01T00:00:00"/>
    <n v="46.036799999999999"/>
    <n v="16"/>
    <x v="760"/>
    <n v="88234"/>
    <x v="765"/>
  </r>
  <r>
    <n v="20870"/>
    <s v="High"/>
    <n v="0.1"/>
    <n v="4.13"/>
    <n v="0.99"/>
    <n v="1354"/>
    <s v="Aaron Dillon"/>
    <s v="Regular Air"/>
    <s v="Consumer"/>
    <x v="0"/>
    <x v="9"/>
    <s v="Small Box"/>
    <s v="Avery 491"/>
    <n v="0.39"/>
    <s v="United States"/>
    <x v="2"/>
    <s v="Texas"/>
    <s v="Weatherford"/>
    <n v="76086"/>
    <x v="143"/>
    <d v="2015-02-11T00:00:00"/>
    <n v="-1.0711999999999999"/>
    <n v="2"/>
    <x v="161"/>
    <n v="91209"/>
    <x v="766"/>
  </r>
  <r>
    <n v="20871"/>
    <s v="High"/>
    <n v="0.04"/>
    <n v="4.9800000000000004"/>
    <n v="0.49"/>
    <n v="1354"/>
    <s v="Aaron Dillon"/>
    <s v="Regular Air"/>
    <s v="Consumer"/>
    <x v="0"/>
    <x v="9"/>
    <s v="Small Box"/>
    <s v="Avery White Multi-Purpose Labels"/>
    <n v="0.39"/>
    <s v="United States"/>
    <x v="2"/>
    <s v="Texas"/>
    <s v="Weatherford"/>
    <n v="76086"/>
    <x v="143"/>
    <d v="2015-02-13T00:00:00"/>
    <n v="4.4104000000000001"/>
    <n v="2"/>
    <x v="761"/>
    <n v="91209"/>
    <x v="767"/>
  </r>
  <r>
    <n v="18733"/>
    <s v="Medium"/>
    <n v="0.03"/>
    <n v="125.99"/>
    <n v="7.69"/>
    <n v="1357"/>
    <s v="Marguerite Yu"/>
    <s v="Regular Air"/>
    <s v="Home Office"/>
    <x v="2"/>
    <x v="5"/>
    <s v="Small Box"/>
    <s v="Timeport L7089"/>
    <n v="0.57999999999999996"/>
    <s v="United States"/>
    <x v="2"/>
    <s v="Texas"/>
    <s v="Weslaco"/>
    <n v="78596"/>
    <x v="26"/>
    <d v="2015-06-05T00:00:00"/>
    <n v="500.95800000000003"/>
    <n v="9"/>
    <x v="762"/>
    <n v="88184"/>
    <x v="768"/>
  </r>
  <r>
    <n v="18645"/>
    <s v="High"/>
    <n v="7.0000000000000007E-2"/>
    <n v="119.99"/>
    <n v="16.8"/>
    <n v="1357"/>
    <s v="Marguerite Yu"/>
    <s v="Delivery Truck"/>
    <s v="Home Office"/>
    <x v="2"/>
    <x v="6"/>
    <s v="Jumbo Box"/>
    <s v="Epson C62 Color Inkjet Printer"/>
    <n v="0.35"/>
    <s v="United States"/>
    <x v="2"/>
    <s v="Texas"/>
    <s v="Weslaco"/>
    <n v="78596"/>
    <x v="162"/>
    <d v="2015-06-30T00:00:00"/>
    <n v="1206.5961"/>
    <n v="15"/>
    <x v="763"/>
    <n v="88185"/>
    <x v="769"/>
  </r>
  <r>
    <n v="20830"/>
    <s v="High"/>
    <n v="0.03"/>
    <n v="14.34"/>
    <n v="5"/>
    <n v="1360"/>
    <s v="Arlene Gibbons"/>
    <s v="Regular Air"/>
    <s v="Consumer"/>
    <x v="1"/>
    <x v="2"/>
    <s v="Small Pack"/>
    <s v="Nu-Dell Leatherette Frames"/>
    <n v="0.49"/>
    <s v="United States"/>
    <x v="2"/>
    <s v="Iowa"/>
    <s v="Muscatine"/>
    <n v="52761"/>
    <x v="161"/>
    <d v="2015-01-27T00:00:00"/>
    <n v="82.310100000000006"/>
    <n v="8"/>
    <x v="764"/>
    <n v="89595"/>
    <x v="770"/>
  </r>
  <r>
    <n v="20829"/>
    <s v="High"/>
    <n v="0.01"/>
    <n v="2.89"/>
    <n v="0.5"/>
    <n v="1361"/>
    <s v="Kristina Collier"/>
    <s v="Regular Air"/>
    <s v="Consumer"/>
    <x v="0"/>
    <x v="9"/>
    <s v="Small Box"/>
    <s v="Avery 498"/>
    <n v="0.38"/>
    <s v="United States"/>
    <x v="2"/>
    <s v="Michigan"/>
    <s v="Allen Park"/>
    <n v="48101"/>
    <x v="161"/>
    <d v="2015-01-28T00:00:00"/>
    <n v="1.2236"/>
    <n v="1"/>
    <x v="765"/>
    <n v="89595"/>
    <x v="771"/>
  </r>
  <r>
    <n v="24432"/>
    <s v="Critical"/>
    <n v="0.01"/>
    <n v="6.48"/>
    <n v="6.22"/>
    <n v="1361"/>
    <s v="Kristina Collier"/>
    <s v="Express Air"/>
    <s v="Consumer"/>
    <x v="0"/>
    <x v="7"/>
    <s v="Small Box"/>
    <s v="Xerox 1894"/>
    <n v="0.37"/>
    <s v="United States"/>
    <x v="2"/>
    <s v="Michigan"/>
    <s v="Allen Park"/>
    <n v="48101"/>
    <x v="104"/>
    <d v="2015-02-11T00:00:00"/>
    <n v="-15.6312"/>
    <n v="9"/>
    <x v="766"/>
    <n v="89596"/>
    <x v="772"/>
  </r>
  <r>
    <n v="24433"/>
    <s v="Critical"/>
    <n v="0.03"/>
    <n v="85.99"/>
    <n v="3.3"/>
    <n v="1361"/>
    <s v="Kristina Collier"/>
    <s v="Regular Air"/>
    <s v="Consumer"/>
    <x v="2"/>
    <x v="5"/>
    <s v="Small Pack"/>
    <s v="Accessory20"/>
    <n v="0.37"/>
    <s v="United States"/>
    <x v="2"/>
    <s v="Michigan"/>
    <s v="Allen Park"/>
    <n v="48101"/>
    <x v="104"/>
    <d v="2015-02-12T00:00:00"/>
    <n v="790.54679999999996"/>
    <n v="16"/>
    <x v="767"/>
    <n v="89596"/>
    <x v="773"/>
  </r>
  <r>
    <n v="23011"/>
    <s v="Medium"/>
    <n v="0.05"/>
    <n v="12.97"/>
    <n v="1.49"/>
    <n v="1363"/>
    <s v="Earl Roy"/>
    <s v="Regular Air"/>
    <s v="Consumer"/>
    <x v="0"/>
    <x v="8"/>
    <s v="Small Box"/>
    <s v="Mead 1st Gear 2&quot; Zipper Binder, Asst. Colors"/>
    <n v="0.35"/>
    <s v="United States"/>
    <x v="3"/>
    <s v="Florida"/>
    <s v="Casselberry"/>
    <n v="32707"/>
    <x v="128"/>
    <d v="2015-02-06T00:00:00"/>
    <n v="5.4660000000000002"/>
    <n v="2"/>
    <x v="768"/>
    <n v="89993"/>
    <x v="774"/>
  </r>
  <r>
    <n v="23012"/>
    <s v="Medium"/>
    <n v="0.06"/>
    <n v="5.81"/>
    <n v="3.37"/>
    <n v="1363"/>
    <s v="Earl Roy"/>
    <s v="Regular Air"/>
    <s v="Consumer"/>
    <x v="0"/>
    <x v="3"/>
    <s v="Wrap Bag"/>
    <s v="Advantus Push Pins, Aluminum Head"/>
    <n v="0.54"/>
    <s v="United States"/>
    <x v="3"/>
    <s v="Florida"/>
    <s v="Casselberry"/>
    <n v="32707"/>
    <x v="128"/>
    <d v="2015-02-06T00:00:00"/>
    <n v="-149.1182"/>
    <n v="9"/>
    <x v="769"/>
    <n v="89993"/>
    <x v="775"/>
  </r>
  <r>
    <n v="19333"/>
    <s v="Not Specified"/>
    <n v="0.1"/>
    <n v="5.98"/>
    <n v="5.35"/>
    <n v="1364"/>
    <s v="Chris Ford"/>
    <s v="Regular Air"/>
    <s v="Home Office"/>
    <x v="0"/>
    <x v="7"/>
    <s v="Small Box"/>
    <s v="Xerox 1947"/>
    <n v="0.4"/>
    <s v="United States"/>
    <x v="1"/>
    <s v="Maryland"/>
    <s v="Camp Springs"/>
    <n v="20746"/>
    <x v="83"/>
    <d v="2015-03-17T00:00:00"/>
    <n v="-90.26"/>
    <n v="10"/>
    <x v="770"/>
    <n v="89994"/>
    <x v="776"/>
  </r>
  <r>
    <n v="20539"/>
    <s v="Medium"/>
    <n v="0.03"/>
    <n v="73.98"/>
    <n v="14.52"/>
    <n v="1367"/>
    <s v="James Hunter"/>
    <s v="Regular Air"/>
    <s v="Consumer"/>
    <x v="2"/>
    <x v="13"/>
    <s v="Small Box"/>
    <s v="Keytronic French Keyboard"/>
    <n v="0.65"/>
    <s v="United States"/>
    <x v="2"/>
    <s v="Texas"/>
    <s v="Lubbock"/>
    <n v="79424"/>
    <x v="0"/>
    <d v="2015-01-10T00:00:00"/>
    <n v="-326.23160000000001"/>
    <n v="1"/>
    <x v="771"/>
    <n v="90513"/>
    <x v="777"/>
  </r>
  <r>
    <n v="26034"/>
    <s v="Medium"/>
    <n v="0.09"/>
    <n v="4.55"/>
    <n v="1.49"/>
    <n v="1368"/>
    <s v="Patsy Harmon"/>
    <s v="Regular Air"/>
    <s v="Consumer"/>
    <x v="0"/>
    <x v="8"/>
    <s v="Small Box"/>
    <s v="Presstex Flexible Ring Binders"/>
    <n v="0.35"/>
    <s v="United States"/>
    <x v="2"/>
    <s v="Texas"/>
    <s v="Lufkin"/>
    <n v="75901"/>
    <x v="165"/>
    <d v="2015-03-25T00:00:00"/>
    <n v="16.898"/>
    <n v="6"/>
    <x v="772"/>
    <n v="90514"/>
    <x v="778"/>
  </r>
  <r>
    <n v="26035"/>
    <s v="Medium"/>
    <n v="7.0000000000000007E-2"/>
    <n v="9.7799999999999994"/>
    <n v="5.76"/>
    <n v="1369"/>
    <s v="Joe D Dean"/>
    <s v="Express Air"/>
    <s v="Consumer"/>
    <x v="0"/>
    <x v="4"/>
    <s v="Small Box"/>
    <s v="Staples #10 Laser &amp; Inkjet Envelopes, 4 1/8&quot; x 9 1/2&quot;, 100/Box"/>
    <n v="0.35"/>
    <s v="United States"/>
    <x v="2"/>
    <s v="Texas"/>
    <s v="Mansfield"/>
    <n v="76063"/>
    <x v="165"/>
    <d v="2015-03-25T00:00:00"/>
    <n v="20.14"/>
    <n v="11"/>
    <x v="773"/>
    <n v="90514"/>
    <x v="779"/>
  </r>
  <r>
    <n v="24534"/>
    <s v="Critical"/>
    <n v="0.06"/>
    <n v="44.01"/>
    <n v="3.5"/>
    <n v="1374"/>
    <s v="Earl Buck"/>
    <s v="Regular Air"/>
    <s v="Home Office"/>
    <x v="0"/>
    <x v="15"/>
    <s v="Small Box"/>
    <s v="Acco Smartsocket® Color-Coded Six-Outlet AC Adapter Model Surge Protectors"/>
    <n v="0.59"/>
    <s v="United States"/>
    <x v="0"/>
    <s v="California"/>
    <s v="Stockton"/>
    <n v="95207"/>
    <x v="31"/>
    <d v="2015-06-08T00:00:00"/>
    <n v="-21.231999999999999"/>
    <n v="1"/>
    <x v="774"/>
    <n v="88212"/>
    <x v="780"/>
  </r>
  <r>
    <n v="19932"/>
    <s v="Low"/>
    <n v="0.05"/>
    <n v="2.89"/>
    <n v="0.5"/>
    <n v="1380"/>
    <s v="Jeanne Walker"/>
    <s v="Regular Air"/>
    <s v="Home Office"/>
    <x v="0"/>
    <x v="9"/>
    <s v="Small Box"/>
    <s v="Avery 498"/>
    <n v="0.38"/>
    <s v="United States"/>
    <x v="1"/>
    <s v="New Hampshire"/>
    <s v="Portsmouth"/>
    <n v="3801"/>
    <x v="150"/>
    <d v="2015-07-03T00:00:00"/>
    <n v="18.0642"/>
    <n v="9"/>
    <x v="775"/>
    <n v="88213"/>
    <x v="781"/>
  </r>
  <r>
    <n v="19018"/>
    <s v="Medium"/>
    <n v="0.03"/>
    <n v="2.23"/>
    <n v="4.57"/>
    <n v="1383"/>
    <s v="Christina Hanna"/>
    <s v="Regular Air"/>
    <s v="Consumer"/>
    <x v="1"/>
    <x v="2"/>
    <s v="Small Pack"/>
    <s v="Eldon Pizzaz™ Desk Accessories"/>
    <n v="0.41"/>
    <s v="United States"/>
    <x v="0"/>
    <s v="Utah"/>
    <s v="West Valley City"/>
    <n v="84120"/>
    <x v="90"/>
    <d v="2015-05-02T00:00:00"/>
    <n v="-93.25"/>
    <n v="12"/>
    <x v="776"/>
    <n v="89406"/>
    <x v="782"/>
  </r>
  <r>
    <n v="25790"/>
    <s v="Not Specified"/>
    <n v="7.0000000000000007E-2"/>
    <n v="11.29"/>
    <n v="5.03"/>
    <n v="1384"/>
    <s v="George McLamb"/>
    <s v="Regular Air"/>
    <s v="Consumer"/>
    <x v="0"/>
    <x v="10"/>
    <s v="Small Box"/>
    <s v="X-Rack™ File for Hanging Folders"/>
    <n v="0.59"/>
    <s v="United States"/>
    <x v="3"/>
    <s v="Virginia"/>
    <s v="Alexandria"/>
    <n v="22304"/>
    <x v="133"/>
    <d v="2015-07-02T00:00:00"/>
    <n v="-163.03"/>
    <n v="11"/>
    <x v="777"/>
    <n v="89407"/>
    <x v="783"/>
  </r>
  <r>
    <n v="22984"/>
    <s v="Low"/>
    <n v="0.02"/>
    <n v="70.97"/>
    <n v="3.5"/>
    <n v="1384"/>
    <s v="George McLamb"/>
    <s v="Regular Air"/>
    <s v="Consumer"/>
    <x v="0"/>
    <x v="15"/>
    <s v="Small Box"/>
    <s v="Tripp Lite Isotel 8 Ultra 8 Outlet Metal Surge"/>
    <n v="0.59"/>
    <s v="United States"/>
    <x v="3"/>
    <s v="Virginia"/>
    <s v="Alexandria"/>
    <n v="22304"/>
    <x v="31"/>
    <d v="2015-06-14T00:00:00"/>
    <n v="23.616"/>
    <n v="21"/>
    <x v="778"/>
    <n v="89408"/>
    <x v="784"/>
  </r>
  <r>
    <n v="18970"/>
    <s v="Critical"/>
    <n v="0.06"/>
    <n v="1.74"/>
    <n v="4.08"/>
    <n v="1389"/>
    <s v="Jean Khan"/>
    <s v="Regular Air"/>
    <s v="Corporate"/>
    <x v="1"/>
    <x v="2"/>
    <s v="Small Pack"/>
    <s v="Eldon Regeneration Recycled Desk Accessories, Smoke"/>
    <n v="0.53"/>
    <s v="United States"/>
    <x v="0"/>
    <s v="California"/>
    <s v="Menlo Park"/>
    <n v="94025"/>
    <x v="51"/>
    <d v="2015-01-26T00:00:00"/>
    <n v="-11.0732"/>
    <n v="1"/>
    <x v="779"/>
    <n v="88726"/>
    <x v="785"/>
  </r>
  <r>
    <n v="19852"/>
    <s v="High"/>
    <n v="0.08"/>
    <n v="2.62"/>
    <n v="0.8"/>
    <n v="1389"/>
    <s v="Jean Khan"/>
    <s v="Express Air"/>
    <s v="Small Business"/>
    <x v="0"/>
    <x v="3"/>
    <s v="Wrap Bag"/>
    <s v="Staples Metal Binder Clips"/>
    <n v="0.39"/>
    <s v="United States"/>
    <x v="0"/>
    <s v="California"/>
    <s v="Menlo Park"/>
    <n v="94025"/>
    <x v="116"/>
    <d v="2015-05-15T00:00:00"/>
    <n v="21.769500000000001"/>
    <n v="12"/>
    <x v="780"/>
    <n v="88728"/>
    <x v="786"/>
  </r>
  <r>
    <n v="19111"/>
    <s v="High"/>
    <n v="0.09"/>
    <n v="2.61"/>
    <n v="0.5"/>
    <n v="1389"/>
    <s v="Jean Khan"/>
    <s v="Regular Air"/>
    <s v="Consumer"/>
    <x v="0"/>
    <x v="9"/>
    <s v="Small Box"/>
    <s v="Avery 494"/>
    <n v="0.39"/>
    <s v="United States"/>
    <x v="0"/>
    <s v="California"/>
    <s v="Menlo Park"/>
    <n v="94025"/>
    <x v="26"/>
    <d v="2015-06-05T00:00:00"/>
    <n v="29.380199999999999"/>
    <n v="17"/>
    <x v="781"/>
    <n v="88729"/>
    <x v="787"/>
  </r>
  <r>
    <n v="18702"/>
    <s v="Critical"/>
    <n v="0.1"/>
    <n v="8.17"/>
    <n v="1.69"/>
    <n v="1390"/>
    <s v="Hazel Jones"/>
    <s v="Regular Air"/>
    <s v="Corporate"/>
    <x v="0"/>
    <x v="7"/>
    <s v="Wrap Bag"/>
    <s v="Wirebound Message Forms, Four 2 3/4 x 5 Forms per Page, Pink Paper"/>
    <n v="0.38"/>
    <s v="United States"/>
    <x v="0"/>
    <s v="California"/>
    <s v="Stockton"/>
    <n v="95207"/>
    <x v="41"/>
    <d v="2015-05-16T00:00:00"/>
    <n v="100.2984"/>
    <n v="19"/>
    <x v="782"/>
    <n v="88731"/>
    <x v="788"/>
  </r>
  <r>
    <n v="18703"/>
    <s v="Critical"/>
    <n v="0.03"/>
    <n v="110.99"/>
    <n v="2.5"/>
    <n v="1390"/>
    <s v="Hazel Jones"/>
    <s v="Regular Air"/>
    <s v="Corporate"/>
    <x v="2"/>
    <x v="5"/>
    <s v="Small Box"/>
    <s v="T18"/>
    <n v="0.56999999999999995"/>
    <s v="United States"/>
    <x v="0"/>
    <s v="California"/>
    <s v="Stockton"/>
    <n v="95207"/>
    <x v="41"/>
    <d v="2015-05-18T00:00:00"/>
    <n v="2495.3987999999999"/>
    <n v="38"/>
    <x v="783"/>
    <n v="88731"/>
    <x v="789"/>
  </r>
  <r>
    <n v="20523"/>
    <s v="Not Specified"/>
    <n v="0"/>
    <n v="2.88"/>
    <n v="0.7"/>
    <n v="1391"/>
    <s v="Carolyn Greer"/>
    <s v="Express Air"/>
    <s v="Consumer"/>
    <x v="0"/>
    <x v="0"/>
    <s v="Wrap Bag"/>
    <s v="Newell 340"/>
    <n v="0.56000000000000005"/>
    <s v="United States"/>
    <x v="0"/>
    <s v="California"/>
    <s v="Sunnyvale"/>
    <n v="94086"/>
    <x v="158"/>
    <d v="2015-04-24T00:00:00"/>
    <n v="-0.11"/>
    <n v="1"/>
    <x v="784"/>
    <n v="88727"/>
    <x v="790"/>
  </r>
  <r>
    <n v="20163"/>
    <s v="Low"/>
    <n v="7.0000000000000007E-2"/>
    <n v="12.28"/>
    <n v="6.13"/>
    <n v="1391"/>
    <s v="Carolyn Greer"/>
    <s v="Regular Air"/>
    <s v="Small Business"/>
    <x v="0"/>
    <x v="10"/>
    <s v="Small Box"/>
    <s v="Recycled Eldon Regeneration Jumbo File"/>
    <n v="0.56999999999999995"/>
    <s v="United States"/>
    <x v="0"/>
    <s v="California"/>
    <s v="Sunnyvale"/>
    <n v="94086"/>
    <x v="32"/>
    <d v="2015-05-10T00:00:00"/>
    <n v="15.236000000000001"/>
    <n v="33"/>
    <x v="785"/>
    <n v="88730"/>
    <x v="791"/>
  </r>
  <r>
    <n v="5297"/>
    <s v="Not Specified"/>
    <n v="0"/>
    <n v="8.6"/>
    <n v="6.19"/>
    <n v="1402"/>
    <s v="Wesley Tate"/>
    <s v="Regular Air"/>
    <s v="Corporate"/>
    <x v="0"/>
    <x v="8"/>
    <s v="Small Box"/>
    <s v="Avery Printable Repositionable Plastic Tabs"/>
    <n v="0.38"/>
    <s v="United States"/>
    <x v="2"/>
    <s v="Illinois"/>
    <s v="Chicago"/>
    <n v="60653"/>
    <x v="43"/>
    <d v="2015-01-15T00:00:00"/>
    <n v="-42.8536"/>
    <n v="48"/>
    <x v="786"/>
    <n v="37729"/>
    <x v="792"/>
  </r>
  <r>
    <n v="6080"/>
    <s v="Medium"/>
    <n v="0.04"/>
    <n v="30.73"/>
    <n v="4"/>
    <n v="1402"/>
    <s v="Wesley Tate"/>
    <s v="Regular Air"/>
    <s v="Home Office"/>
    <x v="2"/>
    <x v="13"/>
    <s v="Small Box"/>
    <s v="Fellowes 17-key keypad for PS/2 interface"/>
    <n v="0.75"/>
    <s v="United States"/>
    <x v="2"/>
    <s v="Illinois"/>
    <s v="Chicago"/>
    <n v="60653"/>
    <x v="72"/>
    <d v="2015-01-22T00:00:00"/>
    <n v="-20.79"/>
    <n v="48"/>
    <x v="787"/>
    <n v="43079"/>
    <x v="793"/>
  </r>
  <r>
    <n v="23297"/>
    <s v="Not Specified"/>
    <n v="0"/>
    <n v="8.6"/>
    <n v="6.19"/>
    <n v="1405"/>
    <s v="Crystal Floyd"/>
    <s v="Regular Air"/>
    <s v="Corporate"/>
    <x v="0"/>
    <x v="8"/>
    <s v="Small Box"/>
    <s v="Avery Printable Repositionable Plastic Tabs"/>
    <n v="0.38"/>
    <s v="United States"/>
    <x v="2"/>
    <s v="Michigan"/>
    <s v="Battle Creek"/>
    <n v="49017"/>
    <x v="43"/>
    <d v="2015-01-15T00:00:00"/>
    <n v="-33.211539999999999"/>
    <n v="12"/>
    <x v="788"/>
    <n v="86144"/>
    <x v="794"/>
  </r>
  <r>
    <n v="24080"/>
    <s v="Medium"/>
    <n v="0.04"/>
    <n v="30.73"/>
    <n v="4"/>
    <n v="1405"/>
    <s v="Crystal Floyd"/>
    <s v="Regular Air"/>
    <s v="Home Office"/>
    <x v="2"/>
    <x v="13"/>
    <s v="Small Box"/>
    <s v="Fellowes 17-key keypad for PS/2 interface"/>
    <n v="0.75"/>
    <s v="United States"/>
    <x v="2"/>
    <s v="Michigan"/>
    <s v="Battle Creek"/>
    <n v="49017"/>
    <x v="72"/>
    <d v="2015-01-22T00:00:00"/>
    <n v="-20.79"/>
    <n v="12"/>
    <x v="789"/>
    <n v="86145"/>
    <x v="795"/>
  </r>
  <r>
    <n v="19417"/>
    <s v="Medium"/>
    <n v="0"/>
    <n v="65.989999999999995"/>
    <n v="5.26"/>
    <n v="1410"/>
    <s v="Charles Ward"/>
    <s v="Regular Air"/>
    <s v="Corporate"/>
    <x v="2"/>
    <x v="5"/>
    <s v="Small Box"/>
    <s v="g520"/>
    <n v="0.59"/>
    <s v="United States"/>
    <x v="0"/>
    <s v="California"/>
    <s v="Moreno Valley"/>
    <n v="92553"/>
    <x v="74"/>
    <d v="2015-04-08T00:00:00"/>
    <n v="369.99869999999999"/>
    <n v="9"/>
    <x v="790"/>
    <n v="87086"/>
    <x v="796"/>
  </r>
  <r>
    <n v="24407"/>
    <s v="Not Specified"/>
    <n v="0.08"/>
    <n v="3.38"/>
    <n v="0.85"/>
    <n v="1412"/>
    <s v="Marc Ray"/>
    <s v="Regular Air"/>
    <s v="Corporate"/>
    <x v="0"/>
    <x v="0"/>
    <s v="Wrap Bag"/>
    <s v="Avery Hi-Liter® Fluorescent Desk Style Markers"/>
    <n v="0.48"/>
    <s v="United States"/>
    <x v="0"/>
    <s v="California"/>
    <s v="Mountain View"/>
    <n v="94043"/>
    <x v="23"/>
    <d v="2015-02-04T00:00:00"/>
    <n v="20.453600000000002"/>
    <n v="12"/>
    <x v="791"/>
    <n v="87087"/>
    <x v="797"/>
  </r>
  <r>
    <n v="1417"/>
    <s v="Medium"/>
    <n v="0"/>
    <n v="65.989999999999995"/>
    <n v="5.26"/>
    <n v="1413"/>
    <s v="Pamela Wiley"/>
    <s v="Regular Air"/>
    <s v="Corporate"/>
    <x v="2"/>
    <x v="5"/>
    <s v="Small Box"/>
    <s v="g520"/>
    <n v="0.59"/>
    <s v="United States"/>
    <x v="1"/>
    <s v="Massachusetts"/>
    <s v="Boston"/>
    <n v="2113"/>
    <x v="74"/>
    <d v="2015-04-08T00:00:00"/>
    <n v="542.25"/>
    <n v="36"/>
    <x v="792"/>
    <n v="10277"/>
    <x v="798"/>
  </r>
  <r>
    <n v="6406"/>
    <s v="Not Specified"/>
    <n v="0.02"/>
    <n v="16.48"/>
    <n v="1.99"/>
    <n v="1413"/>
    <s v="Pamela Wiley"/>
    <s v="Express Air"/>
    <s v="Corporate"/>
    <x v="2"/>
    <x v="13"/>
    <s v="Small Pack"/>
    <s v="Maxell DVD-RAM Discs"/>
    <n v="0.42"/>
    <s v="United States"/>
    <x v="1"/>
    <s v="Massachusetts"/>
    <s v="Boston"/>
    <n v="2113"/>
    <x v="23"/>
    <d v="2015-02-04T00:00:00"/>
    <n v="69.61"/>
    <n v="27"/>
    <x v="793"/>
    <n v="45539"/>
    <x v="799"/>
  </r>
  <r>
    <n v="25129"/>
    <s v="Critical"/>
    <n v="0.02"/>
    <n v="417.4"/>
    <n v="75.23"/>
    <n v="1416"/>
    <s v="Betsy Gibson"/>
    <s v="Delivery Truck"/>
    <s v="Small Business"/>
    <x v="1"/>
    <x v="11"/>
    <s v="Jumbo Box"/>
    <s v="Bretford “Just In Time” Height-Adjustable Multi-Task Work Tables"/>
    <n v="0.79"/>
    <s v="United States"/>
    <x v="2"/>
    <s v="Indiana"/>
    <s v="Indianapolis"/>
    <n v="46203"/>
    <x v="166"/>
    <d v="2015-05-07T00:00:00"/>
    <n v="-634.86540000000002"/>
    <n v="1"/>
    <x v="794"/>
    <n v="90538"/>
    <x v="800"/>
  </r>
  <r>
    <n v="24722"/>
    <s v="High"/>
    <n v="0.04"/>
    <n v="46.89"/>
    <n v="5.0999999999999996"/>
    <n v="1416"/>
    <s v="Betsy Gibson"/>
    <s v="Regular Air"/>
    <s v="Small Business"/>
    <x v="0"/>
    <x v="15"/>
    <s v="Medium Box"/>
    <s v="Bionaire Personal Warm Mist Humidifier/Vaporizer"/>
    <n v="0.46"/>
    <s v="United States"/>
    <x v="2"/>
    <s v="Indiana"/>
    <s v="Indianapolis"/>
    <n v="46203"/>
    <x v="97"/>
    <d v="2015-06-27T00:00:00"/>
    <n v="87.12"/>
    <n v="4"/>
    <x v="795"/>
    <n v="90540"/>
    <x v="801"/>
  </r>
  <r>
    <n v="22823"/>
    <s v="Low"/>
    <n v="7.0000000000000007E-2"/>
    <n v="4.84"/>
    <n v="0.71"/>
    <n v="1418"/>
    <s v="Rebecca Lindsey"/>
    <s v="Regular Air"/>
    <s v="Small Business"/>
    <x v="0"/>
    <x v="0"/>
    <s v="Wrap Bag"/>
    <s v="*Staples* Highlighting Markers"/>
    <n v="0.52"/>
    <s v="United States"/>
    <x v="2"/>
    <s v="Indiana"/>
    <s v="Kokomo"/>
    <n v="46901"/>
    <x v="167"/>
    <d v="2015-01-03T00:00:00"/>
    <n v="25.240200000000002"/>
    <n v="8"/>
    <x v="796"/>
    <n v="90539"/>
    <x v="802"/>
  </r>
  <r>
    <n v="24295"/>
    <s v="Not Specified"/>
    <n v="0.01"/>
    <n v="124.49"/>
    <n v="51.94"/>
    <n v="1419"/>
    <s v="Brooke Lancaster"/>
    <s v="Delivery Truck"/>
    <s v="Small Business"/>
    <x v="1"/>
    <x v="11"/>
    <s v="Jumbo Box"/>
    <s v="Bevis 36 x 72 Conference Tables"/>
    <n v="0.63"/>
    <s v="United States"/>
    <x v="2"/>
    <s v="Indiana"/>
    <s v="Lafayette"/>
    <n v="47905"/>
    <x v="97"/>
    <d v="2015-06-26T00:00:00"/>
    <n v="-94.674644999999998"/>
    <n v="18"/>
    <x v="797"/>
    <n v="90540"/>
    <x v="803"/>
  </r>
  <r>
    <n v="19024"/>
    <s v="Low"/>
    <n v="0.05"/>
    <n v="350.99"/>
    <n v="39"/>
    <n v="1424"/>
    <s v="Robyn Zhou"/>
    <s v="Delivery Truck"/>
    <s v="Home Office"/>
    <x v="1"/>
    <x v="1"/>
    <s v="Jumbo Drum"/>
    <s v="Global Leather Executive Chair"/>
    <n v="0.55000000000000004"/>
    <s v="United States"/>
    <x v="0"/>
    <s v="Colorado"/>
    <s v="Englewood"/>
    <n v="80112"/>
    <x v="38"/>
    <d v="2015-01-14T00:00:00"/>
    <n v="451.28039999999999"/>
    <n v="3"/>
    <x v="798"/>
    <n v="89448"/>
    <x v="804"/>
  </r>
  <r>
    <n v="19025"/>
    <s v="Low"/>
    <n v="0"/>
    <n v="8.74"/>
    <n v="1.39"/>
    <n v="1424"/>
    <s v="Robyn Zhou"/>
    <s v="Regular Air"/>
    <s v="Home Office"/>
    <x v="0"/>
    <x v="4"/>
    <s v="Small Box"/>
    <s v="#10- 4 1/8&quot; x 9 1/2&quot; Recycled Envelopes"/>
    <n v="0.38"/>
    <s v="United States"/>
    <x v="0"/>
    <s v="Colorado"/>
    <s v="Englewood"/>
    <n v="80112"/>
    <x v="38"/>
    <d v="2015-01-16T00:00:00"/>
    <n v="44.988"/>
    <n v="7"/>
    <x v="799"/>
    <n v="89448"/>
    <x v="805"/>
  </r>
  <r>
    <n v="19026"/>
    <s v="Low"/>
    <n v="0.02"/>
    <n v="1.98"/>
    <n v="0.7"/>
    <n v="1424"/>
    <s v="Robyn Zhou"/>
    <s v="Regular Air"/>
    <s v="Home Office"/>
    <x v="0"/>
    <x v="3"/>
    <s v="Wrap Bag"/>
    <s v="Brites Rubber Bands, 1 1/2 oz. Box"/>
    <n v="0.83"/>
    <s v="United States"/>
    <x v="0"/>
    <s v="Colorado"/>
    <s v="Englewood"/>
    <n v="80112"/>
    <x v="38"/>
    <d v="2015-01-16T00:00:00"/>
    <n v="-20.732800000000001"/>
    <n v="11"/>
    <x v="800"/>
    <n v="89448"/>
    <x v="806"/>
  </r>
  <r>
    <n v="23620"/>
    <s v="Not Specified"/>
    <n v="0.05"/>
    <n v="8.0399999999999991"/>
    <n v="8.94"/>
    <n v="1424"/>
    <s v="Robyn Zhou"/>
    <s v="Regular Air"/>
    <s v="Home Office"/>
    <x v="0"/>
    <x v="8"/>
    <s v="Small Box"/>
    <s v="Fellowes Twister Kit, Gray/Clear, 3/pkg"/>
    <n v="0.4"/>
    <s v="United States"/>
    <x v="0"/>
    <s v="Colorado"/>
    <s v="Englewood"/>
    <n v="80112"/>
    <x v="105"/>
    <d v="2015-06-22T00:00:00"/>
    <n v="-164.3948"/>
    <n v="15"/>
    <x v="801"/>
    <n v="89449"/>
    <x v="807"/>
  </r>
  <r>
    <n v="22824"/>
    <s v="Low"/>
    <n v="0.04"/>
    <n v="2036.48"/>
    <n v="14.7"/>
    <n v="1425"/>
    <s v="Gregory Crane"/>
    <s v="Delivery Truck"/>
    <s v="Small Business"/>
    <x v="2"/>
    <x v="6"/>
    <s v="Jumbo Drum"/>
    <s v="Lexmark 4227 Plus Dot Matrix Printer"/>
    <n v="0.55000000000000004"/>
    <s v="United States"/>
    <x v="0"/>
    <s v="Colorado"/>
    <s v="Fort Collins"/>
    <n v="80525"/>
    <x v="167"/>
    <d v="2015-01-06T00:00:00"/>
    <n v="-4793.0039999999999"/>
    <n v="1"/>
    <x v="802"/>
    <n v="89450"/>
    <x v="808"/>
  </r>
  <r>
    <n v="22407"/>
    <s v="Low"/>
    <n v="0.09"/>
    <n v="125.99"/>
    <n v="2.5"/>
    <n v="1427"/>
    <s v="Stacy Gould"/>
    <s v="Regular Air"/>
    <s v="Home Office"/>
    <x v="2"/>
    <x v="5"/>
    <s v="Small Box"/>
    <s v="i2000"/>
    <n v="0.6"/>
    <s v="United States"/>
    <x v="2"/>
    <s v="Michigan"/>
    <s v="Bay City"/>
    <n v="48708"/>
    <x v="64"/>
    <d v="2015-02-09T00:00:00"/>
    <n v="1258.7877000000001"/>
    <n v="18"/>
    <x v="803"/>
    <n v="90905"/>
    <x v="809"/>
  </r>
  <r>
    <n v="19810"/>
    <s v="Not Specified"/>
    <n v="0.05"/>
    <n v="9.7799999999999994"/>
    <n v="1.39"/>
    <n v="1432"/>
    <s v="Kerry Green"/>
    <s v="Regular Air"/>
    <s v="Corporate"/>
    <x v="0"/>
    <x v="4"/>
    <s v="Small Box"/>
    <s v="Staples #10 Laser &amp; Inkjet Envelopes, 4 1/8&quot; x 9 1/2&quot;, 100/Box"/>
    <n v="0.39"/>
    <s v="United States"/>
    <x v="2"/>
    <s v="Indiana"/>
    <s v="Indianapolis"/>
    <n v="46203"/>
    <x v="93"/>
    <d v="2015-03-06T00:00:00"/>
    <n v="74.278499999999994"/>
    <n v="11"/>
    <x v="804"/>
    <n v="86826"/>
    <x v="810"/>
  </r>
  <r>
    <n v="18762"/>
    <s v="Low"/>
    <n v="7.0000000000000007E-2"/>
    <n v="10.98"/>
    <n v="4.8"/>
    <n v="1432"/>
    <s v="Kerry Green"/>
    <s v="Regular Air"/>
    <s v="Corporate"/>
    <x v="0"/>
    <x v="4"/>
    <s v="Small Box"/>
    <s v="Manila Recycled Extra-Heavyweight Clasp Envelopes, 6&quot; x 9&quot;"/>
    <n v="0.36"/>
    <s v="United States"/>
    <x v="2"/>
    <s v="Indiana"/>
    <s v="Indianapolis"/>
    <n v="46203"/>
    <x v="105"/>
    <d v="2015-06-27T00:00:00"/>
    <n v="52.92"/>
    <n v="16"/>
    <x v="805"/>
    <n v="86827"/>
    <x v="811"/>
  </r>
  <r>
    <n v="19811"/>
    <s v="Not Specified"/>
    <n v="0.02"/>
    <n v="3.28"/>
    <n v="3.97"/>
    <n v="1433"/>
    <s v="Frances Jackson"/>
    <s v="Express Air"/>
    <s v="Corporate"/>
    <x v="0"/>
    <x v="0"/>
    <s v="Wrap Bag"/>
    <s v="Newell 337"/>
    <n v="0.56000000000000005"/>
    <s v="United States"/>
    <x v="2"/>
    <s v="Indiana"/>
    <s v="Jeffersonville"/>
    <n v="47130"/>
    <x v="93"/>
    <d v="2015-03-06T00:00:00"/>
    <n v="-66.349999999999994"/>
    <n v="7"/>
    <x v="806"/>
    <n v="86826"/>
    <x v="812"/>
  </r>
  <r>
    <n v="20124"/>
    <s v="High"/>
    <n v="7.0000000000000007E-2"/>
    <n v="300.98"/>
    <n v="64.73"/>
    <n v="1433"/>
    <s v="Frances Jackson"/>
    <s v="Delivery Truck"/>
    <s v="Corporate"/>
    <x v="1"/>
    <x v="1"/>
    <s v="Jumbo Drum"/>
    <s v="Global Leather and Oak Executive Chair, Black"/>
    <n v="0.56000000000000005"/>
    <s v="United States"/>
    <x v="2"/>
    <s v="Indiana"/>
    <s v="Jeffersonville"/>
    <n v="47130"/>
    <x v="168"/>
    <d v="2015-05-21T00:00:00"/>
    <n v="1399.64"/>
    <n v="14"/>
    <x v="807"/>
    <n v="86828"/>
    <x v="813"/>
  </r>
  <r>
    <n v="20125"/>
    <s v="High"/>
    <n v="0.01"/>
    <n v="20.98"/>
    <n v="45"/>
    <n v="1433"/>
    <s v="Frances Jackson"/>
    <s v="Delivery Truck"/>
    <s v="Corporate"/>
    <x v="0"/>
    <x v="10"/>
    <s v="Jumbo Drum"/>
    <s v="Tennsco Lockers, Sand"/>
    <n v="0.61"/>
    <s v="United States"/>
    <x v="2"/>
    <s v="Indiana"/>
    <s v="Jeffersonville"/>
    <n v="47130"/>
    <x v="168"/>
    <d v="2015-05-19T00:00:00"/>
    <n v="232.642"/>
    <n v="28"/>
    <x v="808"/>
    <n v="86828"/>
    <x v="814"/>
  </r>
  <r>
    <n v="21955"/>
    <s v="Critical"/>
    <n v="0.01"/>
    <n v="80.98"/>
    <n v="35"/>
    <n v="1438"/>
    <s v="Jean Weiss Diaz"/>
    <s v="Regular Air"/>
    <s v="Corporate"/>
    <x v="0"/>
    <x v="10"/>
    <s v="Large Box"/>
    <s v="Carina 42&quot;Hx23 3/4&quot;W Media Storage Unit"/>
    <n v="0.83"/>
    <s v="United States"/>
    <x v="1"/>
    <s v="Ohio"/>
    <s v="Elyria"/>
    <n v="44035"/>
    <x v="46"/>
    <d v="2015-01-24T00:00:00"/>
    <n v="-409.37360000000001"/>
    <n v="3"/>
    <x v="809"/>
    <n v="90120"/>
    <x v="815"/>
  </r>
  <r>
    <n v="23415"/>
    <s v="Critical"/>
    <n v="0.05"/>
    <n v="6.48"/>
    <n v="6.22"/>
    <n v="1439"/>
    <s v="Kyle Kaufman"/>
    <s v="Regular Air"/>
    <s v="Corporate"/>
    <x v="0"/>
    <x v="7"/>
    <s v="Small Box"/>
    <s v="Xerox 1894"/>
    <n v="0.37"/>
    <s v="United States"/>
    <x v="1"/>
    <s v="Ohio"/>
    <s v="Euclid"/>
    <n v="44117"/>
    <x v="65"/>
    <d v="2015-04-29T00:00:00"/>
    <n v="-29.07"/>
    <n v="3"/>
    <x v="653"/>
    <n v="90121"/>
    <x v="816"/>
  </r>
  <r>
    <n v="22672"/>
    <s v="Not Specified"/>
    <n v="0.04"/>
    <n v="177.98"/>
    <n v="0.99"/>
    <n v="1442"/>
    <s v="Rodney Field"/>
    <s v="Regular Air"/>
    <s v="Corporate"/>
    <x v="0"/>
    <x v="15"/>
    <s v="Small Box"/>
    <s v="Kensington 7 Outlet MasterPiece Power Center"/>
    <n v="0.56000000000000005"/>
    <s v="United States"/>
    <x v="2"/>
    <s v="Missouri"/>
    <s v="Springfield"/>
    <n v="65807"/>
    <x v="97"/>
    <d v="2015-06-27T00:00:00"/>
    <n v="1909.8855000000001"/>
    <n v="15"/>
    <x v="810"/>
    <n v="89076"/>
    <x v="817"/>
  </r>
  <r>
    <n v="21945"/>
    <s v="Low"/>
    <n v="0.02"/>
    <n v="15.99"/>
    <n v="13.18"/>
    <n v="1442"/>
    <s v="Rodney Field"/>
    <s v="Express Air"/>
    <s v="Corporate"/>
    <x v="0"/>
    <x v="8"/>
    <s v="Small Box"/>
    <s v="GBC Pre-Punched Binding Paper, Plastic, White, 8-1/2&quot; x 11&quot;"/>
    <n v="0.37"/>
    <s v="United States"/>
    <x v="2"/>
    <s v="Missouri"/>
    <s v="Springfield"/>
    <n v="65807"/>
    <x v="111"/>
    <d v="2015-02-03T00:00:00"/>
    <n v="-76.992500000000007"/>
    <n v="7"/>
    <x v="811"/>
    <n v="89077"/>
    <x v="818"/>
  </r>
  <r>
    <n v="21946"/>
    <s v="Low"/>
    <n v="0.09"/>
    <n v="46.94"/>
    <n v="6.77"/>
    <n v="1442"/>
    <s v="Rodney Field"/>
    <s v="Express Air"/>
    <s v="Corporate"/>
    <x v="1"/>
    <x v="2"/>
    <s v="Small Box"/>
    <s v="Howard Miller 13&quot; Diameter Goldtone Round Wall Clock"/>
    <n v="0.44"/>
    <s v="United States"/>
    <x v="2"/>
    <s v="Missouri"/>
    <s v="Springfield"/>
    <n v="65807"/>
    <x v="111"/>
    <d v="2015-01-30T00:00:00"/>
    <n v="297.96960000000001"/>
    <n v="10"/>
    <x v="812"/>
    <n v="89077"/>
    <x v="819"/>
  </r>
  <r>
    <n v="23793"/>
    <s v="Medium"/>
    <n v="0.1"/>
    <n v="218.08"/>
    <n v="18.059999999999999"/>
    <n v="1450"/>
    <s v="Veronica Peck"/>
    <s v="Express Air"/>
    <s v="Consumer"/>
    <x v="1"/>
    <x v="1"/>
    <s v="Large Box"/>
    <s v="Lifetime Advantage™ Folding Chairs, 4/Carton"/>
    <n v="0.56999999999999995"/>
    <s v="United States"/>
    <x v="0"/>
    <s v="California"/>
    <s v="South Lake Tahoe"/>
    <n v="96150"/>
    <x v="84"/>
    <d v="2015-05-25T00:00:00"/>
    <n v="1318.83"/>
    <n v="12"/>
    <x v="813"/>
    <n v="86735"/>
    <x v="820"/>
  </r>
  <r>
    <n v="25006"/>
    <s v="High"/>
    <n v="0.05"/>
    <n v="85.99"/>
    <n v="0.99"/>
    <n v="1459"/>
    <s v="Steve Raynor"/>
    <s v="Regular Air"/>
    <s v="Consumer"/>
    <x v="2"/>
    <x v="5"/>
    <s v="Wrap Bag"/>
    <s v="Accessory34"/>
    <n v="0.55000000000000004"/>
    <s v="United States"/>
    <x v="3"/>
    <s v="South Carolina"/>
    <s v="Taylors"/>
    <n v="29687"/>
    <x v="121"/>
    <d v="2015-04-07T00:00:00"/>
    <n v="36.216000000000001"/>
    <n v="4"/>
    <x v="814"/>
    <n v="86734"/>
    <x v="821"/>
  </r>
  <r>
    <n v="18105"/>
    <s v="High"/>
    <n v="0.05"/>
    <n v="12.95"/>
    <n v="4.9800000000000004"/>
    <n v="1461"/>
    <s v="Norman Adams"/>
    <s v="Regular Air"/>
    <s v="Consumer"/>
    <x v="0"/>
    <x v="8"/>
    <s v="Small Box"/>
    <s v="GBC Binding covers"/>
    <n v="0.4"/>
    <s v="United States"/>
    <x v="2"/>
    <s v="Indiana"/>
    <s v="Lafayette"/>
    <n v="47905"/>
    <x v="42"/>
    <d v="2015-06-04T00:00:00"/>
    <n v="134.16825"/>
    <n v="19"/>
    <x v="815"/>
    <n v="86397"/>
    <x v="822"/>
  </r>
  <r>
    <n v="23735"/>
    <s v="High"/>
    <n v="0"/>
    <n v="65.989999999999995"/>
    <n v="8.99"/>
    <n v="1466"/>
    <s v="Wesley Reid"/>
    <s v="Regular Air"/>
    <s v="Small Business"/>
    <x v="2"/>
    <x v="5"/>
    <s v="Small Box"/>
    <n v="5180"/>
    <n v="0.56000000000000005"/>
    <s v="United States"/>
    <x v="2"/>
    <s v="Nebraska"/>
    <s v="Columbus"/>
    <n v="68601"/>
    <x v="164"/>
    <d v="2015-06-13T00:00:00"/>
    <n v="253.3032"/>
    <n v="10"/>
    <x v="816"/>
    <n v="91115"/>
    <x v="823"/>
  </r>
  <r>
    <n v="25917"/>
    <s v="Low"/>
    <n v="0.04"/>
    <n v="130.97999999999999"/>
    <n v="54.74"/>
    <n v="1466"/>
    <s v="Wesley Reid"/>
    <s v="Delivery Truck"/>
    <s v="Small Business"/>
    <x v="1"/>
    <x v="14"/>
    <s v="Jumbo Box"/>
    <s v="O'Sullivan Elevations Bookcase, Cherry Finish"/>
    <n v="0.69"/>
    <s v="United States"/>
    <x v="2"/>
    <s v="Nebraska"/>
    <s v="Columbus"/>
    <n v="68601"/>
    <x v="20"/>
    <d v="2015-06-12T00:00:00"/>
    <n v="-723.78399999999999"/>
    <n v="14"/>
    <x v="817"/>
    <n v="91116"/>
    <x v="824"/>
  </r>
  <r>
    <n v="25915"/>
    <s v="Low"/>
    <n v="0.04"/>
    <n v="105.29"/>
    <n v="10.119999999999999"/>
    <n v="1469"/>
    <s v="Vicki Zhu Daniels"/>
    <s v="Regular Air"/>
    <s v="Small Business"/>
    <x v="1"/>
    <x v="2"/>
    <s v="Large Box"/>
    <s v="Eldon Antistatic Chair Mats for Low to Medium Pile Carpets"/>
    <n v="0.79"/>
    <s v="United States"/>
    <x v="0"/>
    <s v="Utah"/>
    <s v="Clearfield"/>
    <n v="84015"/>
    <x v="20"/>
    <d v="2015-06-16T00:00:00"/>
    <n v="589.18799999999999"/>
    <n v="9"/>
    <x v="818"/>
    <n v="91116"/>
    <x v="825"/>
  </r>
  <r>
    <n v="25916"/>
    <s v="Low"/>
    <n v="7.0000000000000007E-2"/>
    <n v="31.76"/>
    <n v="45.51"/>
    <n v="1469"/>
    <s v="Vicki Zhu Daniels"/>
    <s v="Delivery Truck"/>
    <s v="Small Business"/>
    <x v="1"/>
    <x v="11"/>
    <s v="Jumbo Box"/>
    <s v="Hon iLevel™ Computer Training Table"/>
    <n v="0.65"/>
    <s v="United States"/>
    <x v="0"/>
    <s v="Utah"/>
    <s v="Clearfield"/>
    <n v="84015"/>
    <x v="20"/>
    <d v="2015-06-14T00:00:00"/>
    <n v="-1314.992"/>
    <n v="18"/>
    <x v="819"/>
    <n v="91116"/>
    <x v="826"/>
  </r>
  <r>
    <n v="21710"/>
    <s v="High"/>
    <n v="0.03"/>
    <n v="420.98"/>
    <n v="19.989999999999998"/>
    <n v="1471"/>
    <s v="Danielle Daniel"/>
    <s v="Regular Air"/>
    <s v="Home Office"/>
    <x v="0"/>
    <x v="8"/>
    <s v="Small Box"/>
    <s v="GBC DocuBind 200 Manual Binding Machine"/>
    <n v="0.35"/>
    <s v="United States"/>
    <x v="1"/>
    <s v="Ohio"/>
    <s v="Westerville"/>
    <n v="43081"/>
    <x v="68"/>
    <d v="2015-03-22T00:00:00"/>
    <n v="3043.0311000000002"/>
    <n v="10"/>
    <x v="820"/>
    <n v="87077"/>
    <x v="827"/>
  </r>
  <r>
    <n v="23958"/>
    <s v="Not Specified"/>
    <n v="0.02"/>
    <n v="30.98"/>
    <n v="6.5"/>
    <n v="1472"/>
    <s v="Tommy Ellis Ritchie"/>
    <s v="Express Air"/>
    <s v="Home Office"/>
    <x v="2"/>
    <x v="13"/>
    <s v="Small Box"/>
    <s v="Logitech Internet Navigator Keyboard"/>
    <n v="0.79"/>
    <s v="United States"/>
    <x v="1"/>
    <s v="Ohio"/>
    <s v="Westlake"/>
    <n v="44145"/>
    <x v="133"/>
    <d v="2015-07-01T00:00:00"/>
    <n v="-44.624000000000002"/>
    <n v="17"/>
    <x v="821"/>
    <n v="87078"/>
    <x v="828"/>
  </r>
  <r>
    <n v="22313"/>
    <s v="Medium"/>
    <n v="0.05"/>
    <n v="20.27"/>
    <n v="3.99"/>
    <n v="1472"/>
    <s v="Tommy Ellis Ritchie"/>
    <s v="Regular Air"/>
    <s v="Home Office"/>
    <x v="0"/>
    <x v="15"/>
    <s v="Small Box"/>
    <s v="Fellowes Mighty 8 Compact Surge Protector"/>
    <n v="0.56999999999999995"/>
    <s v="United States"/>
    <x v="1"/>
    <s v="Ohio"/>
    <s v="Westlake"/>
    <n v="44145"/>
    <x v="40"/>
    <d v="2015-05-26T00:00:00"/>
    <n v="309.25400000000002"/>
    <n v="30"/>
    <x v="822"/>
    <n v="87079"/>
    <x v="829"/>
  </r>
  <r>
    <n v="24937"/>
    <s v="Critical"/>
    <n v="0.04"/>
    <n v="9.7799999999999994"/>
    <n v="1.99"/>
    <n v="1473"/>
    <s v="Paul Puckett"/>
    <s v="Express Air"/>
    <s v="Home Office"/>
    <x v="2"/>
    <x v="13"/>
    <s v="Small Pack"/>
    <s v="Memorex Slim 80 Minute CD-R, 10/Pack"/>
    <n v="0.43"/>
    <s v="United States"/>
    <x v="1"/>
    <s v="Ohio"/>
    <s v="Wooster"/>
    <n v="44691"/>
    <x v="72"/>
    <d v="2015-01-22T00:00:00"/>
    <n v="61.292700000000004"/>
    <n v="9"/>
    <x v="823"/>
    <n v="87076"/>
    <x v="830"/>
  </r>
  <r>
    <n v="7544"/>
    <s v="Not Specified"/>
    <n v="7.0000000000000007E-2"/>
    <n v="8.9499999999999993"/>
    <n v="2.0099999999999998"/>
    <n v="1481"/>
    <s v="Marvin MacDonald"/>
    <s v="Regular Air"/>
    <s v="Corporate"/>
    <x v="0"/>
    <x v="7"/>
    <s v="Wrap Bag"/>
    <s v="Recycled Desk Saver Line &quot;While You Were Out&quot; Book, 5 1/2&quot; X 4&quot;"/>
    <n v="0.39"/>
    <s v="United States"/>
    <x v="0"/>
    <s v="California"/>
    <s v="Los Angeles"/>
    <n v="90049"/>
    <x v="12"/>
    <d v="2015-03-28T00:00:00"/>
    <n v="91.73"/>
    <n v="36"/>
    <x v="824"/>
    <n v="53953"/>
    <x v="831"/>
  </r>
  <r>
    <n v="25544"/>
    <s v="Not Specified"/>
    <n v="7.0000000000000007E-2"/>
    <n v="8.9499999999999993"/>
    <n v="2.0099999999999998"/>
    <n v="1482"/>
    <s v="Michael Tanner"/>
    <s v="Regular Air"/>
    <s v="Corporate"/>
    <x v="0"/>
    <x v="7"/>
    <s v="Wrap Bag"/>
    <s v="Recycled Desk Saver Line &quot;While You Were Out&quot; Book, 5 1/2&quot; X 4&quot;"/>
    <n v="0.39"/>
    <s v="United States"/>
    <x v="2"/>
    <s v="Michigan"/>
    <s v="Bay City"/>
    <n v="48708"/>
    <x v="12"/>
    <d v="2015-03-28T00:00:00"/>
    <n v="53.067900000000002"/>
    <n v="9"/>
    <x v="825"/>
    <n v="91362"/>
    <x v="832"/>
  </r>
  <r>
    <n v="22745"/>
    <s v="Not Specified"/>
    <n v="0.05"/>
    <n v="9.65"/>
    <n v="6.22"/>
    <n v="1482"/>
    <s v="Michael Tanner"/>
    <s v="Regular Air"/>
    <s v="Corporate"/>
    <x v="1"/>
    <x v="2"/>
    <s v="Small Box"/>
    <s v="Eldon Expressions™ Desk Accessory, Wood Pencil Holder, Oak"/>
    <n v="0.55000000000000004"/>
    <s v="United States"/>
    <x v="2"/>
    <s v="Michigan"/>
    <s v="Bay City"/>
    <n v="48708"/>
    <x v="136"/>
    <d v="2015-02-28T00:00:00"/>
    <n v="-14.6432"/>
    <n v="15"/>
    <x v="826"/>
    <n v="91363"/>
    <x v="833"/>
  </r>
  <r>
    <n v="21806"/>
    <s v="High"/>
    <n v="0.06"/>
    <n v="99.99"/>
    <n v="19.989999999999998"/>
    <n v="1484"/>
    <s v="Alison Stewart"/>
    <s v="Regular Air"/>
    <s v="Home Office"/>
    <x v="2"/>
    <x v="13"/>
    <s v="Small Box"/>
    <s v="US Robotics 56K V.92 External Faxmodem"/>
    <n v="0.52"/>
    <s v="United States"/>
    <x v="2"/>
    <s v="Illinois"/>
    <s v="Des Plaines"/>
    <n v="60016"/>
    <x v="140"/>
    <d v="2015-03-14T00:00:00"/>
    <n v="-127.56"/>
    <n v="3"/>
    <x v="827"/>
    <n v="91235"/>
    <x v="834"/>
  </r>
  <r>
    <n v="21807"/>
    <s v="High"/>
    <n v="0"/>
    <n v="193.17"/>
    <n v="19.989999999999998"/>
    <n v="1484"/>
    <s v="Alison Stewart"/>
    <s v="Regular Air"/>
    <s v="Home Office"/>
    <x v="0"/>
    <x v="10"/>
    <s v="Small Box"/>
    <s v="Fellowes Staxonsteel® Drawer Files"/>
    <n v="0.71"/>
    <s v="United States"/>
    <x v="2"/>
    <s v="Illinois"/>
    <s v="Des Plaines"/>
    <n v="60016"/>
    <x v="140"/>
    <d v="2015-03-12T00:00:00"/>
    <n v="282.18"/>
    <n v="5"/>
    <x v="828"/>
    <n v="91235"/>
    <x v="835"/>
  </r>
  <r>
    <n v="21808"/>
    <s v="High"/>
    <n v="0.08"/>
    <n v="20.99"/>
    <n v="3.3"/>
    <n v="1484"/>
    <s v="Alison Stewart"/>
    <s v="Express Air"/>
    <s v="Home Office"/>
    <x v="2"/>
    <x v="5"/>
    <s v="Small Pack"/>
    <s v="Accessory39"/>
    <n v="0.81"/>
    <s v="United States"/>
    <x v="2"/>
    <s v="Illinois"/>
    <s v="Des Plaines"/>
    <n v="60016"/>
    <x v="140"/>
    <d v="2015-03-11T00:00:00"/>
    <n v="-96.337999999999994"/>
    <n v="11"/>
    <x v="829"/>
    <n v="91235"/>
    <x v="836"/>
  </r>
  <r>
    <n v="22763"/>
    <s v="Not Specified"/>
    <n v="0.04"/>
    <n v="11.5"/>
    <n v="7.19"/>
    <n v="1485"/>
    <s v="Wayne Sutherland"/>
    <s v="Regular Air"/>
    <s v="Home Office"/>
    <x v="0"/>
    <x v="8"/>
    <s v="Small Box"/>
    <s v="Ibico Covers for Plastic or Wire Binding Elements"/>
    <n v="0.4"/>
    <s v="United States"/>
    <x v="2"/>
    <s v="Illinois"/>
    <s v="Downers Grove"/>
    <n v="60516"/>
    <x v="63"/>
    <d v="2015-02-23T00:00:00"/>
    <n v="-23.357880000000002"/>
    <n v="14"/>
    <x v="830"/>
    <n v="91236"/>
    <x v="837"/>
  </r>
  <r>
    <n v="22764"/>
    <s v="Not Specified"/>
    <n v="0.02"/>
    <n v="15.7"/>
    <n v="11.25"/>
    <n v="1485"/>
    <s v="Wayne Sutherland"/>
    <s v="Regular Air"/>
    <s v="Home Office"/>
    <x v="0"/>
    <x v="10"/>
    <s v="Small Box"/>
    <s v="Hanging Personal Folder File"/>
    <n v="0.6"/>
    <s v="United States"/>
    <x v="2"/>
    <s v="Illinois"/>
    <s v="Downers Grove"/>
    <n v="60516"/>
    <x v="63"/>
    <d v="2015-02-21T00:00:00"/>
    <n v="-18.241599999999998"/>
    <n v="1"/>
    <x v="831"/>
    <n v="91236"/>
    <x v="838"/>
  </r>
  <r>
    <n v="22765"/>
    <s v="Not Specified"/>
    <n v="0.05"/>
    <n v="225.02"/>
    <n v="28.66"/>
    <n v="1485"/>
    <s v="Wayne Sutherland"/>
    <s v="Delivery Truck"/>
    <s v="Home Office"/>
    <x v="0"/>
    <x v="10"/>
    <s v="Jumbo Drum"/>
    <s v="Tennsco Double-Tier Lockers"/>
    <n v="0.72"/>
    <s v="United States"/>
    <x v="2"/>
    <s v="Illinois"/>
    <s v="Downers Grove"/>
    <n v="60516"/>
    <x v="63"/>
    <d v="2015-02-22T00:00:00"/>
    <n v="1428.9104"/>
    <n v="21"/>
    <x v="832"/>
    <n v="91236"/>
    <x v="839"/>
  </r>
  <r>
    <n v="18460"/>
    <s v="High"/>
    <n v="0.04"/>
    <n v="119.99"/>
    <n v="14"/>
    <n v="1492"/>
    <s v="Don Beard"/>
    <s v="Delivery Truck"/>
    <s v="Corporate"/>
    <x v="2"/>
    <x v="6"/>
    <s v="Jumbo Drum"/>
    <s v="Epson C82 Color Inkjet Printer"/>
    <n v="0.36"/>
    <s v="United States"/>
    <x v="2"/>
    <s v="Missouri"/>
    <s v="Ozark"/>
    <n v="65721"/>
    <x v="154"/>
    <d v="2015-06-18T00:00:00"/>
    <n v="509.95830000000001"/>
    <n v="6"/>
    <x v="833"/>
    <n v="88004"/>
    <x v="840"/>
  </r>
  <r>
    <n v="19472"/>
    <s v="Critical"/>
    <n v="0.06"/>
    <n v="8.3699999999999992"/>
    <n v="10.16"/>
    <n v="1494"/>
    <s v="Kate Lehman"/>
    <s v="Regular Air"/>
    <s v="Corporate"/>
    <x v="1"/>
    <x v="2"/>
    <s v="Large Box"/>
    <s v="Westinghouse Clip-On Gooseneck Lamps"/>
    <n v="0.59"/>
    <s v="United States"/>
    <x v="1"/>
    <s v="Maryland"/>
    <s v="Dundalk"/>
    <n v="21222"/>
    <x v="140"/>
    <d v="2015-03-13T00:00:00"/>
    <n v="-255.65"/>
    <n v="18"/>
    <x v="834"/>
    <n v="85880"/>
    <x v="841"/>
  </r>
  <r>
    <n v="19473"/>
    <s v="Critical"/>
    <n v="0.09"/>
    <n v="6.48"/>
    <n v="9.17"/>
    <n v="1494"/>
    <s v="Kate Lehman"/>
    <s v="Express Air"/>
    <s v="Corporate"/>
    <x v="0"/>
    <x v="7"/>
    <s v="Small Box"/>
    <s v="Xerox 1996"/>
    <n v="0.37"/>
    <s v="United States"/>
    <x v="1"/>
    <s v="Maryland"/>
    <s v="Dundalk"/>
    <n v="21222"/>
    <x v="140"/>
    <d v="2015-03-13T00:00:00"/>
    <n v="-76.540000000000006"/>
    <n v="6"/>
    <x v="835"/>
    <n v="85880"/>
    <x v="842"/>
  </r>
  <r>
    <n v="24286"/>
    <s v="Critical"/>
    <n v="0.09"/>
    <n v="6.28"/>
    <n v="5.29"/>
    <n v="1497"/>
    <s v="Gloria Jacobs"/>
    <s v="Regular Air"/>
    <s v="Corporate"/>
    <x v="1"/>
    <x v="2"/>
    <s v="Small Box"/>
    <s v="Eldon® 200 Class™ Desk Accessories, Burgundy"/>
    <n v="0.43"/>
    <s v="United States"/>
    <x v="1"/>
    <s v="New York"/>
    <s v="Elmira"/>
    <n v="14901"/>
    <x v="140"/>
    <d v="2015-03-12T00:00:00"/>
    <n v="-10.09"/>
    <n v="2"/>
    <x v="836"/>
    <n v="85880"/>
    <x v="843"/>
  </r>
  <r>
    <n v="24287"/>
    <s v="Critical"/>
    <n v="0.03"/>
    <n v="15.14"/>
    <n v="4.53"/>
    <n v="1497"/>
    <s v="Gloria Jacobs"/>
    <s v="Regular Air"/>
    <s v="Corporate"/>
    <x v="0"/>
    <x v="10"/>
    <s v="Small Box"/>
    <s v="Eldon® Gobal File Keepers"/>
    <n v="0.81"/>
    <s v="United States"/>
    <x v="1"/>
    <s v="New York"/>
    <s v="Elmira"/>
    <n v="14901"/>
    <x v="140"/>
    <d v="2015-03-13T00:00:00"/>
    <n v="-92.87"/>
    <n v="17"/>
    <x v="837"/>
    <n v="85880"/>
    <x v="844"/>
  </r>
  <r>
    <n v="20016"/>
    <s v="Medium"/>
    <n v="0.05"/>
    <n v="2.16"/>
    <n v="6.05"/>
    <n v="1499"/>
    <s v="Charlotte L Doyle"/>
    <s v="Regular Air"/>
    <s v="Home Office"/>
    <x v="0"/>
    <x v="8"/>
    <s v="Small Box"/>
    <s v="Peel &amp; Stick Add-On Corner Pockets"/>
    <n v="0.37"/>
    <s v="United States"/>
    <x v="3"/>
    <s v="Florida"/>
    <s v="Coral Gables"/>
    <n v="33134"/>
    <x v="128"/>
    <d v="2015-02-05T00:00:00"/>
    <n v="-298.88600000000002"/>
    <n v="8"/>
    <x v="450"/>
    <n v="90731"/>
    <x v="845"/>
  </r>
  <r>
    <n v="20017"/>
    <s v="Medium"/>
    <n v="0.03"/>
    <n v="6.48"/>
    <n v="6.6"/>
    <n v="1499"/>
    <s v="Charlotte L Doyle"/>
    <s v="Regular Air"/>
    <s v="Home Office"/>
    <x v="0"/>
    <x v="7"/>
    <s v="Small Box"/>
    <s v="Xerox 21"/>
    <n v="0.37"/>
    <s v="United States"/>
    <x v="3"/>
    <s v="Florida"/>
    <s v="Coral Gables"/>
    <n v="33134"/>
    <x v="128"/>
    <d v="2015-02-05T00:00:00"/>
    <n v="-145.852"/>
    <n v="9"/>
    <x v="838"/>
    <n v="90731"/>
    <x v="846"/>
  </r>
  <r>
    <n v="20018"/>
    <s v="Medium"/>
    <n v="0.08"/>
    <n v="146.05000000000001"/>
    <n v="80.2"/>
    <n v="1499"/>
    <s v="Charlotte L Doyle"/>
    <s v="Delivery Truck"/>
    <s v="Home Office"/>
    <x v="1"/>
    <x v="11"/>
    <s v="Jumbo Box"/>
    <s v="BPI Conference Tables"/>
    <n v="0.71"/>
    <s v="United States"/>
    <x v="3"/>
    <s v="Florida"/>
    <s v="Coral Gables"/>
    <n v="33134"/>
    <x v="128"/>
    <d v="2015-02-05T00:00:00"/>
    <n v="-27.951000000000001"/>
    <n v="11"/>
    <x v="839"/>
    <n v="90731"/>
    <x v="847"/>
  </r>
  <r>
    <n v="21682"/>
    <s v="Critical"/>
    <n v="0.08"/>
    <n v="3.69"/>
    <n v="0.5"/>
    <n v="1502"/>
    <s v="Renee Huang"/>
    <s v="Regular Air"/>
    <s v="Small Business"/>
    <x v="0"/>
    <x v="9"/>
    <s v="Small Box"/>
    <s v="Avery 487"/>
    <n v="0.38"/>
    <s v="United States"/>
    <x v="3"/>
    <s v="Florida"/>
    <s v="Coral Springs"/>
    <n v="33065"/>
    <x v="163"/>
    <d v="2015-05-10T00:00:00"/>
    <n v="-3.6547000000000001"/>
    <n v="38"/>
    <x v="840"/>
    <n v="89193"/>
    <x v="848"/>
  </r>
  <r>
    <n v="18868"/>
    <s v="Low"/>
    <n v="0.08"/>
    <n v="5.84"/>
    <n v="1"/>
    <n v="1502"/>
    <s v="Renee Huang"/>
    <s v="Express Air"/>
    <s v="Small Business"/>
    <x v="0"/>
    <x v="0"/>
    <s v="Wrap Bag"/>
    <s v="Quartet Omega® Colored Chalk, 12/Pack"/>
    <n v="0.38"/>
    <s v="United States"/>
    <x v="3"/>
    <s v="Florida"/>
    <s v="Coral Springs"/>
    <n v="33065"/>
    <x v="159"/>
    <d v="2015-07-03T00:00:00"/>
    <n v="731.92200000000003"/>
    <n v="11"/>
    <x v="841"/>
    <n v="89194"/>
    <x v="849"/>
  </r>
  <r>
    <n v="18869"/>
    <s v="Low"/>
    <n v="0"/>
    <n v="205.99"/>
    <n v="8.99"/>
    <n v="1502"/>
    <s v="Renee Huang"/>
    <s v="Regular Air"/>
    <s v="Small Business"/>
    <x v="2"/>
    <x v="5"/>
    <s v="Small Box"/>
    <s v="StarTAC 8000"/>
    <n v="0.6"/>
    <s v="United States"/>
    <x v="3"/>
    <s v="Florida"/>
    <s v="Coral Springs"/>
    <n v="33065"/>
    <x v="159"/>
    <d v="2015-07-02T00:00:00"/>
    <n v="186.55799999999999"/>
    <n v="13"/>
    <x v="842"/>
    <n v="89194"/>
    <x v="850"/>
  </r>
  <r>
    <n v="18061"/>
    <s v="Low"/>
    <n v="0"/>
    <n v="85.99"/>
    <n v="0.99"/>
    <n v="1505"/>
    <s v="Kay Schultz"/>
    <s v="Regular Air"/>
    <s v="Small Business"/>
    <x v="2"/>
    <x v="5"/>
    <s v="Wrap Bag"/>
    <s v="Accessory4"/>
    <n v="0.85"/>
    <s v="United States"/>
    <x v="2"/>
    <s v="Texas"/>
    <s v="College Station"/>
    <n v="77840"/>
    <x v="1"/>
    <d v="2015-06-18T00:00:00"/>
    <n v="-138.0368"/>
    <n v="6"/>
    <x v="843"/>
    <n v="86181"/>
    <x v="851"/>
  </r>
  <r>
    <n v="23329"/>
    <s v="Critical"/>
    <n v="0.09"/>
    <n v="20.98"/>
    <n v="1.49"/>
    <n v="1511"/>
    <s v="Joseph Dawson"/>
    <s v="Regular Air"/>
    <s v="Corporate"/>
    <x v="0"/>
    <x v="8"/>
    <s v="Small Box"/>
    <s v="Avery Legal 4-Ring Binder"/>
    <n v="0.35"/>
    <s v="United States"/>
    <x v="2"/>
    <s v="Indiana"/>
    <s v="Muncie"/>
    <n v="47302"/>
    <x v="33"/>
    <d v="2015-06-24T00:00:00"/>
    <n v="199.1823"/>
    <n v="14"/>
    <x v="844"/>
    <n v="90303"/>
    <x v="852"/>
  </r>
  <r>
    <n v="23470"/>
    <s v="Critical"/>
    <n v="0.06"/>
    <n v="55.48"/>
    <n v="4.8499999999999996"/>
    <n v="1519"/>
    <s v="Randall Boykin"/>
    <s v="Regular Air"/>
    <s v="Consumer"/>
    <x v="0"/>
    <x v="7"/>
    <s v="Small Box"/>
    <s v="Xerox 1888"/>
    <n v="0.37"/>
    <s v="United States"/>
    <x v="1"/>
    <s v="Maine"/>
    <s v="Auburn"/>
    <n v="4210"/>
    <x v="110"/>
    <d v="2015-06-14T00:00:00"/>
    <n v="711.05190000000005"/>
    <n v="19"/>
    <x v="845"/>
    <n v="89957"/>
    <x v="853"/>
  </r>
  <r>
    <n v="23471"/>
    <s v="Critical"/>
    <n v="0.1"/>
    <n v="122.99"/>
    <n v="70.2"/>
    <n v="1522"/>
    <s v="Earl Watts"/>
    <s v="Delivery Truck"/>
    <s v="Consumer"/>
    <x v="1"/>
    <x v="1"/>
    <s v="Jumbo Drum"/>
    <s v="Global High-Back Leather Tilter, Burgundy"/>
    <n v="0.74"/>
    <s v="United States"/>
    <x v="2"/>
    <s v="Minnesota"/>
    <s v="Hopkins"/>
    <n v="55305"/>
    <x v="110"/>
    <d v="2015-06-15T00:00:00"/>
    <n v="-899.67499999999995"/>
    <n v="17"/>
    <x v="846"/>
    <n v="89957"/>
    <x v="854"/>
  </r>
  <r>
    <n v="19269"/>
    <s v="High"/>
    <n v="0.04"/>
    <n v="11.34"/>
    <n v="5.01"/>
    <n v="1526"/>
    <s v="Larry Hall"/>
    <s v="Regular Air"/>
    <s v="Home Office"/>
    <x v="0"/>
    <x v="7"/>
    <s v="Small Box"/>
    <s v="Xerox 188"/>
    <n v="0.36"/>
    <s v="United States"/>
    <x v="3"/>
    <s v="Alabama"/>
    <s v="Birmingham"/>
    <n v="35211"/>
    <x v="104"/>
    <d v="2015-02-11T00:00:00"/>
    <n v="-189.22399999999999"/>
    <n v="10"/>
    <x v="847"/>
    <n v="86812"/>
    <x v="855"/>
  </r>
  <r>
    <n v="24974"/>
    <s v="Critical"/>
    <n v="0.03"/>
    <n v="30.98"/>
    <n v="8.99"/>
    <n v="1527"/>
    <s v="Neil Parker"/>
    <s v="Express Air"/>
    <s v="Small Business"/>
    <x v="0"/>
    <x v="0"/>
    <s v="Small Pack"/>
    <s v="Boston School Pro Electric Pencil Sharpener, 1670"/>
    <n v="0.57999999999999996"/>
    <s v="United States"/>
    <x v="3"/>
    <s v="Alabama"/>
    <s v="Decatur"/>
    <n v="35601"/>
    <x v="85"/>
    <d v="2015-01-11T00:00:00"/>
    <n v="0.51"/>
    <n v="5"/>
    <x v="848"/>
    <n v="86813"/>
    <x v="856"/>
  </r>
  <r>
    <n v="22253"/>
    <s v="Low"/>
    <n v="0.03"/>
    <n v="65.989999999999995"/>
    <n v="5.26"/>
    <n v="1527"/>
    <s v="Neil Parker"/>
    <s v="Regular Air"/>
    <s v="Home Office"/>
    <x v="2"/>
    <x v="5"/>
    <s v="Small Box"/>
    <n v="8860"/>
    <n v="0.56000000000000005"/>
    <s v="United States"/>
    <x v="3"/>
    <s v="Alabama"/>
    <s v="Decatur"/>
    <n v="35601"/>
    <x v="25"/>
    <d v="2015-04-09T00:00:00"/>
    <n v="-52.247999999999998"/>
    <n v="23"/>
    <x v="849"/>
    <n v="86814"/>
    <x v="857"/>
  </r>
  <r>
    <n v="21455"/>
    <s v="Low"/>
    <n v="0.09"/>
    <n v="50.98"/>
    <n v="6.5"/>
    <n v="1527"/>
    <s v="Neil Parker"/>
    <s v="Regular Air"/>
    <s v="Home Office"/>
    <x v="2"/>
    <x v="13"/>
    <s v="Small Box"/>
    <s v="Microsoft Natural Multimedia Keyboard"/>
    <n v="0.73"/>
    <s v="United States"/>
    <x v="3"/>
    <s v="Alabama"/>
    <s v="Decatur"/>
    <n v="35601"/>
    <x v="8"/>
    <d v="2015-05-28T00:00:00"/>
    <n v="70.176000000000002"/>
    <n v="28"/>
    <x v="850"/>
    <n v="86815"/>
    <x v="858"/>
  </r>
  <r>
    <n v="24975"/>
    <s v="Critical"/>
    <n v="0.01"/>
    <n v="525.98"/>
    <n v="19.989999999999998"/>
    <n v="1528"/>
    <s v="Brad Stark"/>
    <s v="Regular Air"/>
    <s v="Small Business"/>
    <x v="0"/>
    <x v="8"/>
    <s v="Small Box"/>
    <s v="GBC DocuBind 300 Electric Binding Machine"/>
    <n v="0.37"/>
    <s v="United States"/>
    <x v="3"/>
    <s v="North Carolina"/>
    <s v="Eden"/>
    <n v="27288"/>
    <x v="85"/>
    <d v="2015-01-11T00:00:00"/>
    <n v="-161.92400000000001"/>
    <n v="9"/>
    <x v="851"/>
    <n v="86813"/>
    <x v="859"/>
  </r>
  <r>
    <n v="21199"/>
    <s v="Critical"/>
    <n v="7.0000000000000007E-2"/>
    <n v="4.91"/>
    <n v="0.5"/>
    <n v="1531"/>
    <s v="Jon Ayers"/>
    <s v="Regular Air"/>
    <s v="Consumer"/>
    <x v="0"/>
    <x v="9"/>
    <s v="Small Box"/>
    <s v="Avery 508"/>
    <n v="0.36"/>
    <s v="United States"/>
    <x v="3"/>
    <s v="Florida"/>
    <s v="Palm Coast"/>
    <n v="32137"/>
    <x v="60"/>
    <d v="2015-01-18T00:00:00"/>
    <n v="-157.696"/>
    <n v="6"/>
    <x v="852"/>
    <n v="88852"/>
    <x v="860"/>
  </r>
  <r>
    <n v="21596"/>
    <s v="High"/>
    <n v="0.02"/>
    <n v="4.8899999999999997"/>
    <n v="4.93"/>
    <n v="1533"/>
    <s v="Nicole Reid"/>
    <s v="Regular Air"/>
    <s v="Corporate"/>
    <x v="2"/>
    <x v="13"/>
    <s v="Small Pack"/>
    <s v="Maxell 3.5&quot; DS/HD IBM-Formatted Diskettes, 10/Pack"/>
    <n v="0.66"/>
    <s v="United States"/>
    <x v="2"/>
    <s v="Missouri"/>
    <s v="University City"/>
    <n v="63130"/>
    <x v="92"/>
    <d v="2015-02-07T00:00:00"/>
    <n v="-56.445999999999998"/>
    <n v="14"/>
    <x v="853"/>
    <n v="91328"/>
    <x v="861"/>
  </r>
  <r>
    <n v="21597"/>
    <s v="High"/>
    <n v="7.0000000000000007E-2"/>
    <n v="10.06"/>
    <n v="2.06"/>
    <n v="1533"/>
    <s v="Nicole Reid"/>
    <s v="Regular Air"/>
    <s v="Corporate"/>
    <x v="0"/>
    <x v="7"/>
    <s v="Wrap Bag"/>
    <s v="Riverleaf Stik-Withit® Designer Note Cubes®"/>
    <n v="0.39"/>
    <s v="United States"/>
    <x v="2"/>
    <s v="Missouri"/>
    <s v="University City"/>
    <n v="63130"/>
    <x v="92"/>
    <d v="2015-02-07T00:00:00"/>
    <n v="33.189"/>
    <n v="5"/>
    <x v="854"/>
    <n v="91328"/>
    <x v="862"/>
  </r>
  <r>
    <n v="23147"/>
    <s v="Low"/>
    <n v="0"/>
    <n v="599.99"/>
    <n v="24.49"/>
    <n v="1548"/>
    <s v="John Bray"/>
    <s v="Regular Air"/>
    <s v="Corporate"/>
    <x v="2"/>
    <x v="16"/>
    <s v="Large Box"/>
    <s v="Canon Image Class D660 Copier"/>
    <n v="0.44"/>
    <s v="United States"/>
    <x v="2"/>
    <s v="Indiana"/>
    <s v="Richmond"/>
    <n v="47374"/>
    <x v="96"/>
    <d v="2015-06-25T00:00:00"/>
    <n v="-367.16500000000002"/>
    <n v="18"/>
    <x v="855"/>
    <n v="88487"/>
    <x v="863"/>
  </r>
  <r>
    <n v="19627"/>
    <s v="Low"/>
    <n v="7.0000000000000007E-2"/>
    <n v="17.7"/>
    <n v="9.4700000000000006"/>
    <n v="1551"/>
    <s v="Laurence Flowers"/>
    <s v="Regular Air"/>
    <s v="Consumer"/>
    <x v="0"/>
    <x v="10"/>
    <s v="Small Box"/>
    <s v="Portfile® Personal File Boxes"/>
    <n v="0.59"/>
    <s v="United States"/>
    <x v="3"/>
    <s v="Mississippi"/>
    <s v="Biloxi"/>
    <n v="39530"/>
    <x v="97"/>
    <d v="2015-07-01T00:00:00"/>
    <n v="-243.54400000000001"/>
    <n v="18"/>
    <x v="856"/>
    <n v="87488"/>
    <x v="864"/>
  </r>
  <r>
    <n v="20993"/>
    <s v="Critical"/>
    <n v="0.01"/>
    <n v="348.21"/>
    <n v="40.19"/>
    <n v="1552"/>
    <s v="Gary Koch"/>
    <s v="Delivery Truck"/>
    <s v="Small Business"/>
    <x v="1"/>
    <x v="11"/>
    <s v="Jumbo Box"/>
    <s v="Bretford CR4500 Series Slim Rectangular Table"/>
    <n v="0.62"/>
    <s v="United States"/>
    <x v="3"/>
    <s v="Mississippi"/>
    <s v="Clinton"/>
    <n v="39056"/>
    <x v="167"/>
    <d v="2015-01-04T00:00:00"/>
    <n v="-337.09199999999998"/>
    <n v="2"/>
    <x v="857"/>
    <n v="87486"/>
    <x v="865"/>
  </r>
  <r>
    <n v="24862"/>
    <s v="Not Specified"/>
    <n v="0.03"/>
    <n v="12.28"/>
    <n v="6.35"/>
    <n v="1553"/>
    <s v="Tara Powers Underwood"/>
    <s v="Regular Air"/>
    <s v="Small Business"/>
    <x v="0"/>
    <x v="7"/>
    <s v="Small Box"/>
    <s v="Staples Premium Bright 1-Part Blank Computer Paper"/>
    <n v="0.38"/>
    <s v="United States"/>
    <x v="3"/>
    <s v="Mississippi"/>
    <s v="Greenville"/>
    <n v="38701"/>
    <x v="27"/>
    <d v="2015-03-24T00:00:00"/>
    <n v="68.676000000000002"/>
    <n v="7"/>
    <x v="858"/>
    <n v="87484"/>
    <x v="866"/>
  </r>
  <r>
    <n v="26135"/>
    <s v="High"/>
    <n v="0.04"/>
    <n v="10.98"/>
    <n v="3.99"/>
    <n v="1554"/>
    <s v="Joan Floyd"/>
    <s v="Regular Air"/>
    <s v="Small Business"/>
    <x v="0"/>
    <x v="15"/>
    <s v="Small Box"/>
    <s v="Staples Surge Protector 6 outlet"/>
    <n v="0.57999999999999996"/>
    <s v="United States"/>
    <x v="3"/>
    <s v="Mississippi"/>
    <s v="Gulfport"/>
    <n v="39503"/>
    <x v="73"/>
    <d v="2015-05-18T00:00:00"/>
    <n v="481.03199999999998"/>
    <n v="15"/>
    <x v="859"/>
    <n v="87485"/>
    <x v="867"/>
  </r>
  <r>
    <n v="25409"/>
    <s v="High"/>
    <n v="0.03"/>
    <n v="124.49"/>
    <n v="51.94"/>
    <n v="1554"/>
    <s v="Joan Floyd"/>
    <s v="Delivery Truck"/>
    <s v="Consumer"/>
    <x v="1"/>
    <x v="11"/>
    <s v="Jumbo Box"/>
    <s v="Bevis 36 x 72 Conference Tables"/>
    <n v="0.63"/>
    <s v="United States"/>
    <x v="3"/>
    <s v="Mississippi"/>
    <s v="Gulfport"/>
    <n v="39503"/>
    <x v="169"/>
    <d v="2015-02-14T00:00:00"/>
    <n v="-4.0179999999999998"/>
    <n v="7"/>
    <x v="860"/>
    <n v="87487"/>
    <x v="868"/>
  </r>
  <r>
    <n v="18294"/>
    <s v="Not Specified"/>
    <n v="0.06"/>
    <n v="2.89"/>
    <n v="0.99"/>
    <n v="1556"/>
    <s v="Carol Wood"/>
    <s v="Regular Air"/>
    <s v="Consumer"/>
    <x v="0"/>
    <x v="9"/>
    <s v="Small Box"/>
    <s v="Avery 482"/>
    <n v="0.38"/>
    <s v="United States"/>
    <x v="3"/>
    <s v="Virginia"/>
    <s v="Alexandria"/>
    <n v="22304"/>
    <x v="144"/>
    <d v="2015-06-03T00:00:00"/>
    <n v="-2.0097"/>
    <n v="6"/>
    <x v="861"/>
    <n v="87425"/>
    <x v="869"/>
  </r>
  <r>
    <n v="18295"/>
    <s v="Not Specified"/>
    <n v="0.08"/>
    <n v="22.84"/>
    <n v="11.54"/>
    <n v="1556"/>
    <s v="Carol Wood"/>
    <s v="Regular Air"/>
    <s v="Consumer"/>
    <x v="0"/>
    <x v="7"/>
    <s v="Small Box"/>
    <s v="Xerox 1964"/>
    <n v="0.39"/>
    <s v="United States"/>
    <x v="3"/>
    <s v="Virginia"/>
    <s v="Alexandria"/>
    <n v="22304"/>
    <x v="144"/>
    <d v="2015-06-03T00:00:00"/>
    <n v="-477.37200000000001"/>
    <n v="9"/>
    <x v="862"/>
    <n v="87425"/>
    <x v="870"/>
  </r>
  <r>
    <n v="18511"/>
    <s v="Low"/>
    <n v="0.09"/>
    <n v="60.98"/>
    <n v="49"/>
    <n v="1557"/>
    <s v="James Nicholson"/>
    <s v="Regular Air"/>
    <s v="Consumer"/>
    <x v="0"/>
    <x v="15"/>
    <s v="Large Box"/>
    <s v="Euro Pro Shark Stick Mini Vacuum"/>
    <n v="0.59"/>
    <s v="United States"/>
    <x v="3"/>
    <s v="Virginia"/>
    <s v="Annandale"/>
    <n v="22003"/>
    <x v="78"/>
    <d v="2015-04-02T00:00:00"/>
    <n v="-954.75800000000004"/>
    <n v="15"/>
    <x v="863"/>
    <n v="87426"/>
    <x v="871"/>
  </r>
  <r>
    <n v="18512"/>
    <s v="Low"/>
    <n v="0.05"/>
    <n v="29.89"/>
    <n v="1.99"/>
    <n v="1557"/>
    <s v="James Nicholson"/>
    <s v="Regular Air"/>
    <s v="Consumer"/>
    <x v="2"/>
    <x v="13"/>
    <s v="Small Pack"/>
    <s v="Verbatim DVD-RAM, 5.2GB, Rewritable, Type 1, DS"/>
    <n v="0.5"/>
    <s v="United States"/>
    <x v="3"/>
    <s v="Virginia"/>
    <s v="Annandale"/>
    <n v="22003"/>
    <x v="78"/>
    <d v="2015-03-27T00:00:00"/>
    <n v="219.4734"/>
    <n v="12"/>
    <x v="864"/>
    <n v="87426"/>
    <x v="872"/>
  </r>
  <r>
    <n v="26229"/>
    <s v="Critical"/>
    <n v="0.1"/>
    <n v="226.67"/>
    <n v="28.16"/>
    <n v="1559"/>
    <s v="Zachary Maynard"/>
    <s v="Delivery Truck"/>
    <s v="Consumer"/>
    <x v="1"/>
    <x v="1"/>
    <s v="Jumbo Drum"/>
    <s v="Hon GuestStacker Chair"/>
    <n v="0.59"/>
    <s v="United States"/>
    <x v="3"/>
    <s v="Virginia"/>
    <s v="Blacksburg"/>
    <n v="24060"/>
    <x v="112"/>
    <d v="2015-04-17T00:00:00"/>
    <n v="-390.76799999999997"/>
    <n v="5"/>
    <x v="865"/>
    <n v="87424"/>
    <x v="873"/>
  </r>
  <r>
    <n v="19130"/>
    <s v="High"/>
    <n v="0.02"/>
    <n v="11.34"/>
    <n v="11.25"/>
    <n v="1561"/>
    <s v="Edwin Coley"/>
    <s v="Regular Air"/>
    <s v="Corporate"/>
    <x v="0"/>
    <x v="7"/>
    <s v="Small Box"/>
    <s v="Staples 1 Part Blank Computer Paper"/>
    <n v="0.36"/>
    <s v="United States"/>
    <x v="2"/>
    <s v="Texas"/>
    <s v="Mansfield"/>
    <n v="76063"/>
    <x v="151"/>
    <d v="2015-03-02T00:00:00"/>
    <n v="-155.21"/>
    <n v="9"/>
    <x v="866"/>
    <n v="88093"/>
    <x v="874"/>
  </r>
  <r>
    <n v="19208"/>
    <s v="Critical"/>
    <n v="0.05"/>
    <n v="12.2"/>
    <n v="6.02"/>
    <n v="1561"/>
    <s v="Edwin Coley"/>
    <s v="Regular Air"/>
    <s v="Corporate"/>
    <x v="1"/>
    <x v="2"/>
    <s v="Small Pack"/>
    <s v="Advantus Panel Wall Certificate Holder - 8.5x11"/>
    <n v="0.43"/>
    <s v="United States"/>
    <x v="2"/>
    <s v="Texas"/>
    <s v="Mansfield"/>
    <n v="76063"/>
    <x v="53"/>
    <d v="2015-04-14T00:00:00"/>
    <n v="-6.6420000000000003"/>
    <n v="5"/>
    <x v="867"/>
    <n v="88094"/>
    <x v="875"/>
  </r>
  <r>
    <n v="20464"/>
    <s v="Medium"/>
    <n v="7.0000000000000007E-2"/>
    <n v="20.95"/>
    <n v="5.99"/>
    <n v="1574"/>
    <s v="Sherry Hurley"/>
    <s v="Regular Air"/>
    <s v="Consumer"/>
    <x v="2"/>
    <x v="13"/>
    <s v="Small Box"/>
    <s v="Fellowes Basic 104-Key Keyboard, Platinum"/>
    <n v="0.65"/>
    <s v="United States"/>
    <x v="3"/>
    <s v="North Carolina"/>
    <s v="Fayetteville"/>
    <n v="28314"/>
    <x v="170"/>
    <d v="2015-02-10T00:00:00"/>
    <n v="27.234000000000002"/>
    <n v="19"/>
    <x v="868"/>
    <n v="86966"/>
    <x v="876"/>
  </r>
  <r>
    <n v="22127"/>
    <s v="Low"/>
    <n v="0.1"/>
    <n v="11.58"/>
    <n v="6.97"/>
    <n v="1580"/>
    <s v="Ronnie Nolan"/>
    <s v="Regular Air"/>
    <s v="Corporate"/>
    <x v="0"/>
    <x v="4"/>
    <s v="Small Box"/>
    <s v="Peel &amp; Seel® Recycled Catalog Envelopes, Brown"/>
    <n v="0.35"/>
    <s v="United States"/>
    <x v="1"/>
    <s v="Maine"/>
    <s v="Waterville"/>
    <n v="4901"/>
    <x v="160"/>
    <d v="2015-02-20T00:00:00"/>
    <n v="-8.3979999999999997"/>
    <n v="1"/>
    <x v="869"/>
    <n v="90934"/>
    <x v="877"/>
  </r>
  <r>
    <n v="25013"/>
    <s v="Medium"/>
    <n v="0.03"/>
    <n v="19.04"/>
    <n v="6.38"/>
    <n v="1590"/>
    <s v="Lucille Buchanan"/>
    <s v="Express Air"/>
    <s v="Corporate"/>
    <x v="1"/>
    <x v="2"/>
    <s v="Small Box"/>
    <s v="Eldon Expressions™ Desk Accessory, Wood Photo Frame, Mahogany"/>
    <n v="0.56000000000000005"/>
    <s v="United States"/>
    <x v="1"/>
    <s v="Ohio"/>
    <s v="Willoughby"/>
    <n v="44094"/>
    <x v="36"/>
    <d v="2015-04-04T00:00:00"/>
    <n v="83.793599999999998"/>
    <n v="7"/>
    <x v="870"/>
    <n v="86668"/>
    <x v="878"/>
  </r>
  <r>
    <n v="25011"/>
    <s v="Medium"/>
    <n v="0.02"/>
    <n v="5.53"/>
    <n v="6.98"/>
    <n v="1593"/>
    <s v="Ronald O'Neill"/>
    <s v="Regular Air"/>
    <s v="Corporate"/>
    <x v="0"/>
    <x v="8"/>
    <s v="Small Box"/>
    <s v="Avery Durable Poly Binders"/>
    <n v="0.39"/>
    <s v="United States"/>
    <x v="2"/>
    <s v="Oklahoma"/>
    <s v="Bartlesville"/>
    <n v="74006"/>
    <x v="36"/>
    <d v="2015-04-06T00:00:00"/>
    <n v="-77.823719999999994"/>
    <n v="8"/>
    <x v="871"/>
    <n v="86668"/>
    <x v="879"/>
  </r>
  <r>
    <n v="21059"/>
    <s v="High"/>
    <n v="0.01"/>
    <n v="500.98"/>
    <n v="26"/>
    <n v="1595"/>
    <s v="Chad Henson"/>
    <s v="Delivery Truck"/>
    <s v="Corporate"/>
    <x v="1"/>
    <x v="1"/>
    <s v="Jumbo Drum"/>
    <s v="Global Troy™ Executive Leather Low-Back Tilter"/>
    <n v="0.6"/>
    <s v="United States"/>
    <x v="1"/>
    <s v="West Virginia"/>
    <s v="Huntington"/>
    <n v="25705"/>
    <x v="171"/>
    <d v="2015-05-12T00:00:00"/>
    <n v="5078.5379999999996"/>
    <n v="14"/>
    <x v="872"/>
    <n v="90796"/>
    <x v="880"/>
  </r>
  <r>
    <n v="21060"/>
    <s v="High"/>
    <n v="0.08"/>
    <n v="9.77"/>
    <n v="6.02"/>
    <n v="1595"/>
    <s v="Chad Henson"/>
    <s v="Regular Air"/>
    <s v="Corporate"/>
    <x v="1"/>
    <x v="2"/>
    <s v="Medium Box"/>
    <s v="DAX Solid Wood Frames"/>
    <n v="0.48"/>
    <s v="United States"/>
    <x v="1"/>
    <s v="West Virginia"/>
    <s v="Huntington"/>
    <n v="25705"/>
    <x v="171"/>
    <d v="2015-05-12T00:00:00"/>
    <n v="23.276"/>
    <n v="9"/>
    <x v="873"/>
    <n v="90796"/>
    <x v="881"/>
  </r>
  <r>
    <n v="21061"/>
    <s v="High"/>
    <n v="0.09"/>
    <n v="3.28"/>
    <n v="0.98"/>
    <n v="1595"/>
    <s v="Chad Henson"/>
    <s v="Regular Air"/>
    <s v="Corporate"/>
    <x v="0"/>
    <x v="0"/>
    <s v="Wrap Bag"/>
    <s v="Newell 329"/>
    <n v="0.59"/>
    <s v="United States"/>
    <x v="1"/>
    <s v="West Virginia"/>
    <s v="Huntington"/>
    <n v="25705"/>
    <x v="171"/>
    <d v="2015-05-13T00:00:00"/>
    <n v="17.754000000000001"/>
    <n v="42"/>
    <x v="874"/>
    <n v="90796"/>
    <x v="882"/>
  </r>
  <r>
    <n v="21928"/>
    <s v="Critical"/>
    <n v="0.1"/>
    <n v="9.11"/>
    <n v="2.15"/>
    <n v="1602"/>
    <s v="Frank Hess"/>
    <s v="Regular Air"/>
    <s v="Home Office"/>
    <x v="0"/>
    <x v="7"/>
    <s v="Wrap Bag"/>
    <s v="Black Print Carbonless Snap-Off® Rapid Letter, 8 1/2&quot; x 7&quot;"/>
    <n v="0.4"/>
    <s v="United States"/>
    <x v="1"/>
    <s v="Maryland"/>
    <s v="Waldorf"/>
    <n v="20601"/>
    <x v="98"/>
    <d v="2015-04-12T00:00:00"/>
    <n v="-3.9312"/>
    <n v="2"/>
    <x v="379"/>
    <n v="89680"/>
    <x v="883"/>
  </r>
  <r>
    <n v="23533"/>
    <s v="Critical"/>
    <n v="0.09"/>
    <n v="2.1800000000000002"/>
    <n v="0.78"/>
    <n v="1603"/>
    <s v="Alex Watkins"/>
    <s v="Regular Air"/>
    <s v="Small Business"/>
    <x v="0"/>
    <x v="3"/>
    <s v="Wrap Bag"/>
    <s v="Stockwell Push Pins"/>
    <n v="0.52"/>
    <s v="United States"/>
    <x v="1"/>
    <s v="New York"/>
    <s v="Woodmere"/>
    <n v="11598"/>
    <x v="59"/>
    <d v="2015-01-18T00:00:00"/>
    <n v="2.4548000000000001"/>
    <n v="9"/>
    <x v="875"/>
    <n v="89679"/>
    <x v="884"/>
  </r>
  <r>
    <n v="23534"/>
    <s v="Critical"/>
    <n v="0.05"/>
    <n v="179.29"/>
    <n v="29.21"/>
    <n v="1603"/>
    <s v="Alex Watkins"/>
    <s v="Delivery Truck"/>
    <s v="Small Business"/>
    <x v="1"/>
    <x v="11"/>
    <s v="Jumbo Box"/>
    <s v="Bevis Round Conference Table Top, X-Base"/>
    <n v="0.76"/>
    <s v="United States"/>
    <x v="1"/>
    <s v="New York"/>
    <s v="Woodmere"/>
    <n v="11598"/>
    <x v="59"/>
    <d v="2015-01-18T00:00:00"/>
    <n v="-537.27977729999998"/>
    <n v="1"/>
    <x v="876"/>
    <n v="89679"/>
    <x v="885"/>
  </r>
  <r>
    <n v="18450"/>
    <s v="Medium"/>
    <n v="0.05"/>
    <n v="1.98"/>
    <n v="4.7699999999999996"/>
    <n v="1606"/>
    <s v="Don Rogers"/>
    <s v="Regular Air"/>
    <s v="Home Office"/>
    <x v="0"/>
    <x v="8"/>
    <s v="Small Box"/>
    <s v="Avery Reinforcements for Hole-Punch Pages"/>
    <n v="0.4"/>
    <s v="United States"/>
    <x v="1"/>
    <s v="New York"/>
    <s v="Franklin Square"/>
    <n v="11010"/>
    <x v="0"/>
    <d v="2015-01-08T00:00:00"/>
    <n v="-14.359819999999999"/>
    <n v="1"/>
    <x v="877"/>
    <n v="87993"/>
    <x v="886"/>
  </r>
  <r>
    <n v="18451"/>
    <s v="Medium"/>
    <n v="7.0000000000000007E-2"/>
    <n v="699.99"/>
    <n v="24.49"/>
    <n v="1606"/>
    <s v="Don Rogers"/>
    <s v="Express Air"/>
    <s v="Home Office"/>
    <x v="2"/>
    <x v="16"/>
    <s v="Large Box"/>
    <s v="Canon PC1060 Personal Laser Copier"/>
    <n v="0.41"/>
    <s v="United States"/>
    <x v="1"/>
    <s v="New York"/>
    <s v="Franklin Square"/>
    <n v="11010"/>
    <x v="0"/>
    <d v="2015-01-08T00:00:00"/>
    <n v="-2870.2775999999999"/>
    <n v="1"/>
    <x v="878"/>
    <n v="87993"/>
    <x v="887"/>
  </r>
  <r>
    <n v="18452"/>
    <s v="Medium"/>
    <n v="7.0000000000000007E-2"/>
    <n v="6783.02"/>
    <n v="24.49"/>
    <n v="1606"/>
    <s v="Don Rogers"/>
    <s v="Regular Air"/>
    <s v="Home Office"/>
    <x v="2"/>
    <x v="6"/>
    <s v="Large Box"/>
    <s v="Polycom ViewStation™ ISDN Videoconferencing Unit"/>
    <n v="0.39"/>
    <s v="United States"/>
    <x v="1"/>
    <s v="New York"/>
    <s v="Franklin Square"/>
    <n v="11010"/>
    <x v="0"/>
    <d v="2015-01-08T00:00:00"/>
    <n v="77.983599999999996"/>
    <n v="2"/>
    <x v="879"/>
    <n v="87993"/>
    <x v="888"/>
  </r>
  <r>
    <n v="22921"/>
    <s v="Not Specified"/>
    <n v="0.01"/>
    <n v="15.16"/>
    <n v="15.09"/>
    <n v="1607"/>
    <s v="Kathleen Huang Hall"/>
    <s v="Regular Air"/>
    <s v="Home Office"/>
    <x v="0"/>
    <x v="8"/>
    <s v="Small Box"/>
    <s v="GBC Clear Cover, 8-1/2 x 11, unpunched, 25 covers per pack"/>
    <n v="0.39"/>
    <s v="United States"/>
    <x v="1"/>
    <s v="New York"/>
    <s v="Freeport"/>
    <n v="11520"/>
    <x v="112"/>
    <d v="2015-04-15T00:00:00"/>
    <n v="-200.85900000000001"/>
    <n v="7"/>
    <x v="880"/>
    <n v="87994"/>
    <x v="889"/>
  </r>
  <r>
    <n v="24951"/>
    <s v="Low"/>
    <n v="0.1"/>
    <n v="5.68"/>
    <n v="3.6"/>
    <n v="1607"/>
    <s v="Kathleen Huang Hall"/>
    <s v="Express Air"/>
    <s v="Home Office"/>
    <x v="0"/>
    <x v="12"/>
    <s v="Small Pack"/>
    <s v="Acme® Preferred Stainless Steel Scissors"/>
    <n v="0.56000000000000005"/>
    <s v="United States"/>
    <x v="1"/>
    <s v="New York"/>
    <s v="Freeport"/>
    <n v="11520"/>
    <x v="92"/>
    <d v="2015-02-10T00:00:00"/>
    <n v="-33.2956"/>
    <n v="21"/>
    <x v="881"/>
    <n v="87995"/>
    <x v="890"/>
  </r>
  <r>
    <n v="22682"/>
    <s v="High"/>
    <n v="0.03"/>
    <n v="2.16"/>
    <n v="6.05"/>
    <n v="1609"/>
    <s v="Jerry Ennis"/>
    <s v="Regular Air"/>
    <s v="Consumer"/>
    <x v="0"/>
    <x v="8"/>
    <s v="Small Box"/>
    <s v="Peel &amp; Stick Add-On Corner Pockets"/>
    <n v="0.37"/>
    <s v="United States"/>
    <x v="0"/>
    <s v="California"/>
    <s v="Sacramento"/>
    <n v="95823"/>
    <x v="171"/>
    <d v="2015-05-12T00:00:00"/>
    <n v="-90.585499999999996"/>
    <n v="7"/>
    <x v="882"/>
    <n v="87824"/>
    <x v="891"/>
  </r>
  <r>
    <n v="22683"/>
    <s v="High"/>
    <n v="0.03"/>
    <n v="9.7100000000000009"/>
    <n v="9.4499999999999993"/>
    <n v="1609"/>
    <s v="Jerry Ennis"/>
    <s v="Regular Air"/>
    <s v="Consumer"/>
    <x v="0"/>
    <x v="10"/>
    <s v="Small Box"/>
    <s v="Filing/Storage Totes and Swivel Casters"/>
    <n v="0.6"/>
    <s v="United States"/>
    <x v="0"/>
    <s v="California"/>
    <s v="Sacramento"/>
    <n v="95823"/>
    <x v="171"/>
    <d v="2015-05-11T00:00:00"/>
    <n v="-36.9"/>
    <n v="2"/>
    <x v="883"/>
    <n v="87824"/>
    <x v="892"/>
  </r>
  <r>
    <n v="18394"/>
    <s v="Low"/>
    <n v="0.06"/>
    <n v="40.97"/>
    <n v="1.99"/>
    <n v="1614"/>
    <s v="Wayne Lutz"/>
    <s v="Regular Air"/>
    <s v="Consumer"/>
    <x v="2"/>
    <x v="13"/>
    <s v="Small Pack"/>
    <s v="TDK 4.7GB DVD-R Spindle, 15/Pack"/>
    <n v="0.42"/>
    <s v="United States"/>
    <x v="1"/>
    <s v="Massachusetts"/>
    <s v="Hopkinton"/>
    <n v="1748"/>
    <x v="4"/>
    <d v="2015-04-12T00:00:00"/>
    <n v="341.19810000000001"/>
    <n v="12"/>
    <x v="884"/>
    <n v="87823"/>
    <x v="893"/>
  </r>
  <r>
    <n v="19501"/>
    <s v="High"/>
    <n v="0.09"/>
    <n v="12.88"/>
    <n v="4.59"/>
    <n v="1618"/>
    <s v="June Roberts"/>
    <s v="Regular Air"/>
    <s v="Consumer"/>
    <x v="0"/>
    <x v="12"/>
    <s v="Wrap Bag"/>
    <s v="Martin-Yale Premier Letter Opener"/>
    <n v="0.82"/>
    <s v="United States"/>
    <x v="2"/>
    <s v="Indiana"/>
    <s v="Highland"/>
    <n v="46322"/>
    <x v="34"/>
    <d v="2015-04-06T00:00:00"/>
    <n v="-175.13"/>
    <n v="13"/>
    <x v="885"/>
    <n v="90248"/>
    <x v="894"/>
  </r>
  <r>
    <n v="19502"/>
    <s v="High"/>
    <n v="0.02"/>
    <n v="45.99"/>
    <n v="4.99"/>
    <n v="1620"/>
    <s v="Gerald Petty"/>
    <s v="Express Air"/>
    <s v="Consumer"/>
    <x v="2"/>
    <x v="5"/>
    <s v="Small Box"/>
    <s v="600 Series Non-Flip"/>
    <n v="0.56999999999999995"/>
    <s v="United States"/>
    <x v="1"/>
    <s v="Pennsylvania"/>
    <s v="Lancaster"/>
    <n v="17602"/>
    <x v="34"/>
    <d v="2015-04-07T00:00:00"/>
    <n v="3.96"/>
    <n v="4"/>
    <x v="886"/>
    <n v="90248"/>
    <x v="895"/>
  </r>
  <r>
    <n v="23750"/>
    <s v="High"/>
    <n v="0.06"/>
    <n v="15.01"/>
    <n v="8.4"/>
    <n v="1623"/>
    <s v="Patrick Adcock"/>
    <s v="Regular Air"/>
    <s v="Small Business"/>
    <x v="0"/>
    <x v="8"/>
    <s v="Small Box"/>
    <s v="GBC Prepunched Paper, 19-Hole, for Binding Systems, 24-lb"/>
    <n v="0.39"/>
    <s v="United States"/>
    <x v="2"/>
    <s v="Indiana"/>
    <s v="Schererville"/>
    <n v="46375"/>
    <x v="84"/>
    <d v="2015-05-26T00:00:00"/>
    <n v="1.6169"/>
    <n v="22"/>
    <x v="887"/>
    <n v="87611"/>
    <x v="896"/>
  </r>
  <r>
    <n v="23751"/>
    <s v="High"/>
    <n v="0.09"/>
    <n v="40.479999999999997"/>
    <n v="19.989999999999998"/>
    <n v="1623"/>
    <s v="Patrick Adcock"/>
    <s v="Regular Air"/>
    <s v="Small Business"/>
    <x v="2"/>
    <x v="13"/>
    <s v="Small Box"/>
    <s v="Keytronic Designer 104- Key Black Keyboard"/>
    <n v="0.77"/>
    <s v="United States"/>
    <x v="2"/>
    <s v="Indiana"/>
    <s v="Schererville"/>
    <n v="46375"/>
    <x v="84"/>
    <d v="2015-05-26T00:00:00"/>
    <n v="65.394000000000005"/>
    <n v="12"/>
    <x v="888"/>
    <n v="87611"/>
    <x v="897"/>
  </r>
  <r>
    <n v="23752"/>
    <s v="High"/>
    <n v="0.05"/>
    <n v="12.28"/>
    <n v="6.13"/>
    <n v="1623"/>
    <s v="Patrick Adcock"/>
    <s v="Regular Air"/>
    <s v="Small Business"/>
    <x v="0"/>
    <x v="10"/>
    <s v="Small Box"/>
    <s v="Recycled Eldon Regeneration Jumbo File"/>
    <n v="0.56999999999999995"/>
    <s v="United States"/>
    <x v="2"/>
    <s v="Indiana"/>
    <s v="Schererville"/>
    <n v="46375"/>
    <x v="84"/>
    <d v="2015-05-25T00:00:00"/>
    <n v="1.3360000000000001"/>
    <n v="1"/>
    <x v="889"/>
    <n v="87611"/>
    <x v="898"/>
  </r>
  <r>
    <n v="21145"/>
    <s v="Medium"/>
    <n v="0.08"/>
    <n v="213.45"/>
    <n v="14.7"/>
    <n v="1625"/>
    <s v="Molly Browning"/>
    <s v="Delivery Truck"/>
    <s v="Home Office"/>
    <x v="2"/>
    <x v="6"/>
    <s v="Jumbo Drum"/>
    <s v="Panasonic KX-P2130 Dot Matrix Printer"/>
    <n v="0.59"/>
    <s v="United States"/>
    <x v="1"/>
    <s v="New York"/>
    <s v="Glen Cove"/>
    <n v="11542"/>
    <x v="12"/>
    <d v="2015-03-29T00:00:00"/>
    <n v="1674.7542000000001"/>
    <n v="12"/>
    <x v="890"/>
    <n v="90600"/>
    <x v="899"/>
  </r>
  <r>
    <n v="21146"/>
    <s v="Medium"/>
    <n v="0.1"/>
    <n v="55.98"/>
    <n v="13.88"/>
    <n v="1625"/>
    <s v="Molly Browning"/>
    <s v="Regular Air"/>
    <s v="Home Office"/>
    <x v="0"/>
    <x v="7"/>
    <s v="Small Box"/>
    <s v="Xerox 1882"/>
    <n v="0.36"/>
    <s v="United States"/>
    <x v="1"/>
    <s v="New York"/>
    <s v="Glen Cove"/>
    <n v="11542"/>
    <x v="12"/>
    <d v="2015-03-29T00:00:00"/>
    <n v="300.04649999999998"/>
    <n v="8"/>
    <x v="891"/>
    <n v="90600"/>
    <x v="900"/>
  </r>
  <r>
    <n v="21147"/>
    <s v="Medium"/>
    <n v="0"/>
    <n v="16.059999999999999"/>
    <n v="8.34"/>
    <n v="1625"/>
    <s v="Molly Browning"/>
    <s v="Regular Air"/>
    <s v="Home Office"/>
    <x v="0"/>
    <x v="10"/>
    <s v="Small Box"/>
    <s v="Letter/Legal File Tote with Clear Snap-On Lid, Black Granite"/>
    <n v="0.59"/>
    <s v="United States"/>
    <x v="1"/>
    <s v="New York"/>
    <s v="Glen Cove"/>
    <n v="11542"/>
    <x v="12"/>
    <d v="2015-03-28T00:00:00"/>
    <n v="-28.09"/>
    <n v="1"/>
    <x v="892"/>
    <n v="90600"/>
    <x v="901"/>
  </r>
  <r>
    <n v="21270"/>
    <s v="Medium"/>
    <n v="0"/>
    <n v="209.37"/>
    <n v="69"/>
    <n v="1625"/>
    <s v="Molly Browning"/>
    <s v="Regular Air"/>
    <s v="Home Office"/>
    <x v="1"/>
    <x v="11"/>
    <s v="Large Box"/>
    <s v="Hon 2111 Invitation™ Series Corner Table"/>
    <n v="0.79"/>
    <s v="United States"/>
    <x v="1"/>
    <s v="New York"/>
    <s v="Glen Cove"/>
    <n v="11542"/>
    <x v="160"/>
    <d v="2015-02-18T00:00:00"/>
    <n v="-263.1119291"/>
    <n v="11"/>
    <x v="893"/>
    <n v="90601"/>
    <x v="902"/>
  </r>
  <r>
    <n v="23604"/>
    <s v="High"/>
    <n v="0.06"/>
    <n v="43.57"/>
    <n v="16.36"/>
    <n v="1627"/>
    <s v="Aaron Day"/>
    <s v="Regular Air"/>
    <s v="Corporate"/>
    <x v="0"/>
    <x v="10"/>
    <s v="Small Box"/>
    <s v="Trav-L-File Heavy-Duty Shuttle II, Black"/>
    <n v="0.55000000000000004"/>
    <s v="United States"/>
    <x v="3"/>
    <s v="Tennessee"/>
    <s v="Greeneville"/>
    <n v="37743"/>
    <x v="5"/>
    <d v="2015-05-30T00:00:00"/>
    <n v="-38.808"/>
    <n v="17"/>
    <x v="894"/>
    <n v="90602"/>
    <x v="903"/>
  </r>
  <r>
    <n v="19769"/>
    <s v="High"/>
    <n v="0.08"/>
    <n v="8.09"/>
    <n v="7.96"/>
    <n v="1632"/>
    <s v="Lori Wolfe"/>
    <s v="Express Air"/>
    <s v="Home Office"/>
    <x v="1"/>
    <x v="2"/>
    <s v="Small Box"/>
    <s v="6&quot; Cubicle Wall Clock, Black"/>
    <n v="0.49"/>
    <s v="United States"/>
    <x v="3"/>
    <s v="Mississippi"/>
    <s v="Hattiesburg"/>
    <n v="39401"/>
    <x v="43"/>
    <d v="2015-01-16T00:00:00"/>
    <n v="15.984"/>
    <n v="6"/>
    <x v="895"/>
    <n v="90530"/>
    <x v="904"/>
  </r>
  <r>
    <n v="20359"/>
    <s v="High"/>
    <n v="0.02"/>
    <n v="25.99"/>
    <n v="5.37"/>
    <n v="1632"/>
    <s v="Lori Wolfe"/>
    <s v="Regular Air"/>
    <s v="Home Office"/>
    <x v="0"/>
    <x v="0"/>
    <s v="Small Box"/>
    <s v="BOSTON® Ranger® #55 Pencil Sharpener, Black"/>
    <n v="0.56000000000000005"/>
    <s v="United States"/>
    <x v="3"/>
    <s v="Mississippi"/>
    <s v="Hattiesburg"/>
    <n v="39401"/>
    <x v="112"/>
    <d v="2015-04-17T00:00:00"/>
    <n v="-88.158000000000001"/>
    <n v="9"/>
    <x v="896"/>
    <n v="90533"/>
    <x v="905"/>
  </r>
  <r>
    <n v="24786"/>
    <s v="Not Specified"/>
    <n v="0.03"/>
    <n v="5.98"/>
    <n v="3.85"/>
    <n v="1633"/>
    <s v="Gerald Raynor"/>
    <s v="Regular Air"/>
    <s v="Home Office"/>
    <x v="2"/>
    <x v="13"/>
    <s v="Small Pack"/>
    <s v="Imation 3.5&quot; IBM-Formatted Diskettes, 10/Pack"/>
    <n v="0.68"/>
    <s v="United States"/>
    <x v="3"/>
    <s v="Mississippi"/>
    <s v="Horn Lake"/>
    <n v="38637"/>
    <x v="104"/>
    <d v="2015-02-12T00:00:00"/>
    <n v="-76.106800000000007"/>
    <n v="6"/>
    <x v="897"/>
    <n v="90531"/>
    <x v="906"/>
  </r>
  <r>
    <n v="26340"/>
    <s v="Not Specified"/>
    <n v="0.08"/>
    <n v="100.97"/>
    <n v="14"/>
    <n v="1634"/>
    <s v="Katherine W Epstein"/>
    <s v="Delivery Truck"/>
    <s v="Home Office"/>
    <x v="2"/>
    <x v="6"/>
    <s v="Jumbo Drum"/>
    <s v="Hewlett-Packard Deskjet 3820 Color Inkjet Printer"/>
    <n v="0.37"/>
    <s v="United States"/>
    <x v="3"/>
    <s v="Mississippi"/>
    <s v="Jackson"/>
    <n v="39212"/>
    <x v="37"/>
    <d v="2015-04-10T00:00:00"/>
    <n v="-73.494119999999995"/>
    <n v="15"/>
    <x v="898"/>
    <n v="90532"/>
    <x v="907"/>
  </r>
  <r>
    <n v="19144"/>
    <s v="Critical"/>
    <n v="0.08"/>
    <n v="115.99"/>
    <n v="56.14"/>
    <n v="1636"/>
    <s v="Sidney Greenberg"/>
    <s v="Delivery Truck"/>
    <s v="Home Office"/>
    <x v="2"/>
    <x v="6"/>
    <s v="Jumbo Drum"/>
    <s v="Hewlett-Packard Deskjet 5550 Color Inkjet Printer"/>
    <n v="0.4"/>
    <s v="United States"/>
    <x v="0"/>
    <s v="California"/>
    <s v="Salinas"/>
    <n v="93905"/>
    <x v="101"/>
    <d v="2015-01-16T00:00:00"/>
    <n v="-272.860884"/>
    <n v="5"/>
    <x v="899"/>
    <n v="89704"/>
    <x v="908"/>
  </r>
  <r>
    <n v="19145"/>
    <s v="Critical"/>
    <n v="0.08"/>
    <n v="4.28"/>
    <n v="0.94"/>
    <n v="1636"/>
    <s v="Sidney Greenberg"/>
    <s v="Regular Air"/>
    <s v="Home Office"/>
    <x v="0"/>
    <x v="0"/>
    <s v="Wrap Bag"/>
    <s v="Newell 336"/>
    <n v="0.56000000000000005"/>
    <s v="United States"/>
    <x v="0"/>
    <s v="California"/>
    <s v="Salinas"/>
    <n v="93905"/>
    <x v="101"/>
    <d v="2015-01-17T00:00:00"/>
    <n v="10.5792"/>
    <n v="7"/>
    <x v="900"/>
    <n v="89704"/>
    <x v="909"/>
  </r>
  <r>
    <n v="20869"/>
    <s v="High"/>
    <n v="0.04"/>
    <n v="136.97999999999999"/>
    <n v="24.49"/>
    <n v="1636"/>
    <s v="Sidney Greenberg"/>
    <s v="Express Air"/>
    <s v="Home Office"/>
    <x v="1"/>
    <x v="2"/>
    <s v="Large Box"/>
    <s v="3M Polarizing Task Lamp with Clamp Arm, Light Gray"/>
    <n v="0.59"/>
    <s v="United States"/>
    <x v="0"/>
    <s v="California"/>
    <s v="Salinas"/>
    <n v="93905"/>
    <x v="38"/>
    <d v="2015-01-14T00:00:00"/>
    <n v="1127.5497"/>
    <n v="12"/>
    <x v="901"/>
    <n v="89706"/>
    <x v="910"/>
  </r>
  <r>
    <n v="26109"/>
    <s v="Critical"/>
    <n v="0.08"/>
    <n v="55.48"/>
    <n v="6.79"/>
    <n v="1639"/>
    <s v="Marvin Rollins"/>
    <s v="Regular Air"/>
    <s v="Home Office"/>
    <x v="0"/>
    <x v="7"/>
    <s v="Small Box"/>
    <s v="Eaton Premium Continuous-Feed Paper, 25% Cotton, Letter Size, White, 1000 Shts/Box"/>
    <n v="0.37"/>
    <s v="United States"/>
    <x v="1"/>
    <s v="Connecticut"/>
    <s v="Stamford"/>
    <n v="6901"/>
    <x v="115"/>
    <d v="2015-02-28T00:00:00"/>
    <n v="147.75659999999999"/>
    <n v="4"/>
    <x v="902"/>
    <n v="89705"/>
    <x v="911"/>
  </r>
  <r>
    <n v="18274"/>
    <s v="Low"/>
    <n v="0.09"/>
    <n v="107.53"/>
    <n v="5.81"/>
    <n v="1644"/>
    <s v="Sam Woodward"/>
    <s v="Regular Air"/>
    <s v="Small Business"/>
    <x v="1"/>
    <x v="2"/>
    <s v="Medium Box"/>
    <s v="Tenex Contemporary Contur Chairmats for Low and Medium Pile Carpet, Computer, 39&quot; x 49&quot;"/>
    <n v="0.65"/>
    <s v="United States"/>
    <x v="2"/>
    <s v="Texas"/>
    <s v="Friendswood"/>
    <n v="77546"/>
    <x v="110"/>
    <d v="2015-06-16T00:00:00"/>
    <n v="69.545100000000005"/>
    <n v="1"/>
    <x v="903"/>
    <n v="87342"/>
    <x v="912"/>
  </r>
  <r>
    <n v="24265"/>
    <s v="Not Specified"/>
    <n v="0.06"/>
    <n v="3.29"/>
    <n v="1.35"/>
    <n v="1646"/>
    <s v="Eugene Brewer Knox"/>
    <s v="Regular Air"/>
    <s v="Small Business"/>
    <x v="0"/>
    <x v="3"/>
    <s v="Wrap Bag"/>
    <s v="Acco® Hot Clips™ Clips to Go"/>
    <n v="0.4"/>
    <s v="United States"/>
    <x v="1"/>
    <s v="New York"/>
    <s v="Bethpage"/>
    <n v="11714"/>
    <x v="24"/>
    <d v="2015-03-17T00:00:00"/>
    <n v="8.5299999999999994"/>
    <n v="11"/>
    <x v="707"/>
    <n v="90932"/>
    <x v="913"/>
  </r>
  <r>
    <n v="21947"/>
    <s v="Critical"/>
    <n v="0.08"/>
    <n v="46.89"/>
    <n v="5.0999999999999996"/>
    <n v="1648"/>
    <s v="Nina Bowles"/>
    <s v="Regular Air"/>
    <s v="Corporate"/>
    <x v="0"/>
    <x v="15"/>
    <s v="Medium Box"/>
    <s v="Bionaire Personal Warm Mist Humidifier/Vaporizer"/>
    <n v="0.46"/>
    <s v="United States"/>
    <x v="2"/>
    <s v="Illinois"/>
    <s v="Woodstock"/>
    <n v="60098"/>
    <x v="78"/>
    <d v="2015-03-27T00:00:00"/>
    <n v="507.63299999999998"/>
    <n v="17"/>
    <x v="904"/>
    <n v="91043"/>
    <x v="914"/>
  </r>
  <r>
    <n v="21948"/>
    <s v="Critical"/>
    <n v="0.05"/>
    <n v="12.98"/>
    <n v="3.14"/>
    <n v="1648"/>
    <s v="Nina Bowles"/>
    <s v="Regular Air"/>
    <s v="Corporate"/>
    <x v="0"/>
    <x v="12"/>
    <s v="Small Pack"/>
    <s v="Acme® 8&quot; Straight Scissors"/>
    <n v="0.6"/>
    <s v="United States"/>
    <x v="2"/>
    <s v="Illinois"/>
    <s v="Woodstock"/>
    <n v="60098"/>
    <x v="78"/>
    <d v="2015-03-25T00:00:00"/>
    <n v="38.229999999999997"/>
    <n v="18"/>
    <x v="905"/>
    <n v="91043"/>
    <x v="915"/>
  </r>
  <r>
    <n v="20603"/>
    <s v="Critical"/>
    <n v="0.03"/>
    <n v="48.58"/>
    <n v="3.99"/>
    <n v="1649"/>
    <s v="Roy Hardison"/>
    <s v="Express Air"/>
    <s v="Corporate"/>
    <x v="0"/>
    <x v="15"/>
    <s v="Small Box"/>
    <s v="Belkin Premiere Surge Master II 8-outlet surge protector"/>
    <n v="0.56000000000000005"/>
    <s v="United States"/>
    <x v="1"/>
    <s v="New York"/>
    <s v="Woodmere"/>
    <n v="11598"/>
    <x v="152"/>
    <d v="2015-02-26T00:00:00"/>
    <n v="100.1328"/>
    <n v="3"/>
    <x v="906"/>
    <n v="91041"/>
    <x v="916"/>
  </r>
  <r>
    <n v="24016"/>
    <s v="High"/>
    <n v="0.05"/>
    <n v="6.48"/>
    <n v="2.74"/>
    <n v="1650"/>
    <s v="Dan Lamm"/>
    <s v="Regular Air"/>
    <s v="Corporate"/>
    <x v="2"/>
    <x v="13"/>
    <s v="Small Pack"/>
    <s v="Sony MFD2HD Formatted Diskettes, 10/Pack"/>
    <n v="0.71"/>
    <s v="United States"/>
    <x v="3"/>
    <s v="North Carolina"/>
    <s v="Asheboro"/>
    <n v="27203"/>
    <x v="19"/>
    <d v="2015-05-09T00:00:00"/>
    <n v="15.096"/>
    <n v="15"/>
    <x v="907"/>
    <n v="91042"/>
    <x v="917"/>
  </r>
  <r>
    <n v="24017"/>
    <s v="High"/>
    <n v="0.09"/>
    <n v="12.53"/>
    <n v="0.5"/>
    <n v="1650"/>
    <s v="Dan Lamm"/>
    <s v="Regular Air"/>
    <s v="Corporate"/>
    <x v="0"/>
    <x v="9"/>
    <s v="Small Box"/>
    <s v="Avery 485"/>
    <n v="0.38"/>
    <s v="United States"/>
    <x v="3"/>
    <s v="North Carolina"/>
    <s v="Asheboro"/>
    <n v="27203"/>
    <x v="19"/>
    <d v="2015-05-10T00:00:00"/>
    <n v="14.9124"/>
    <n v="7"/>
    <x v="908"/>
    <n v="91042"/>
    <x v="918"/>
  </r>
  <r>
    <n v="24019"/>
    <s v="High"/>
    <n v="0.08"/>
    <n v="65.989999999999995"/>
    <n v="8.99"/>
    <n v="1650"/>
    <s v="Dan Lamm"/>
    <s v="Express Air"/>
    <s v="Corporate"/>
    <x v="2"/>
    <x v="5"/>
    <s v="Small Box"/>
    <s v="i270"/>
    <n v="0.55000000000000004"/>
    <s v="United States"/>
    <x v="3"/>
    <s v="North Carolina"/>
    <s v="Asheboro"/>
    <n v="27203"/>
    <x v="19"/>
    <d v="2015-05-11T00:00:00"/>
    <n v="-135.226"/>
    <n v="8"/>
    <x v="909"/>
    <n v="91042"/>
    <x v="919"/>
  </r>
  <r>
    <n v="19251"/>
    <s v="Not Specified"/>
    <n v="0"/>
    <n v="101.41"/>
    <n v="35"/>
    <n v="1653"/>
    <s v="Charles Cline"/>
    <s v="Express Air"/>
    <s v="Corporate"/>
    <x v="0"/>
    <x v="10"/>
    <s v="Large Box"/>
    <s v="Tennsco Regal Shelving Units"/>
    <n v="0.82"/>
    <s v="United States"/>
    <x v="0"/>
    <s v="California"/>
    <s v="Thousand Oaks"/>
    <n v="91360"/>
    <x v="76"/>
    <d v="2015-01-25T00:00:00"/>
    <n v="-457.73"/>
    <n v="10"/>
    <x v="910"/>
    <n v="89885"/>
    <x v="920"/>
  </r>
  <r>
    <n v="19252"/>
    <s v="Not Specified"/>
    <n v="0.1"/>
    <n v="95.99"/>
    <n v="4.9000000000000004"/>
    <n v="1653"/>
    <s v="Charles Cline"/>
    <s v="Regular Air"/>
    <s v="Corporate"/>
    <x v="2"/>
    <x v="5"/>
    <s v="Small Box"/>
    <s v="T60"/>
    <n v="0.56000000000000005"/>
    <s v="United States"/>
    <x v="0"/>
    <s v="California"/>
    <s v="Thousand Oaks"/>
    <n v="91360"/>
    <x v="76"/>
    <d v="2015-01-25T00:00:00"/>
    <n v="-268.66399999999999"/>
    <n v="2"/>
    <x v="911"/>
    <n v="89885"/>
    <x v="921"/>
  </r>
  <r>
    <n v="24187"/>
    <s v="High"/>
    <n v="0.1"/>
    <n v="3.6"/>
    <n v="2.2000000000000002"/>
    <n v="1665"/>
    <s v="Elsie Pridgen"/>
    <s v="Regular Air"/>
    <s v="Consumer"/>
    <x v="0"/>
    <x v="7"/>
    <s v="Wrap Bag"/>
    <s v="Telephone Message Books with Fax/Mobile Section, 4 1/4&quot; x 6&quot;"/>
    <n v="0.39"/>
    <s v="United States"/>
    <x v="0"/>
    <s v="California"/>
    <s v="Laguna Hills"/>
    <n v="92653"/>
    <x v="115"/>
    <d v="2015-02-27T00:00:00"/>
    <n v="-8.2799999999999994"/>
    <n v="2"/>
    <x v="912"/>
    <n v="90678"/>
    <x v="922"/>
  </r>
  <r>
    <n v="21491"/>
    <s v="Low"/>
    <n v="0.03"/>
    <n v="35.409999999999997"/>
    <n v="1.99"/>
    <n v="1670"/>
    <s v="Carolyn Bowling"/>
    <s v="Regular Air"/>
    <s v="Small Business"/>
    <x v="2"/>
    <x v="13"/>
    <s v="Small Pack"/>
    <s v="Imation DVD-RAM discs"/>
    <n v="0.43"/>
    <s v="United States"/>
    <x v="3"/>
    <s v="Virginia"/>
    <s v="Blacksburg"/>
    <n v="24060"/>
    <x v="158"/>
    <d v="2015-04-26T00:00:00"/>
    <n v="1912.422"/>
    <n v="10"/>
    <x v="913"/>
    <n v="86722"/>
    <x v="923"/>
  </r>
  <r>
    <n v="21492"/>
    <s v="Low"/>
    <n v="0"/>
    <n v="142.86000000000001"/>
    <n v="19.989999999999998"/>
    <n v="1670"/>
    <s v="Carolyn Bowling"/>
    <s v="Regular Air"/>
    <s v="Small Business"/>
    <x v="0"/>
    <x v="10"/>
    <s v="Small Box"/>
    <s v="Letter Size Cart"/>
    <n v="0.56000000000000005"/>
    <s v="United States"/>
    <x v="3"/>
    <s v="Virginia"/>
    <s v="Blacksburg"/>
    <n v="24060"/>
    <x v="158"/>
    <d v="2015-05-03T00:00:00"/>
    <n v="-739.32600000000002"/>
    <n v="11"/>
    <x v="914"/>
    <n v="86722"/>
    <x v="924"/>
  </r>
  <r>
    <n v="23578"/>
    <s v="Low"/>
    <n v="0.1"/>
    <n v="4.13"/>
    <n v="0.99"/>
    <n v="1671"/>
    <s v="Mitchell Ross"/>
    <s v="Regular Air"/>
    <s v="Small Business"/>
    <x v="0"/>
    <x v="9"/>
    <s v="Small Box"/>
    <s v="Avery 491"/>
    <n v="0.39"/>
    <s v="United States"/>
    <x v="3"/>
    <s v="Virginia"/>
    <s v="Burke"/>
    <n v="22015"/>
    <x v="170"/>
    <d v="2015-02-13T00:00:00"/>
    <n v="-40.53"/>
    <n v="13"/>
    <x v="915"/>
    <n v="86724"/>
    <x v="925"/>
  </r>
  <r>
    <n v="22007"/>
    <s v="Critical"/>
    <n v="0.03"/>
    <n v="223.98"/>
    <n v="15.01"/>
    <n v="1671"/>
    <s v="Mitchell Ross"/>
    <s v="Regular Air"/>
    <s v="Small Business"/>
    <x v="0"/>
    <x v="8"/>
    <s v="Small Box"/>
    <s v="GBC DocuBind TL200 Manual Binding Machine"/>
    <n v="0.38"/>
    <s v="United States"/>
    <x v="3"/>
    <s v="Virginia"/>
    <s v="Burke"/>
    <n v="22015"/>
    <x v="3"/>
    <d v="2015-05-13T00:00:00"/>
    <n v="0.69599999999999995"/>
    <n v="21"/>
    <x v="916"/>
    <n v="86725"/>
    <x v="926"/>
  </r>
  <r>
    <n v="25066"/>
    <s v="Low"/>
    <n v="0.02"/>
    <n v="284.98"/>
    <n v="69.55"/>
    <n v="1672"/>
    <s v="Sidney Scarborough"/>
    <s v="Delivery Truck"/>
    <s v="Small Business"/>
    <x v="1"/>
    <x v="1"/>
    <s v="Jumbo Drum"/>
    <s v="Global Commerce™ Series High-Back Swivel/Tilt Chairs"/>
    <n v="0.6"/>
    <s v="United States"/>
    <x v="3"/>
    <s v="Virginia"/>
    <s v="Charlottesville"/>
    <n v="22901"/>
    <x v="31"/>
    <d v="2015-06-12T00:00:00"/>
    <n v="15.528"/>
    <n v="3"/>
    <x v="917"/>
    <n v="86723"/>
    <x v="927"/>
  </r>
  <r>
    <n v="25067"/>
    <s v="Low"/>
    <n v="0.08"/>
    <n v="55.48"/>
    <n v="14.3"/>
    <n v="1672"/>
    <s v="Sidney Scarborough"/>
    <s v="Regular Air"/>
    <s v="Small Business"/>
    <x v="0"/>
    <x v="7"/>
    <s v="Small Box"/>
    <s v="Xerox 194"/>
    <n v="0.37"/>
    <s v="United States"/>
    <x v="3"/>
    <s v="Virginia"/>
    <s v="Charlottesville"/>
    <n v="22901"/>
    <x v="31"/>
    <d v="2015-06-09T00:00:00"/>
    <n v="-225.56379999999999"/>
    <n v="17"/>
    <x v="918"/>
    <n v="86723"/>
    <x v="928"/>
  </r>
  <r>
    <n v="18150"/>
    <s v="Medium"/>
    <n v="7.0000000000000007E-2"/>
    <n v="13.73"/>
    <n v="6.85"/>
    <n v="1679"/>
    <s v="Jeanne Nguyen"/>
    <s v="Regular Air"/>
    <s v="Consumer"/>
    <x v="1"/>
    <x v="2"/>
    <s v="Wrap Bag"/>
    <s v="DAX Wood Document Frame."/>
    <n v="0.54"/>
    <s v="United States"/>
    <x v="1"/>
    <s v="Ohio"/>
    <s v="Fairborn"/>
    <n v="45324"/>
    <x v="80"/>
    <d v="2015-03-21T00:00:00"/>
    <n v="-22.72"/>
    <n v="21"/>
    <x v="919"/>
    <n v="86646"/>
    <x v="929"/>
  </r>
  <r>
    <n v="23524"/>
    <s v="Low"/>
    <n v="0.09"/>
    <n v="30.98"/>
    <n v="19.510000000000002"/>
    <n v="1680"/>
    <s v="Esther Whitaker"/>
    <s v="Regular Air"/>
    <s v="Consumer"/>
    <x v="0"/>
    <x v="4"/>
    <s v="Small Box"/>
    <s v="Staples Colored Interoffice Envelopes"/>
    <n v="0.36"/>
    <s v="United States"/>
    <x v="1"/>
    <s v="Ohio"/>
    <s v="Fairfield"/>
    <n v="45014"/>
    <x v="32"/>
    <d v="2015-05-05T00:00:00"/>
    <n v="-163.53"/>
    <n v="18"/>
    <x v="920"/>
    <n v="86645"/>
    <x v="930"/>
  </r>
  <r>
    <n v="23525"/>
    <s v="Low"/>
    <n v="0.03"/>
    <n v="49.34"/>
    <n v="10.25"/>
    <n v="1680"/>
    <s v="Esther Whitaker"/>
    <s v="Regular Air"/>
    <s v="Consumer"/>
    <x v="1"/>
    <x v="2"/>
    <s v="Large Box"/>
    <s v="Electrix Fluorescent Magnifier Lamps &amp; Weighted Base"/>
    <n v="0.56999999999999995"/>
    <s v="United States"/>
    <x v="1"/>
    <s v="Ohio"/>
    <s v="Fairfield"/>
    <n v="45014"/>
    <x v="32"/>
    <d v="2015-05-05T00:00:00"/>
    <n v="554.77"/>
    <n v="17"/>
    <x v="921"/>
    <n v="86645"/>
    <x v="931"/>
  </r>
  <r>
    <n v="1976"/>
    <s v="Not Specified"/>
    <n v="0.04"/>
    <n v="6.28"/>
    <n v="5.41"/>
    <n v="1682"/>
    <s v="Julie Edwards"/>
    <s v="Regular Air"/>
    <s v="Consumer"/>
    <x v="1"/>
    <x v="2"/>
    <s v="Small Box"/>
    <s v="Eldon® 200 Class™ Desk Accessories"/>
    <n v="0.53"/>
    <s v="United States"/>
    <x v="2"/>
    <s v="Illinois"/>
    <s v="Chicago"/>
    <n v="60611"/>
    <x v="79"/>
    <d v="2015-02-16T00:00:00"/>
    <n v="-38.380000000000003"/>
    <n v="43"/>
    <x v="922"/>
    <n v="14115"/>
    <x v="932"/>
  </r>
  <r>
    <n v="5358"/>
    <s v="Not Specified"/>
    <n v="0.08"/>
    <n v="4.9800000000000004"/>
    <n v="4.7"/>
    <n v="1682"/>
    <s v="Julie Edwards"/>
    <s v="Regular Air"/>
    <s v="Consumer"/>
    <x v="0"/>
    <x v="7"/>
    <s v="Small Box"/>
    <s v="Staples Copy Paper (20Lb. and 84 Bright)"/>
    <n v="0.38"/>
    <s v="United States"/>
    <x v="2"/>
    <s v="Illinois"/>
    <s v="Chicago"/>
    <n v="60611"/>
    <x v="88"/>
    <d v="2015-03-15T00:00:00"/>
    <n v="-56.35"/>
    <n v="47"/>
    <x v="923"/>
    <n v="38080"/>
    <x v="933"/>
  </r>
  <r>
    <n v="19976"/>
    <s v="Not Specified"/>
    <n v="0.04"/>
    <n v="6.28"/>
    <n v="5.41"/>
    <n v="1683"/>
    <s v="Wesley Corbett"/>
    <s v="Regular Air"/>
    <s v="Consumer"/>
    <x v="1"/>
    <x v="2"/>
    <s v="Small Box"/>
    <s v="Eldon® 200 Class™ Desk Accessories"/>
    <n v="0.53"/>
    <s v="United States"/>
    <x v="2"/>
    <s v="Texas"/>
    <s v="Conroe"/>
    <n v="77301"/>
    <x v="79"/>
    <d v="2015-02-16T00:00:00"/>
    <n v="-19.957599999999999"/>
    <n v="11"/>
    <x v="924"/>
    <n v="90612"/>
    <x v="934"/>
  </r>
  <r>
    <n v="23358"/>
    <s v="Not Specified"/>
    <n v="0.08"/>
    <n v="4.9800000000000004"/>
    <n v="4.7"/>
    <n v="1683"/>
    <s v="Wesley Corbett"/>
    <s v="Regular Air"/>
    <s v="Consumer"/>
    <x v="0"/>
    <x v="7"/>
    <s v="Small Box"/>
    <s v="Staples Copy Paper (20Lb. and 84 Bright)"/>
    <n v="0.38"/>
    <s v="United States"/>
    <x v="2"/>
    <s v="Texas"/>
    <s v="Conroe"/>
    <n v="77301"/>
    <x v="88"/>
    <d v="2015-03-15T00:00:00"/>
    <n v="-56.35"/>
    <n v="12"/>
    <x v="925"/>
    <n v="90613"/>
    <x v="935"/>
  </r>
  <r>
    <n v="19751"/>
    <s v="Low"/>
    <n v="0.08"/>
    <n v="2.08"/>
    <n v="5.33"/>
    <n v="1686"/>
    <s v="Lynn O'Donnell"/>
    <s v="Regular Air"/>
    <s v="Corporate"/>
    <x v="1"/>
    <x v="2"/>
    <s v="Small Box"/>
    <s v="Eldon® Wave Desk Accessories"/>
    <n v="0.43"/>
    <s v="United States"/>
    <x v="2"/>
    <s v="Illinois"/>
    <s v="Elgin"/>
    <n v="60123"/>
    <x v="95"/>
    <d v="2015-03-10T00:00:00"/>
    <n v="-129.01"/>
    <n v="9"/>
    <x v="926"/>
    <n v="86973"/>
    <x v="936"/>
  </r>
  <r>
    <n v="25690"/>
    <s v="High"/>
    <n v="0"/>
    <n v="48.91"/>
    <n v="35"/>
    <n v="1689"/>
    <s v="Larry Church"/>
    <s v="Regular Air"/>
    <s v="Corporate"/>
    <x v="0"/>
    <x v="10"/>
    <s v="Large Box"/>
    <s v="Tennsco Industrial Shelving"/>
    <n v="0.83"/>
    <s v="United States"/>
    <x v="2"/>
    <s v="Indiana"/>
    <s v="Highland"/>
    <n v="46322"/>
    <x v="120"/>
    <d v="2015-03-25T00:00:00"/>
    <n v="-628.38"/>
    <n v="10"/>
    <x v="927"/>
    <n v="91077"/>
    <x v="937"/>
  </r>
  <r>
    <n v="22798"/>
    <s v="Low"/>
    <n v="0.05"/>
    <n v="115.99"/>
    <n v="5.26"/>
    <n v="1690"/>
    <s v="Neil Bailey"/>
    <s v="Regular Air"/>
    <s v="Corporate"/>
    <x v="2"/>
    <x v="5"/>
    <s v="Small Box"/>
    <n v="636"/>
    <n v="0.56999999999999995"/>
    <s v="United States"/>
    <x v="1"/>
    <s v="Pennsylvania"/>
    <s v="Harrisburg"/>
    <n v="17112"/>
    <x v="76"/>
    <d v="2015-01-28T00:00:00"/>
    <n v="616.53570000000002"/>
    <n v="9"/>
    <x v="928"/>
    <n v="91076"/>
    <x v="938"/>
  </r>
  <r>
    <n v="23626"/>
    <s v="Not Specified"/>
    <n v="0.09"/>
    <n v="95.43"/>
    <n v="19.989999999999998"/>
    <n v="1690"/>
    <s v="Neil Bailey"/>
    <s v="Regular Air"/>
    <s v="Corporate"/>
    <x v="0"/>
    <x v="10"/>
    <s v="Small Box"/>
    <s v="Fellowes Stor/Drawer® Steel Plus™ Storage Drawers"/>
    <n v="0.79"/>
    <s v="United States"/>
    <x v="1"/>
    <s v="Pennsylvania"/>
    <s v="Harrisburg"/>
    <n v="17112"/>
    <x v="144"/>
    <d v="2015-06-02T00:00:00"/>
    <n v="-143.23500000000001"/>
    <n v="22"/>
    <x v="929"/>
    <n v="91078"/>
    <x v="939"/>
  </r>
  <r>
    <n v="19481"/>
    <s v="Not Specified"/>
    <n v="0"/>
    <n v="6.84"/>
    <n v="8.3699999999999992"/>
    <n v="1692"/>
    <s v="Rhonda Schroeder"/>
    <s v="Regular Air"/>
    <s v="Consumer"/>
    <x v="0"/>
    <x v="12"/>
    <s v="Small Pack"/>
    <s v="Acme Design Line 8&quot; Stainless Steel Bent Scissors w/Champagne Handles, 3-1/8&quot; Cut"/>
    <n v="0.57999999999999996"/>
    <s v="United States"/>
    <x v="2"/>
    <s v="Kansas"/>
    <s v="Newton"/>
    <n v="67114"/>
    <x v="172"/>
    <d v="2015-01-24T00:00:00"/>
    <n v="-123.1816"/>
    <n v="5"/>
    <x v="930"/>
    <n v="90189"/>
    <x v="940"/>
  </r>
  <r>
    <n v="19482"/>
    <s v="Not Specified"/>
    <n v="7.0000000000000007E-2"/>
    <n v="30.98"/>
    <n v="5.76"/>
    <n v="1693"/>
    <s v="Melinda Thornton"/>
    <s v="Regular Air"/>
    <s v="Consumer"/>
    <x v="0"/>
    <x v="7"/>
    <s v="Small Box"/>
    <s v="IBM Multi-Purpose Copy Paper, 8 1/2 x 11&quot;, Case"/>
    <n v="0.4"/>
    <s v="United States"/>
    <x v="3"/>
    <s v="Virginia"/>
    <s v="Reston"/>
    <n v="20190"/>
    <x v="172"/>
    <d v="2015-01-25T00:00:00"/>
    <n v="-28.797999999999998"/>
    <n v="11"/>
    <x v="931"/>
    <n v="90189"/>
    <x v="941"/>
  </r>
  <r>
    <n v="21262"/>
    <s v="Low"/>
    <n v="0.01"/>
    <n v="15.67"/>
    <n v="1.39"/>
    <n v="1693"/>
    <s v="Melinda Thornton"/>
    <s v="Express Air"/>
    <s v="Consumer"/>
    <x v="0"/>
    <x v="4"/>
    <s v="Small Box"/>
    <s v="#10 White Business Envelopes,4 1/8 x 9 1/2"/>
    <n v="0.38"/>
    <s v="United States"/>
    <x v="3"/>
    <s v="Virginia"/>
    <s v="Reston"/>
    <n v="20190"/>
    <x v="171"/>
    <d v="2015-05-11T00:00:00"/>
    <n v="-273.98"/>
    <n v="11"/>
    <x v="932"/>
    <n v="90190"/>
    <x v="942"/>
  </r>
  <r>
    <n v="24941"/>
    <s v="Medium"/>
    <n v="0"/>
    <n v="13.43"/>
    <n v="5.5"/>
    <n v="1697"/>
    <s v="Holly Osborne"/>
    <s v="Regular Air"/>
    <s v="Home Office"/>
    <x v="0"/>
    <x v="10"/>
    <s v="Small Box"/>
    <s v="Fellowes Personal Hanging Folder Files, Navy"/>
    <n v="0.56999999999999995"/>
    <s v="United States"/>
    <x v="3"/>
    <s v="Arkansas"/>
    <s v="Hot Springs"/>
    <n v="71901"/>
    <x v="59"/>
    <d v="2015-01-17T00:00:00"/>
    <n v="-253.77799999999999"/>
    <n v="9"/>
    <x v="933"/>
    <n v="86338"/>
    <x v="943"/>
  </r>
  <r>
    <n v="18275"/>
    <s v="Low"/>
    <n v="0.05"/>
    <n v="3.98"/>
    <n v="5.26"/>
    <n v="1699"/>
    <s v="Joseph Hurst"/>
    <s v="Regular Air"/>
    <s v="Small Business"/>
    <x v="0"/>
    <x v="8"/>
    <s v="Small Box"/>
    <s v="Ibico Presentation Index for Binding Systems"/>
    <n v="0.38"/>
    <s v="United States"/>
    <x v="1"/>
    <s v="Pennsylvania"/>
    <s v="Levittown"/>
    <n v="19057"/>
    <x v="78"/>
    <d v="2015-03-29T00:00:00"/>
    <n v="-152.52449999999999"/>
    <n v="12"/>
    <x v="934"/>
    <n v="87345"/>
    <x v="944"/>
  </r>
  <r>
    <n v="18276"/>
    <s v="Low"/>
    <n v="0.01"/>
    <n v="6.48"/>
    <n v="5.4"/>
    <n v="1699"/>
    <s v="Joseph Hurst"/>
    <s v="Regular Air"/>
    <s v="Small Business"/>
    <x v="0"/>
    <x v="7"/>
    <s v="Small Box"/>
    <s v="Xerox 207"/>
    <n v="0.37"/>
    <s v="United States"/>
    <x v="1"/>
    <s v="Pennsylvania"/>
    <s v="Levittown"/>
    <n v="19057"/>
    <x v="78"/>
    <d v="2015-03-25T00:00:00"/>
    <n v="-18.850000000000001"/>
    <n v="2"/>
    <x v="935"/>
    <n v="87345"/>
    <x v="945"/>
  </r>
  <r>
    <n v="24158"/>
    <s v="Medium"/>
    <n v="0.05"/>
    <n v="14.81"/>
    <n v="13.32"/>
    <n v="1702"/>
    <s v="Sandra Berry"/>
    <s v="Regular Air"/>
    <s v="Home Office"/>
    <x v="0"/>
    <x v="15"/>
    <s v="Small Box"/>
    <s v="Holmes Replacement Filter for HEPA Air Cleaner, Large Room"/>
    <n v="0.43"/>
    <s v="United States"/>
    <x v="3"/>
    <s v="Mississippi"/>
    <s v="Meridian"/>
    <n v="39301"/>
    <x v="60"/>
    <d v="2015-01-20T00:00:00"/>
    <n v="-220.05199999999999"/>
    <n v="3"/>
    <x v="936"/>
    <n v="90473"/>
    <x v="946"/>
  </r>
  <r>
    <n v="24159"/>
    <s v="Medium"/>
    <n v="0.05"/>
    <n v="4.2"/>
    <n v="2.2599999999999998"/>
    <n v="1702"/>
    <s v="Sandra Berry"/>
    <s v="Express Air"/>
    <s v="Home Office"/>
    <x v="0"/>
    <x v="7"/>
    <s v="Wrap Bag"/>
    <s v="Important Message Pads, 50 4-1/4 x 5-1/2 Forms per Pad"/>
    <n v="0.36"/>
    <s v="United States"/>
    <x v="3"/>
    <s v="Mississippi"/>
    <s v="Meridian"/>
    <n v="39301"/>
    <x v="60"/>
    <d v="2015-01-19T00:00:00"/>
    <n v="20.393370000000001"/>
    <n v="3"/>
    <x v="937"/>
    <n v="90473"/>
    <x v="947"/>
  </r>
  <r>
    <n v="25761"/>
    <s v="Medium"/>
    <n v="0.05"/>
    <n v="5.68"/>
    <n v="1.39"/>
    <n v="1708"/>
    <s v="Lillian Day"/>
    <s v="Regular Air"/>
    <s v="Small Business"/>
    <x v="0"/>
    <x v="4"/>
    <s v="Small Box"/>
    <s v="Staples Standard Envelopes"/>
    <n v="0.38"/>
    <s v="United States"/>
    <x v="1"/>
    <s v="Ohio"/>
    <s v="Shaker Heights"/>
    <n v="44118"/>
    <x v="60"/>
    <d v="2015-01-18T00:00:00"/>
    <n v="38.281199999999998"/>
    <n v="10"/>
    <x v="938"/>
    <n v="88781"/>
    <x v="948"/>
  </r>
  <r>
    <n v="26037"/>
    <s v="Not Specified"/>
    <n v="0.03"/>
    <n v="205.99"/>
    <n v="3"/>
    <n v="1708"/>
    <s v="Lillian Day"/>
    <s v="Regular Air"/>
    <s v="Small Business"/>
    <x v="2"/>
    <x v="5"/>
    <s v="Small Box"/>
    <n v="6185"/>
    <n v="0.57999999999999996"/>
    <s v="United States"/>
    <x v="1"/>
    <s v="Ohio"/>
    <s v="Shaker Heights"/>
    <n v="44118"/>
    <x v="135"/>
    <d v="2015-05-21T00:00:00"/>
    <n v="3670.3515000000002"/>
    <n v="29"/>
    <x v="939"/>
    <n v="88784"/>
    <x v="949"/>
  </r>
  <r>
    <n v="23822"/>
    <s v="Not Specified"/>
    <n v="0.01"/>
    <n v="14.28"/>
    <n v="2.99"/>
    <n v="1709"/>
    <s v="Dennis Bowen"/>
    <s v="Regular Air"/>
    <s v="Consumer"/>
    <x v="0"/>
    <x v="8"/>
    <s v="Small Box"/>
    <s v="Avery Premier Heavy-Duty Binder with Round Locking Rings"/>
    <n v="0.39"/>
    <s v="United States"/>
    <x v="1"/>
    <s v="Pennsylvania"/>
    <s v="Pottstown"/>
    <n v="19464"/>
    <x v="72"/>
    <d v="2015-01-22T00:00:00"/>
    <n v="21.003499999999999"/>
    <n v="2"/>
    <x v="940"/>
    <n v="88782"/>
    <x v="950"/>
  </r>
  <r>
    <n v="24577"/>
    <s v="Medium"/>
    <n v="0.04"/>
    <n v="95.43"/>
    <n v="19.989999999999998"/>
    <n v="1709"/>
    <s v="Dennis Bowen"/>
    <s v="Regular Air"/>
    <s v="Small Business"/>
    <x v="0"/>
    <x v="10"/>
    <s v="Small Box"/>
    <s v="Fellowes Stor/Drawer® Steel Plus™ Storage Drawers"/>
    <n v="0.79"/>
    <s v="United States"/>
    <x v="1"/>
    <s v="Pennsylvania"/>
    <s v="Pottstown"/>
    <n v="19464"/>
    <x v="16"/>
    <d v="2015-05-12T00:00:00"/>
    <n v="13.536"/>
    <n v="33"/>
    <x v="941"/>
    <n v="88783"/>
    <x v="951"/>
  </r>
  <r>
    <n v="19287"/>
    <s v="Not Specified"/>
    <n v="7.0000000000000007E-2"/>
    <n v="7.59"/>
    <n v="4"/>
    <n v="1711"/>
    <s v="Sharon Long"/>
    <s v="Regular Air"/>
    <s v="Corporate"/>
    <x v="1"/>
    <x v="2"/>
    <s v="Wrap Bag"/>
    <s v="Master Giant Foot® Doorstop, Safety Yellow"/>
    <n v="0.42"/>
    <s v="United States"/>
    <x v="3"/>
    <s v="Georgia"/>
    <s v="Marietta"/>
    <n v="30062"/>
    <x v="44"/>
    <d v="2015-03-18T00:00:00"/>
    <n v="-167.048"/>
    <n v="3"/>
    <x v="942"/>
    <n v="87747"/>
    <x v="952"/>
  </r>
  <r>
    <n v="21655"/>
    <s v="Low"/>
    <n v="0.03"/>
    <n v="11.66"/>
    <n v="7.95"/>
    <n v="1712"/>
    <s v="Regina Langley"/>
    <s v="Regular Air"/>
    <s v="Corporate"/>
    <x v="0"/>
    <x v="0"/>
    <s v="Small Pack"/>
    <s v="Hunt BOSTON® Vista® Battery-Operated Pencil Sharpener, Black"/>
    <n v="0.57999999999999996"/>
    <s v="United States"/>
    <x v="3"/>
    <s v="Georgia"/>
    <s v="Martinez"/>
    <n v="30907"/>
    <x v="86"/>
    <d v="2015-04-20T00:00:00"/>
    <n v="-31.094000000000001"/>
    <n v="22"/>
    <x v="943"/>
    <n v="87749"/>
    <x v="953"/>
  </r>
  <r>
    <n v="25078"/>
    <s v="High"/>
    <n v="0.01"/>
    <n v="23.99"/>
    <n v="6.3"/>
    <n v="1713"/>
    <s v="Rosemary Stark"/>
    <s v="Regular Air"/>
    <s v="Corporate"/>
    <x v="2"/>
    <x v="6"/>
    <s v="Medium Box"/>
    <s v="TI 36X Solar Scientific Calculator"/>
    <n v="0.38"/>
    <s v="United States"/>
    <x v="3"/>
    <s v="Georgia"/>
    <s v="Newnan"/>
    <n v="30265"/>
    <x v="124"/>
    <d v="2015-05-31T00:00:00"/>
    <n v="-6.202"/>
    <n v="11"/>
    <x v="944"/>
    <n v="87748"/>
    <x v="954"/>
  </r>
  <r>
    <n v="19884"/>
    <s v="Low"/>
    <n v="0.01"/>
    <n v="300.98"/>
    <n v="64.73"/>
    <n v="1718"/>
    <s v="Kathy Shah"/>
    <s v="Delivery Truck"/>
    <s v="Consumer"/>
    <x v="1"/>
    <x v="1"/>
    <s v="Jumbo Drum"/>
    <s v="Global Leather and Oak Executive Chair, Black"/>
    <n v="0.56000000000000005"/>
    <s v="United States"/>
    <x v="3"/>
    <s v="North Carolina"/>
    <s v="Garner"/>
    <n v="27529"/>
    <x v="129"/>
    <d v="2015-03-15T00:00:00"/>
    <n v="-48.874000000000002"/>
    <n v="3"/>
    <x v="945"/>
    <n v="90621"/>
    <x v="955"/>
  </r>
  <r>
    <n v="20619"/>
    <s v="Medium"/>
    <n v="0.06"/>
    <n v="16.48"/>
    <n v="1.99"/>
    <n v="1719"/>
    <s v="Russell W Melton"/>
    <s v="Regular Air"/>
    <s v="Corporate"/>
    <x v="2"/>
    <x v="13"/>
    <s v="Small Pack"/>
    <s v="Maxell DVD-RAM Discs"/>
    <n v="0.42"/>
    <s v="United States"/>
    <x v="3"/>
    <s v="Alabama"/>
    <s v="Northport"/>
    <n v="35473"/>
    <x v="60"/>
    <d v="2015-01-19T00:00:00"/>
    <n v="-144.59200000000001"/>
    <n v="8"/>
    <x v="946"/>
    <n v="90786"/>
    <x v="956"/>
  </r>
  <r>
    <n v="22596"/>
    <s v="High"/>
    <n v="0.04"/>
    <n v="12.44"/>
    <n v="6.27"/>
    <n v="1721"/>
    <s v="Jennifer Zimmerman"/>
    <s v="Regular Air"/>
    <s v="Corporate"/>
    <x v="0"/>
    <x v="10"/>
    <s v="Medium Box"/>
    <s v="Eldon Simplefile® Box Office®"/>
    <n v="0.56999999999999995"/>
    <s v="United States"/>
    <x v="3"/>
    <s v="Arkansas"/>
    <s v="Jonesboro"/>
    <n v="72401"/>
    <x v="41"/>
    <d v="2015-05-17T00:00:00"/>
    <n v="-258.56599999999997"/>
    <n v="37"/>
    <x v="947"/>
    <n v="90787"/>
    <x v="957"/>
  </r>
  <r>
    <n v="5670"/>
    <s v="Low"/>
    <n v="0.1"/>
    <n v="49.99"/>
    <n v="19.989999999999998"/>
    <n v="1723"/>
    <s v="Constance Flowers"/>
    <s v="Express Air"/>
    <s v="Corporate"/>
    <x v="2"/>
    <x v="13"/>
    <s v="Small Box"/>
    <s v="US Robotics 56K V.92 Internal PCI Faxmodem"/>
    <n v="0.45"/>
    <s v="United States"/>
    <x v="0"/>
    <s v="California"/>
    <s v="San Diego"/>
    <n v="92037"/>
    <x v="70"/>
    <d v="2015-02-05T00:00:00"/>
    <n v="13.507999999999999"/>
    <n v="46"/>
    <x v="948"/>
    <n v="40101"/>
    <x v="958"/>
  </r>
  <r>
    <n v="6212"/>
    <s v="Medium"/>
    <n v="0.05"/>
    <n v="6.68"/>
    <n v="5.66"/>
    <n v="1723"/>
    <s v="Constance Flowers"/>
    <s v="Regular Air"/>
    <s v="Corporate"/>
    <x v="0"/>
    <x v="7"/>
    <s v="Small Box"/>
    <s v="Xerox 1923"/>
    <n v="0.37"/>
    <s v="United States"/>
    <x v="0"/>
    <s v="California"/>
    <s v="San Diego"/>
    <n v="92037"/>
    <x v="131"/>
    <d v="2015-02-09T00:00:00"/>
    <n v="-66.48"/>
    <n v="46"/>
    <x v="949"/>
    <n v="44002"/>
    <x v="959"/>
  </r>
  <r>
    <n v="6213"/>
    <s v="Medium"/>
    <n v="0.03"/>
    <n v="17.7"/>
    <n v="9.4700000000000006"/>
    <n v="1723"/>
    <s v="Constance Flowers"/>
    <s v="Regular Air"/>
    <s v="Corporate"/>
    <x v="0"/>
    <x v="10"/>
    <s v="Small Box"/>
    <s v="Portfile® Personal File Boxes"/>
    <n v="0.59"/>
    <s v="United States"/>
    <x v="0"/>
    <s v="California"/>
    <s v="San Diego"/>
    <n v="92037"/>
    <x v="131"/>
    <d v="2015-02-07T00:00:00"/>
    <n v="-52.33"/>
    <n v="14"/>
    <x v="950"/>
    <n v="44002"/>
    <x v="960"/>
  </r>
  <r>
    <n v="4596"/>
    <s v="High"/>
    <n v="0.04"/>
    <n v="12.44"/>
    <n v="6.27"/>
    <n v="1723"/>
    <s v="Constance Flowers"/>
    <s v="Regular Air"/>
    <s v="Corporate"/>
    <x v="0"/>
    <x v="10"/>
    <s v="Medium Box"/>
    <s v="Eldon Simplefile® Box Office®"/>
    <n v="0.56999999999999995"/>
    <s v="United States"/>
    <x v="0"/>
    <s v="California"/>
    <s v="San Diego"/>
    <n v="92037"/>
    <x v="41"/>
    <d v="2015-05-17T00:00:00"/>
    <n v="-59.06"/>
    <n v="146"/>
    <x v="951"/>
    <n v="32710"/>
    <x v="961"/>
  </r>
  <r>
    <n v="18244"/>
    <s v="High"/>
    <n v="0.05"/>
    <n v="35.99"/>
    <n v="1.1000000000000001"/>
    <n v="1725"/>
    <s v="Linda Blake"/>
    <s v="Regular Air"/>
    <s v="Corporate"/>
    <x v="2"/>
    <x v="5"/>
    <s v="Small Box"/>
    <s v="Accessory35"/>
    <n v="0.55000000000000004"/>
    <s v="United States"/>
    <x v="1"/>
    <s v="Ohio"/>
    <s v="Hilliard"/>
    <n v="43026"/>
    <x v="163"/>
    <d v="2015-05-09T00:00:00"/>
    <n v="149.166"/>
    <n v="9"/>
    <x v="952"/>
    <n v="87193"/>
    <x v="962"/>
  </r>
  <r>
    <n v="24872"/>
    <s v="Not Specified"/>
    <n v="0.1"/>
    <n v="14.98"/>
    <n v="7.69"/>
    <n v="1727"/>
    <s v="Juanita Ballard"/>
    <s v="Express Air"/>
    <s v="Small Business"/>
    <x v="0"/>
    <x v="10"/>
    <s v="Small Box"/>
    <s v="Super Decoflex Portable Personal File"/>
    <n v="0.56999999999999995"/>
    <s v="United States"/>
    <x v="1"/>
    <s v="Ohio"/>
    <s v="Kent"/>
    <n v="44240"/>
    <x v="72"/>
    <d v="2015-01-23T00:00:00"/>
    <n v="-76.900000000000006"/>
    <n v="8"/>
    <x v="953"/>
    <n v="87194"/>
    <x v="963"/>
  </r>
  <r>
    <n v="26066"/>
    <s v="High"/>
    <n v="0.04"/>
    <n v="55.48"/>
    <n v="6.79"/>
    <n v="1728"/>
    <s v="Carrie Lewis"/>
    <s v="Regular Air"/>
    <s v="Corporate"/>
    <x v="0"/>
    <x v="7"/>
    <s v="Small Box"/>
    <s v="Eaton Premium Continuous-Feed Paper, 25% Cotton, Letter Size, White, 1000 Shts/Box"/>
    <n v="0.37"/>
    <s v="United States"/>
    <x v="1"/>
    <s v="Ohio"/>
    <s v="Kettering"/>
    <n v="45429"/>
    <x v="11"/>
    <d v="2015-02-24T00:00:00"/>
    <n v="376.88490000000002"/>
    <n v="10"/>
    <x v="954"/>
    <n v="87195"/>
    <x v="964"/>
  </r>
  <r>
    <n v="24545"/>
    <s v="High"/>
    <n v="0.1"/>
    <n v="65.989999999999995"/>
    <n v="3.99"/>
    <n v="1730"/>
    <s v="Kerry Wilkerson"/>
    <s v="Express Air"/>
    <s v="Small Business"/>
    <x v="2"/>
    <x v="5"/>
    <s v="Small Box"/>
    <s v="StarTAC 7760"/>
    <n v="0.59"/>
    <s v="United States"/>
    <x v="0"/>
    <s v="Idaho"/>
    <s v="Moscow"/>
    <n v="83843"/>
    <x v="74"/>
    <d v="2015-04-09T00:00:00"/>
    <n v="-88.624799999999993"/>
    <n v="5"/>
    <x v="955"/>
    <n v="90653"/>
    <x v="965"/>
  </r>
  <r>
    <n v="566"/>
    <s v="Not Specified"/>
    <n v="0.02"/>
    <n v="60.98"/>
    <n v="49"/>
    <n v="1733"/>
    <s v="Nina Horne Kelly"/>
    <s v="Regular Air"/>
    <s v="Small Business"/>
    <x v="0"/>
    <x v="15"/>
    <s v="Large Box"/>
    <s v="Euro Pro Shark Stick Mini Vacuum"/>
    <n v="0.59"/>
    <s v="United States"/>
    <x v="1"/>
    <s v="District of Columbia"/>
    <s v="Washington"/>
    <n v="20012"/>
    <x v="36"/>
    <d v="2015-04-06T00:00:00"/>
    <n v="-662.52"/>
    <n v="34"/>
    <x v="956"/>
    <n v="3841"/>
    <x v="966"/>
  </r>
  <r>
    <n v="567"/>
    <s v="Not Specified"/>
    <n v="0.02"/>
    <n v="1270.99"/>
    <n v="19.989999999999998"/>
    <n v="1733"/>
    <s v="Nina Horne Kelly"/>
    <s v="Regular Air"/>
    <s v="Small Business"/>
    <x v="0"/>
    <x v="8"/>
    <s v="Small Box"/>
    <s v="Fellowes PB500 Electric Punch Plastic Comb Binding Machine with Manual Bind"/>
    <n v="0.35"/>
    <s v="United States"/>
    <x v="1"/>
    <s v="District of Columbia"/>
    <s v="Washington"/>
    <n v="20012"/>
    <x v="36"/>
    <d v="2015-04-06T00:00:00"/>
    <n v="9228.2255999999998"/>
    <n v="36"/>
    <x v="957"/>
    <n v="3841"/>
    <x v="967"/>
  </r>
  <r>
    <n v="8389"/>
    <s v="High"/>
    <n v="0.02"/>
    <n v="30.98"/>
    <n v="17.079999999999998"/>
    <n v="1733"/>
    <s v="Nina Horne Kelly"/>
    <s v="Regular Air"/>
    <s v="Small Business"/>
    <x v="0"/>
    <x v="7"/>
    <s v="Small Box"/>
    <s v="Xerox 197"/>
    <n v="0.4"/>
    <s v="United States"/>
    <x v="1"/>
    <s v="District of Columbia"/>
    <s v="Washington"/>
    <n v="20012"/>
    <x v="162"/>
    <d v="2015-06-29T00:00:00"/>
    <n v="-32.28"/>
    <n v="13"/>
    <x v="958"/>
    <n v="59937"/>
    <x v="968"/>
  </r>
  <r>
    <n v="18566"/>
    <s v="Not Specified"/>
    <n v="0.02"/>
    <n v="60.98"/>
    <n v="49"/>
    <n v="1734"/>
    <s v="Christopher Meadows"/>
    <s v="Regular Air"/>
    <s v="Small Business"/>
    <x v="0"/>
    <x v="15"/>
    <s v="Large Box"/>
    <s v="Euro Pro Shark Stick Mini Vacuum"/>
    <n v="0.59"/>
    <s v="United States"/>
    <x v="1"/>
    <s v="New York"/>
    <s v="Harrison"/>
    <n v="10528"/>
    <x v="36"/>
    <d v="2015-04-06T00:00:00"/>
    <n v="-596.26800000000003"/>
    <n v="9"/>
    <x v="959"/>
    <n v="88443"/>
    <x v="969"/>
  </r>
  <r>
    <n v="18567"/>
    <s v="Not Specified"/>
    <n v="0.02"/>
    <n v="1270.99"/>
    <n v="19.989999999999998"/>
    <n v="1734"/>
    <s v="Christopher Meadows"/>
    <s v="Regular Air"/>
    <s v="Small Business"/>
    <x v="0"/>
    <x v="8"/>
    <s v="Small Box"/>
    <s v="Fellowes PB500 Electric Punch Plastic Comb Binding Machine with Manual Bind"/>
    <n v="0.35"/>
    <s v="United States"/>
    <x v="1"/>
    <s v="New York"/>
    <s v="Harrison"/>
    <n v="10528"/>
    <x v="36"/>
    <d v="2015-04-06T00:00:00"/>
    <n v="7889.6877000000004"/>
    <n v="9"/>
    <x v="960"/>
    <n v="88443"/>
    <x v="970"/>
  </r>
  <r>
    <n v="18568"/>
    <s v="Not Specified"/>
    <n v="0.05"/>
    <n v="205.99"/>
    <n v="8.99"/>
    <n v="1734"/>
    <s v="Christopher Meadows"/>
    <s v="Express Air"/>
    <s v="Small Business"/>
    <x v="2"/>
    <x v="5"/>
    <s v="Small Box"/>
    <s v="StarTAC 8000"/>
    <n v="0.6"/>
    <s v="United States"/>
    <x v="1"/>
    <s v="New York"/>
    <s v="Harrison"/>
    <n v="10528"/>
    <x v="36"/>
    <d v="2015-04-06T00:00:00"/>
    <n v="1545.8097600000001"/>
    <n v="19"/>
    <x v="961"/>
    <n v="88443"/>
    <x v="971"/>
  </r>
  <r>
    <n v="26389"/>
    <s v="High"/>
    <n v="0.02"/>
    <n v="30.98"/>
    <n v="17.079999999999998"/>
    <n v="1735"/>
    <s v="Eric West"/>
    <s v="Regular Air"/>
    <s v="Small Business"/>
    <x v="0"/>
    <x v="7"/>
    <s v="Small Box"/>
    <s v="Xerox 197"/>
    <n v="0.4"/>
    <s v="United States"/>
    <x v="1"/>
    <s v="New York"/>
    <s v="Hempstead"/>
    <n v="11550"/>
    <x v="162"/>
    <d v="2015-06-29T00:00:00"/>
    <n v="-16.14"/>
    <n v="3"/>
    <x v="962"/>
    <n v="88444"/>
    <x v="972"/>
  </r>
  <r>
    <n v="18012"/>
    <s v="Not Specified"/>
    <n v="0.09"/>
    <n v="30.93"/>
    <n v="3.92"/>
    <n v="1737"/>
    <s v="Danielle Myers"/>
    <s v="Regular Air"/>
    <s v="Corporate"/>
    <x v="1"/>
    <x v="2"/>
    <s v="Small Pack"/>
    <s v="Advantus Employee of the Month Certificate Frame, 11 x 13-1/2"/>
    <n v="0.44"/>
    <s v="United States"/>
    <x v="3"/>
    <s v="North Carolina"/>
    <s v="Garner"/>
    <n v="27529"/>
    <x v="26"/>
    <d v="2015-06-05T00:00:00"/>
    <n v="-130.42400000000001"/>
    <n v="16"/>
    <x v="963"/>
    <n v="85866"/>
    <x v="973"/>
  </r>
  <r>
    <n v="18013"/>
    <s v="Not Specified"/>
    <n v="0.03"/>
    <n v="1.68"/>
    <n v="0.7"/>
    <n v="1737"/>
    <s v="Danielle Myers"/>
    <s v="Express Air"/>
    <s v="Corporate"/>
    <x v="0"/>
    <x v="0"/>
    <s v="Wrap Bag"/>
    <s v="Newell 308"/>
    <n v="0.6"/>
    <s v="United States"/>
    <x v="3"/>
    <s v="North Carolina"/>
    <s v="Garner"/>
    <n v="27529"/>
    <x v="26"/>
    <d v="2015-06-05T00:00:00"/>
    <n v="-106.42100000000001"/>
    <n v="11"/>
    <x v="964"/>
    <n v="85866"/>
    <x v="974"/>
  </r>
  <r>
    <n v="18306"/>
    <s v="Medium"/>
    <n v="0.08"/>
    <n v="175.99"/>
    <n v="4.99"/>
    <n v="1738"/>
    <s v="Dean Solomon"/>
    <s v="Regular Air"/>
    <s v="Corporate"/>
    <x v="2"/>
    <x v="5"/>
    <s v="Small Box"/>
    <n v="5165"/>
    <n v="0.59"/>
    <s v="United States"/>
    <x v="3"/>
    <s v="North Carolina"/>
    <s v="Gastonia"/>
    <n v="28052"/>
    <x v="145"/>
    <d v="2015-03-28T00:00:00"/>
    <n v="-16476.838"/>
    <n v="10"/>
    <x v="965"/>
    <n v="85865"/>
    <x v="975"/>
  </r>
  <r>
    <n v="18804"/>
    <s v="Low"/>
    <n v="0.04"/>
    <n v="35.44"/>
    <n v="19.989999999999998"/>
    <n v="1738"/>
    <s v="Dean Solomon"/>
    <s v="Regular Air"/>
    <s v="Corporate"/>
    <x v="0"/>
    <x v="7"/>
    <s v="Small Box"/>
    <s v="Xerox 1880"/>
    <n v="0.38"/>
    <s v="United States"/>
    <x v="3"/>
    <s v="North Carolina"/>
    <s v="Gastonia"/>
    <n v="28052"/>
    <x v="110"/>
    <d v="2015-06-21T00:00:00"/>
    <n v="-108.27249999999999"/>
    <n v="11"/>
    <x v="966"/>
    <n v="85868"/>
    <x v="976"/>
  </r>
  <r>
    <n v="22593"/>
    <s v="High"/>
    <n v="0.09"/>
    <n v="349.45"/>
    <n v="60"/>
    <n v="1739"/>
    <s v="Edna Pierce"/>
    <s v="Delivery Truck"/>
    <s v="Corporate"/>
    <x v="1"/>
    <x v="11"/>
    <s v="Jumbo Drum"/>
    <s v="SAFCO PlanMaster Heigh-Adjustable Drafting Table Base, 43w x 30d x 30-37h, Black"/>
    <m/>
    <s v="United States"/>
    <x v="3"/>
    <s v="North Carolina"/>
    <s v="Goldsboro"/>
    <n v="27534"/>
    <x v="32"/>
    <d v="2015-05-04T00:00:00"/>
    <n v="-90.748000000000005"/>
    <n v="17"/>
    <x v="967"/>
    <n v="85867"/>
    <x v="977"/>
  </r>
  <r>
    <n v="20591"/>
    <s v="Medium"/>
    <n v="0"/>
    <n v="55.99"/>
    <n v="2.5"/>
    <n v="1743"/>
    <s v="Paige Jacobs"/>
    <s v="Regular Air"/>
    <s v="Consumer"/>
    <x v="2"/>
    <x v="5"/>
    <s v="Small Pack"/>
    <s v="Accessory28"/>
    <n v="0.83"/>
    <s v="United States"/>
    <x v="2"/>
    <s v="Texas"/>
    <s v="Friendswood"/>
    <n v="77546"/>
    <x v="6"/>
    <d v="2015-02-14T00:00:00"/>
    <n v="-121.05808"/>
    <n v="1"/>
    <x v="968"/>
    <n v="91025"/>
    <x v="978"/>
  </r>
  <r>
    <n v="2571"/>
    <s v="Not Specified"/>
    <n v="0.02"/>
    <n v="4.13"/>
    <n v="6.89"/>
    <n v="1745"/>
    <s v="Herbert Holden"/>
    <s v="Regular Air"/>
    <s v="Home Office"/>
    <x v="0"/>
    <x v="9"/>
    <s v="Small Box"/>
    <s v="Avery 05222 Permanent Self-Adhesive File Folder Labels for Typewriters, on Rolls, White, 250/Roll"/>
    <n v="0.39"/>
    <s v="United States"/>
    <x v="3"/>
    <s v="Georgia"/>
    <s v="Atlanta"/>
    <n v="30305"/>
    <x v="85"/>
    <d v="2015-01-10T00:00:00"/>
    <n v="-51.737000000000002"/>
    <n v="9"/>
    <x v="969"/>
    <n v="18561"/>
    <x v="979"/>
  </r>
  <r>
    <n v="1863"/>
    <s v="Low"/>
    <n v="0.04"/>
    <n v="60.65"/>
    <n v="12.23"/>
    <n v="1745"/>
    <s v="Herbert Holden"/>
    <s v="Regular Air"/>
    <s v="Home Office"/>
    <x v="1"/>
    <x v="2"/>
    <s v="Medium Box"/>
    <s v="Tenex Traditional Chairmats for Medium Pile Carpet, Standard Lip, 36&quot; x 48&quot;"/>
    <n v="0.64"/>
    <s v="United States"/>
    <x v="3"/>
    <s v="Georgia"/>
    <s v="Atlanta"/>
    <n v="30305"/>
    <x v="79"/>
    <d v="2015-02-16T00:00:00"/>
    <n v="116.5063"/>
    <n v="4"/>
    <x v="970"/>
    <n v="13408"/>
    <x v="980"/>
  </r>
  <r>
    <n v="1692"/>
    <s v="High"/>
    <n v="0.04"/>
    <n v="124.49"/>
    <n v="51.94"/>
    <n v="1745"/>
    <s v="Herbert Holden"/>
    <s v="Delivery Truck"/>
    <s v="Consumer"/>
    <x v="1"/>
    <x v="11"/>
    <s v="Jumbo Box"/>
    <s v="Bevis 36 x 72 Conference Tables"/>
    <n v="0.63"/>
    <s v="United States"/>
    <x v="3"/>
    <s v="Georgia"/>
    <s v="Atlanta"/>
    <n v="30305"/>
    <x v="20"/>
    <d v="2015-06-14T00:00:00"/>
    <n v="-247.55157"/>
    <n v="4"/>
    <x v="971"/>
    <n v="12224"/>
    <x v="981"/>
  </r>
  <r>
    <n v="1693"/>
    <s v="High"/>
    <n v="0.1"/>
    <n v="35.99"/>
    <n v="5"/>
    <n v="1745"/>
    <s v="Herbert Holden"/>
    <s v="Regular Air"/>
    <s v="Consumer"/>
    <x v="2"/>
    <x v="5"/>
    <s v="Wrap Bag"/>
    <s v="Accessory17"/>
    <n v="0.82"/>
    <s v="United States"/>
    <x v="3"/>
    <s v="Georgia"/>
    <s v="Atlanta"/>
    <n v="30305"/>
    <x v="20"/>
    <d v="2015-06-12T00:00:00"/>
    <n v="-277.20924000000002"/>
    <n v="54"/>
    <x v="972"/>
    <n v="12224"/>
    <x v="982"/>
  </r>
  <r>
    <n v="19692"/>
    <s v="High"/>
    <n v="0.04"/>
    <n v="124.49"/>
    <n v="51.94"/>
    <n v="1748"/>
    <s v="Helen Simpson"/>
    <s v="Delivery Truck"/>
    <s v="Consumer"/>
    <x v="1"/>
    <x v="11"/>
    <s v="Jumbo Box"/>
    <s v="Bevis 36 x 72 Conference Tables"/>
    <n v="0.63"/>
    <s v="United States"/>
    <x v="2"/>
    <s v="Oklahoma"/>
    <s v="Enid"/>
    <n v="73703"/>
    <x v="20"/>
    <d v="2015-06-14T00:00:00"/>
    <n v="-93.064499999999995"/>
    <n v="1"/>
    <x v="973"/>
    <n v="87245"/>
    <x v="983"/>
  </r>
  <r>
    <n v="20571"/>
    <s v="Not Specified"/>
    <n v="0.02"/>
    <n v="4.13"/>
    <n v="6.89"/>
    <n v="1749"/>
    <s v="Sherri P Stephens"/>
    <s v="Regular Air"/>
    <s v="Home Office"/>
    <x v="0"/>
    <x v="9"/>
    <s v="Small Box"/>
    <s v="Avery 05222 Permanent Self-Adhesive File Folder Labels for Typewriters, on Rolls, White, 250/Roll"/>
    <n v="0.39"/>
    <s v="United States"/>
    <x v="2"/>
    <s v="Oklahoma"/>
    <s v="Lawton"/>
    <n v="73505"/>
    <x v="85"/>
    <d v="2015-01-10T00:00:00"/>
    <n v="-48.235999999999997"/>
    <n v="2"/>
    <x v="974"/>
    <n v="87243"/>
    <x v="984"/>
  </r>
  <r>
    <n v="19863"/>
    <s v="Low"/>
    <n v="0.04"/>
    <n v="60.65"/>
    <n v="12.23"/>
    <n v="1749"/>
    <s v="Sherri P Stephens"/>
    <s v="Regular Air"/>
    <s v="Home Office"/>
    <x v="1"/>
    <x v="2"/>
    <s v="Medium Box"/>
    <s v="Tenex Traditional Chairmats for Medium Pile Carpet, Standard Lip, 36&quot; x 48&quot;"/>
    <n v="0.64"/>
    <s v="United States"/>
    <x v="2"/>
    <s v="Oklahoma"/>
    <s v="Lawton"/>
    <n v="73505"/>
    <x v="79"/>
    <d v="2015-02-16T00:00:00"/>
    <n v="44.2911"/>
    <n v="1"/>
    <x v="975"/>
    <n v="87244"/>
    <x v="985"/>
  </r>
  <r>
    <n v="19477"/>
    <s v="Low"/>
    <n v="0.04"/>
    <n v="8.5"/>
    <n v="1.99"/>
    <n v="1754"/>
    <s v="Nelson Hong"/>
    <s v="Regular Air"/>
    <s v="Consumer"/>
    <x v="2"/>
    <x v="13"/>
    <s v="Small Pack"/>
    <s v="Hewlett-Packard 4.7GB DVD+R Discs"/>
    <n v="0.49"/>
    <s v="United States"/>
    <x v="0"/>
    <s v="California"/>
    <s v="Torrance"/>
    <n v="90503"/>
    <x v="139"/>
    <d v="2015-02-28T00:00:00"/>
    <n v="43.275199999999998"/>
    <n v="14"/>
    <x v="976"/>
    <n v="90178"/>
    <x v="986"/>
  </r>
  <r>
    <n v="19478"/>
    <s v="Low"/>
    <n v="0.1"/>
    <n v="15.99"/>
    <n v="9.4"/>
    <n v="1754"/>
    <s v="Nelson Hong"/>
    <s v="Regular Air"/>
    <s v="Consumer"/>
    <x v="2"/>
    <x v="6"/>
    <s v="Small Box"/>
    <s v="AT&amp;T Black Trimline Phone, Model 210"/>
    <n v="0.49"/>
    <s v="United States"/>
    <x v="0"/>
    <s v="California"/>
    <s v="Torrance"/>
    <n v="90503"/>
    <x v="139"/>
    <d v="2015-02-27T00:00:00"/>
    <n v="-36.214619999999996"/>
    <n v="5"/>
    <x v="977"/>
    <n v="90178"/>
    <x v="987"/>
  </r>
  <r>
    <n v="19479"/>
    <s v="Low"/>
    <n v="0.09"/>
    <n v="95.99"/>
    <n v="8.99"/>
    <n v="1754"/>
    <s v="Nelson Hong"/>
    <s v="Regular Air"/>
    <s v="Consumer"/>
    <x v="2"/>
    <x v="5"/>
    <s v="Small Box"/>
    <s v="600 Series Flip"/>
    <n v="0.56999999999999995"/>
    <s v="United States"/>
    <x v="0"/>
    <s v="California"/>
    <s v="Torrance"/>
    <n v="90503"/>
    <x v="139"/>
    <d v="2015-03-03T00:00:00"/>
    <n v="7.0329600000000001"/>
    <n v="8"/>
    <x v="978"/>
    <n v="90178"/>
    <x v="988"/>
  </r>
  <r>
    <n v="25920"/>
    <s v="High"/>
    <n v="0"/>
    <n v="115.99"/>
    <n v="5.92"/>
    <n v="1764"/>
    <s v="Michele Bradshaw"/>
    <s v="Regular Air"/>
    <s v="Consumer"/>
    <x v="2"/>
    <x v="5"/>
    <s v="Small Box"/>
    <n v="8890"/>
    <n v="0.57999999999999996"/>
    <s v="United States"/>
    <x v="3"/>
    <s v="Florida"/>
    <s v="Dunedin"/>
    <n v="34698"/>
    <x v="46"/>
    <d v="2015-01-22T00:00:00"/>
    <n v="-16.771999999999998"/>
    <n v="11"/>
    <x v="979"/>
    <n v="89775"/>
    <x v="989"/>
  </r>
  <r>
    <n v="25608"/>
    <s v="High"/>
    <n v="0.06"/>
    <n v="19.98"/>
    <n v="10.49"/>
    <n v="1764"/>
    <s v="Michele Bradshaw"/>
    <s v="Regular Air"/>
    <s v="Consumer"/>
    <x v="1"/>
    <x v="2"/>
    <s v="Small Box"/>
    <s v="12-1/2 Diameter Round Wall Clock"/>
    <n v="0.49"/>
    <s v="United States"/>
    <x v="3"/>
    <s v="Florida"/>
    <s v="Dunedin"/>
    <n v="34698"/>
    <x v="151"/>
    <d v="2015-03-03T00:00:00"/>
    <n v="514.17719999999997"/>
    <n v="5"/>
    <x v="980"/>
    <n v="89776"/>
    <x v="990"/>
  </r>
  <r>
    <n v="25609"/>
    <s v="High"/>
    <n v="0.08"/>
    <n v="1.76"/>
    <n v="4.8600000000000003"/>
    <n v="1764"/>
    <s v="Michele Bradshaw"/>
    <s v="Regular Air"/>
    <s v="Consumer"/>
    <x v="1"/>
    <x v="2"/>
    <s v="Small Box"/>
    <s v="Regeneration Desk Collection"/>
    <n v="0.41"/>
    <s v="United States"/>
    <x v="3"/>
    <s v="Florida"/>
    <s v="Dunedin"/>
    <n v="34698"/>
    <x v="151"/>
    <d v="2015-03-02T00:00:00"/>
    <n v="235.65600000000001"/>
    <n v="23"/>
    <x v="981"/>
    <n v="89776"/>
    <x v="991"/>
  </r>
  <r>
    <n v="25054"/>
    <s v="Not Specified"/>
    <n v="0"/>
    <n v="5.77"/>
    <n v="4.97"/>
    <n v="1765"/>
    <s v="Ralph Woods Scott"/>
    <s v="Regular Air"/>
    <s v="Consumer"/>
    <x v="0"/>
    <x v="8"/>
    <s v="Small Box"/>
    <s v="Avery Binding System Hidden Tab™ Executive Style Index Sets"/>
    <n v="0.35"/>
    <s v="United States"/>
    <x v="2"/>
    <s v="Missouri"/>
    <s v="Creve Coeur"/>
    <n v="63141"/>
    <x v="82"/>
    <d v="2015-05-05T00:00:00"/>
    <n v="3.5581"/>
    <n v="8"/>
    <x v="982"/>
    <n v="89777"/>
    <x v="992"/>
  </r>
  <r>
    <n v="20636"/>
    <s v="Critical"/>
    <n v="0.01"/>
    <n v="50.98"/>
    <n v="6.5"/>
    <n v="1767"/>
    <s v="Robert Rollins"/>
    <s v="Regular Air"/>
    <s v="Home Office"/>
    <x v="2"/>
    <x v="13"/>
    <s v="Small Box"/>
    <s v="Microsoft Natural Multimedia Keyboard"/>
    <n v="0.73"/>
    <s v="United States"/>
    <x v="3"/>
    <s v="Georgia"/>
    <s v="Newnan"/>
    <n v="30265"/>
    <x v="173"/>
    <d v="2015-03-27T00:00:00"/>
    <n v="5.3396999999999997"/>
    <n v="16"/>
    <x v="983"/>
    <n v="89211"/>
    <x v="993"/>
  </r>
  <r>
    <n v="24894"/>
    <s v="Medium"/>
    <n v="7.0000000000000007E-2"/>
    <n v="60.98"/>
    <n v="49"/>
    <n v="1771"/>
    <s v="Jeff Spivey"/>
    <s v="Regular Air"/>
    <s v="Home Office"/>
    <x v="0"/>
    <x v="15"/>
    <s v="Large Box"/>
    <s v="Euro Pro Shark Stick Mini Vacuum"/>
    <n v="0.59"/>
    <s v="United States"/>
    <x v="2"/>
    <s v="Illinois"/>
    <s v="Freeport"/>
    <n v="61032"/>
    <x v="127"/>
    <d v="2015-03-07T00:00:00"/>
    <n v="-807.89"/>
    <n v="7"/>
    <x v="984"/>
    <n v="89106"/>
    <x v="994"/>
  </r>
  <r>
    <n v="19826"/>
    <s v="Low"/>
    <n v="0.09"/>
    <n v="12.95"/>
    <n v="4.9800000000000004"/>
    <n v="1775"/>
    <s v="Marlene Kirk"/>
    <s v="Regular Air"/>
    <s v="Consumer"/>
    <x v="0"/>
    <x v="8"/>
    <s v="Small Box"/>
    <s v="GBC Binding covers"/>
    <n v="0.4"/>
    <s v="United States"/>
    <x v="2"/>
    <s v="Indiana"/>
    <s v="South Bend"/>
    <n v="46614"/>
    <x v="110"/>
    <d v="2015-06-21T00:00:00"/>
    <n v="123.89175"/>
    <n v="21"/>
    <x v="985"/>
    <n v="89944"/>
    <x v="995"/>
  </r>
  <r>
    <n v="20278"/>
    <s v="Not Specified"/>
    <n v="0.08"/>
    <n v="5.78"/>
    <n v="5.67"/>
    <n v="1776"/>
    <s v="Charlotte Patterson"/>
    <s v="Regular Air"/>
    <s v="Consumer"/>
    <x v="0"/>
    <x v="7"/>
    <s v="Small Box"/>
    <s v="Xerox 1978"/>
    <n v="0.36"/>
    <s v="United States"/>
    <x v="2"/>
    <s v="Indiana"/>
    <s v="Terre Haute"/>
    <n v="47802"/>
    <x v="128"/>
    <d v="2015-02-05T00:00:00"/>
    <n v="-53.898000000000003"/>
    <n v="19"/>
    <x v="986"/>
    <n v="89941"/>
    <x v="996"/>
  </r>
  <r>
    <n v="20391"/>
    <s v="Low"/>
    <n v="7.0000000000000007E-2"/>
    <n v="5.43"/>
    <n v="0.95"/>
    <n v="1777"/>
    <s v="Miriam Greenberg"/>
    <s v="Regular Air"/>
    <s v="Consumer"/>
    <x v="0"/>
    <x v="7"/>
    <s v="Wrap Bag"/>
    <s v="Wirebound Message Book, 4 per Page"/>
    <n v="0.36"/>
    <s v="United States"/>
    <x v="2"/>
    <s v="Indiana"/>
    <s v="Valparaiso"/>
    <n v="46383"/>
    <x v="126"/>
    <d v="2015-04-26T00:00:00"/>
    <n v="26.5029"/>
    <n v="7"/>
    <x v="987"/>
    <n v="89939"/>
    <x v="997"/>
  </r>
  <r>
    <n v="21163"/>
    <s v="Low"/>
    <n v="0.02"/>
    <n v="10.06"/>
    <n v="2.06"/>
    <n v="1777"/>
    <s v="Miriam Greenberg"/>
    <s v="Regular Air"/>
    <s v="Consumer"/>
    <x v="0"/>
    <x v="7"/>
    <s v="Wrap Bag"/>
    <s v="Riverleaf Stik-Withit® Designer Note Cubes®"/>
    <n v="0.39"/>
    <s v="United States"/>
    <x v="2"/>
    <s v="Indiana"/>
    <s v="Valparaiso"/>
    <n v="46383"/>
    <x v="35"/>
    <d v="2015-01-08T00:00:00"/>
    <n v="90.624600000000001"/>
    <n v="13"/>
    <x v="988"/>
    <n v="89940"/>
    <x v="998"/>
  </r>
  <r>
    <n v="20600"/>
    <s v="Not Specified"/>
    <n v="0.03"/>
    <n v="19.989999999999998"/>
    <n v="11.17"/>
    <n v="1777"/>
    <s v="Miriam Greenberg"/>
    <s v="Regular Air"/>
    <s v="Corporate"/>
    <x v="1"/>
    <x v="2"/>
    <s v="Large Box"/>
    <s v="Telescoping Adjustable Floor Lamp"/>
    <n v="0.6"/>
    <s v="United States"/>
    <x v="2"/>
    <s v="Indiana"/>
    <s v="Valparaiso"/>
    <n v="46383"/>
    <x v="57"/>
    <d v="2015-04-03T00:00:00"/>
    <n v="-20.8764"/>
    <n v="12"/>
    <x v="989"/>
    <n v="89942"/>
    <x v="999"/>
  </r>
  <r>
    <n v="25498"/>
    <s v="High"/>
    <n v="0.06"/>
    <n v="13.99"/>
    <n v="7.51"/>
    <n v="1778"/>
    <s v="Ray Oakley"/>
    <s v="Regular Air"/>
    <s v="Consumer"/>
    <x v="2"/>
    <x v="6"/>
    <s v="Medium Box"/>
    <s v="Sharp EL500L Fraction Calculator"/>
    <n v="0.39"/>
    <s v="United States"/>
    <x v="2"/>
    <s v="Indiana"/>
    <s v="West Lafayette"/>
    <n v="47906"/>
    <x v="16"/>
    <d v="2015-05-12T00:00:00"/>
    <n v="6.4832400000000003"/>
    <n v="21"/>
    <x v="990"/>
    <n v="89943"/>
    <x v="1000"/>
  </r>
  <r>
    <n v="25499"/>
    <s v="High"/>
    <n v="0.06"/>
    <n v="15.04"/>
    <n v="1.97"/>
    <n v="1778"/>
    <s v="Ray Oakley"/>
    <s v="Regular Air"/>
    <s v="Consumer"/>
    <x v="0"/>
    <x v="7"/>
    <s v="Wrap Bag"/>
    <s v="White GlueTop Scratch Pads"/>
    <n v="0.39"/>
    <s v="United States"/>
    <x v="2"/>
    <s v="Indiana"/>
    <s v="West Lafayette"/>
    <n v="47906"/>
    <x v="16"/>
    <d v="2015-05-10T00:00:00"/>
    <n v="2.3319999999999999"/>
    <n v="3"/>
    <x v="991"/>
    <n v="89943"/>
    <x v="1001"/>
  </r>
  <r>
    <n v="19237"/>
    <s v="High"/>
    <n v="0"/>
    <n v="55.48"/>
    <n v="14.3"/>
    <n v="1781"/>
    <s v="Jackie Capps"/>
    <s v="Regular Air"/>
    <s v="Corporate"/>
    <x v="0"/>
    <x v="7"/>
    <s v="Small Box"/>
    <s v="Xerox 194"/>
    <n v="0.37"/>
    <s v="United States"/>
    <x v="0"/>
    <s v="California"/>
    <s v="San Carlos"/>
    <n v="94070"/>
    <x v="20"/>
    <d v="2015-06-14T00:00:00"/>
    <n v="454.44779999999997"/>
    <n v="11"/>
    <x v="992"/>
    <n v="89857"/>
    <x v="1002"/>
  </r>
  <r>
    <n v="19419"/>
    <s v="Low"/>
    <n v="0.03"/>
    <n v="5.08"/>
    <n v="2.0299999999999998"/>
    <n v="1781"/>
    <s v="Jackie Capps"/>
    <s v="Regular Air"/>
    <s v="Home Office"/>
    <x v="1"/>
    <x v="2"/>
    <s v="Wrap Bag"/>
    <s v="Master Caster Door Stop, Brown"/>
    <n v="0.51"/>
    <s v="United States"/>
    <x v="0"/>
    <s v="California"/>
    <s v="San Carlos"/>
    <n v="94070"/>
    <x v="0"/>
    <d v="2015-01-12T00:00:00"/>
    <n v="15.1524"/>
    <n v="4"/>
    <x v="993"/>
    <n v="89858"/>
    <x v="1003"/>
  </r>
  <r>
    <n v="21283"/>
    <s v="High"/>
    <n v="0.03"/>
    <n v="3.28"/>
    <n v="3.97"/>
    <n v="1782"/>
    <s v="Lawrence Dennis"/>
    <s v="Regular Air"/>
    <s v="Home Office"/>
    <x v="0"/>
    <x v="0"/>
    <s v="Wrap Bag"/>
    <s v="Newell 342"/>
    <n v="0.56000000000000005"/>
    <s v="United States"/>
    <x v="0"/>
    <s v="California"/>
    <s v="San Clemente"/>
    <n v="92672"/>
    <x v="61"/>
    <d v="2015-01-08T00:00:00"/>
    <n v="-90.755600000000001"/>
    <n v="7"/>
    <x v="994"/>
    <n v="89856"/>
    <x v="1004"/>
  </r>
  <r>
    <n v="23966"/>
    <s v="Critical"/>
    <n v="0.04"/>
    <n v="205.99"/>
    <n v="8.99"/>
    <n v="1788"/>
    <s v="Valerie Siegel"/>
    <s v="Regular Air"/>
    <s v="Consumer"/>
    <x v="2"/>
    <x v="5"/>
    <s v="Small Box"/>
    <s v="TimeportP7382"/>
    <n v="0.56000000000000005"/>
    <s v="United States"/>
    <x v="3"/>
    <s v="Georgia"/>
    <s v="Woodstock"/>
    <n v="30188"/>
    <x v="72"/>
    <d v="2015-01-22T00:00:00"/>
    <n v="960.98400000000004"/>
    <n v="6"/>
    <x v="995"/>
    <n v="88256"/>
    <x v="1005"/>
  </r>
  <r>
    <n v="21284"/>
    <s v="Critical"/>
    <n v="0.04"/>
    <n v="880.98"/>
    <n v="44.55"/>
    <n v="1793"/>
    <s v="Derek Jernigan"/>
    <s v="Delivery Truck"/>
    <s v="Home Office"/>
    <x v="1"/>
    <x v="14"/>
    <s v="Jumbo Box"/>
    <s v="Riverside Palais Royal Lawyers Bookcase, Royale Cherry Finish"/>
    <n v="0.62"/>
    <s v="United States"/>
    <x v="2"/>
    <s v="Illinois"/>
    <s v="Galesburg"/>
    <n v="61401"/>
    <x v="61"/>
    <d v="2015-01-07T00:00:00"/>
    <n v="-13706.464"/>
    <n v="8"/>
    <x v="996"/>
    <n v="87853"/>
    <x v="1006"/>
  </r>
  <r>
    <n v="22986"/>
    <s v="Critical"/>
    <n v="0.04"/>
    <n v="3.68"/>
    <n v="1.32"/>
    <n v="1802"/>
    <s v="Jack Morse"/>
    <s v="Regular Air"/>
    <s v="Corporate"/>
    <x v="0"/>
    <x v="12"/>
    <s v="Wrap Bag"/>
    <s v="*Staples* vLetter Openers, 2/Pack"/>
    <n v="0.83"/>
    <s v="United States"/>
    <x v="3"/>
    <s v="Florida"/>
    <s v="Dunedin"/>
    <n v="34698"/>
    <x v="144"/>
    <d v="2015-06-02T00:00:00"/>
    <n v="300.92579999999998"/>
    <n v="11"/>
    <x v="997"/>
    <n v="91543"/>
    <x v="1007"/>
  </r>
  <r>
    <n v="18901"/>
    <s v="Medium"/>
    <n v="0.01"/>
    <n v="8.1199999999999992"/>
    <n v="2.83"/>
    <n v="1808"/>
    <s v="Joyce Knox"/>
    <s v="Express Air"/>
    <s v="Home Office"/>
    <x v="2"/>
    <x v="13"/>
    <s v="Small Pack"/>
    <s v="Imation Neon Mac Format Diskettes, 10/Pack"/>
    <n v="0.77"/>
    <s v="United States"/>
    <x v="1"/>
    <s v="West Virginia"/>
    <s v="Parkersburg"/>
    <n v="26101"/>
    <x v="83"/>
    <d v="2015-03-18T00:00:00"/>
    <n v="-40.76"/>
    <n v="10"/>
    <x v="998"/>
    <n v="89251"/>
    <x v="1008"/>
  </r>
  <r>
    <n v="21746"/>
    <s v="Not Specified"/>
    <n v="0.09"/>
    <n v="77.510000000000005"/>
    <n v="4"/>
    <n v="1814"/>
    <s v="Albert Tyson"/>
    <s v="Express Air"/>
    <s v="Home Office"/>
    <x v="2"/>
    <x v="13"/>
    <s v="Small Box"/>
    <s v="Micro Innovations Media Access Pro Keyboard"/>
    <n v="0.76"/>
    <s v="United States"/>
    <x v="3"/>
    <s v="Mississippi"/>
    <s v="Olive Branch"/>
    <n v="38654"/>
    <x v="94"/>
    <d v="2015-05-25T00:00:00"/>
    <n v="-986.524"/>
    <n v="17"/>
    <x v="999"/>
    <n v="90524"/>
    <x v="1009"/>
  </r>
  <r>
    <n v="21747"/>
    <s v="Not Specified"/>
    <n v="0"/>
    <n v="2.88"/>
    <n v="0.7"/>
    <n v="1814"/>
    <s v="Albert Tyson"/>
    <s v="Regular Air"/>
    <s v="Home Office"/>
    <x v="0"/>
    <x v="0"/>
    <s v="Wrap Bag"/>
    <s v="Newell 340"/>
    <n v="0.56000000000000005"/>
    <s v="United States"/>
    <x v="3"/>
    <s v="Mississippi"/>
    <s v="Olive Branch"/>
    <n v="38654"/>
    <x v="94"/>
    <d v="2015-05-25T00:00:00"/>
    <n v="-141.666"/>
    <n v="13"/>
    <x v="1000"/>
    <n v="90524"/>
    <x v="1010"/>
  </r>
  <r>
    <n v="24463"/>
    <s v="Medium"/>
    <n v="0.06"/>
    <n v="90.97"/>
    <n v="14"/>
    <n v="1815"/>
    <s v="Marvin Yang"/>
    <s v="Delivery Truck"/>
    <s v="Home Office"/>
    <x v="2"/>
    <x v="6"/>
    <s v="Jumbo Drum"/>
    <s v="Lexmark Z54se Color Inkjet Printer"/>
    <n v="0.36"/>
    <s v="United States"/>
    <x v="3"/>
    <s v="Mississippi"/>
    <s v="Pearl"/>
    <n v="39208"/>
    <x v="143"/>
    <d v="2015-02-12T00:00:00"/>
    <n v="47.334000000000003"/>
    <n v="14"/>
    <x v="1001"/>
    <n v="90525"/>
    <x v="1011"/>
  </r>
  <r>
    <n v="22843"/>
    <s v="Low"/>
    <n v="0.01"/>
    <n v="10.48"/>
    <n v="2.89"/>
    <n v="1816"/>
    <s v="Danielle Schneider"/>
    <s v="Regular Air"/>
    <s v="Consumer"/>
    <x v="0"/>
    <x v="0"/>
    <s v="Small Pack"/>
    <s v="Staples Battery-Operated Desktop Pencil Sharpener"/>
    <n v="0.6"/>
    <s v="United States"/>
    <x v="2"/>
    <s v="Michigan"/>
    <s v="Canton"/>
    <n v="48187"/>
    <x v="64"/>
    <d v="2015-02-07T00:00:00"/>
    <n v="60.561599999999999"/>
    <n v="19"/>
    <x v="1002"/>
    <n v="85990"/>
    <x v="1012"/>
  </r>
  <r>
    <n v="24622"/>
    <s v="Not Specified"/>
    <n v="0.06"/>
    <n v="17.98"/>
    <n v="8.51"/>
    <n v="1818"/>
    <s v="Ian Hall"/>
    <s v="Regular Air"/>
    <s v="Consumer"/>
    <x v="2"/>
    <x v="6"/>
    <s v="Medium Box"/>
    <s v="Canon P1-DHIII Palm Printing Calculator"/>
    <n v="0.4"/>
    <s v="United States"/>
    <x v="2"/>
    <s v="Michigan"/>
    <s v="Dearborn"/>
    <n v="48126"/>
    <x v="112"/>
    <d v="2015-04-17T00:00:00"/>
    <n v="-47.243088"/>
    <n v="3"/>
    <x v="1003"/>
    <n v="85991"/>
    <x v="1013"/>
  </r>
  <r>
    <n v="24623"/>
    <s v="Not Specified"/>
    <n v="0.1"/>
    <n v="9.99"/>
    <n v="4.78"/>
    <n v="1818"/>
    <s v="Ian Hall"/>
    <s v="Express Air"/>
    <s v="Consumer"/>
    <x v="0"/>
    <x v="7"/>
    <s v="Small Box"/>
    <s v="Xerox 1896"/>
    <n v="0.4"/>
    <s v="United States"/>
    <x v="2"/>
    <s v="Michigan"/>
    <s v="Dearborn"/>
    <n v="48126"/>
    <x v="112"/>
    <d v="2015-04-18T00:00:00"/>
    <n v="9.1539999999999999"/>
    <n v="12"/>
    <x v="1004"/>
    <n v="85991"/>
    <x v="1014"/>
  </r>
  <r>
    <n v="4843"/>
    <s v="Low"/>
    <n v="0.01"/>
    <n v="10.48"/>
    <n v="2.89"/>
    <n v="1821"/>
    <s v="Vanessa Boyer"/>
    <s v="Regular Air"/>
    <s v="Consumer"/>
    <x v="0"/>
    <x v="0"/>
    <s v="Small Pack"/>
    <s v="Staples Battery-Operated Desktop Pencil Sharpener"/>
    <n v="0.6"/>
    <s v="United States"/>
    <x v="1"/>
    <s v="New York"/>
    <s v="New York City"/>
    <n v="10177"/>
    <x v="64"/>
    <d v="2015-02-07T00:00:00"/>
    <n v="40.92"/>
    <n v="76"/>
    <x v="1005"/>
    <n v="34435"/>
    <x v="1015"/>
  </r>
  <r>
    <n v="6621"/>
    <s v="Not Specified"/>
    <n v="7.0000000000000007E-2"/>
    <n v="18.649999999999999"/>
    <n v="3.77"/>
    <n v="1821"/>
    <s v="Vanessa Boyer"/>
    <s v="Regular Air"/>
    <s v="Consumer"/>
    <x v="1"/>
    <x v="2"/>
    <s v="Small Pack"/>
    <s v="3M Polarizing Light Filter Sleeves"/>
    <n v="0.39"/>
    <s v="United States"/>
    <x v="1"/>
    <s v="New York"/>
    <s v="New York City"/>
    <n v="10177"/>
    <x v="112"/>
    <d v="2015-04-16T00:00:00"/>
    <n v="149.72"/>
    <n v="34"/>
    <x v="1006"/>
    <n v="47108"/>
    <x v="1016"/>
  </r>
  <r>
    <n v="6622"/>
    <s v="Not Specified"/>
    <n v="0.06"/>
    <n v="17.98"/>
    <n v="8.51"/>
    <n v="1821"/>
    <s v="Vanessa Boyer"/>
    <s v="Regular Air"/>
    <s v="Consumer"/>
    <x v="2"/>
    <x v="6"/>
    <s v="Medium Box"/>
    <s v="Canon P1-DHIII Palm Printing Calculator"/>
    <n v="0.4"/>
    <s v="United States"/>
    <x v="1"/>
    <s v="New York"/>
    <s v="New York City"/>
    <n v="10177"/>
    <x v="112"/>
    <d v="2015-04-17T00:00:00"/>
    <n v="-52.492319999999999"/>
    <n v="13"/>
    <x v="1007"/>
    <n v="47108"/>
    <x v="1017"/>
  </r>
  <r>
    <n v="6623"/>
    <s v="Not Specified"/>
    <n v="0.1"/>
    <n v="9.99"/>
    <n v="4.78"/>
    <n v="1821"/>
    <s v="Vanessa Boyer"/>
    <s v="Express Air"/>
    <s v="Consumer"/>
    <x v="0"/>
    <x v="7"/>
    <s v="Small Box"/>
    <s v="Xerox 1896"/>
    <n v="0.4"/>
    <s v="United States"/>
    <x v="1"/>
    <s v="New York"/>
    <s v="New York City"/>
    <n v="10177"/>
    <x v="112"/>
    <d v="2015-04-18T00:00:00"/>
    <n v="7.96"/>
    <n v="47"/>
    <x v="1008"/>
    <n v="47108"/>
    <x v="1018"/>
  </r>
  <r>
    <n v="6624"/>
    <s v="Not Specified"/>
    <n v="0.08"/>
    <n v="175.99"/>
    <n v="8.99"/>
    <n v="1821"/>
    <s v="Vanessa Boyer"/>
    <s v="Express Air"/>
    <s v="Consumer"/>
    <x v="2"/>
    <x v="5"/>
    <s v="Small Box"/>
    <n v="2180"/>
    <n v="0.56999999999999995"/>
    <s v="United States"/>
    <x v="1"/>
    <s v="New York"/>
    <s v="New York City"/>
    <n v="10177"/>
    <x v="112"/>
    <d v="2015-04-16T00:00:00"/>
    <n v="-459.08280000000002"/>
    <n v="16"/>
    <x v="1009"/>
    <n v="47108"/>
    <x v="1019"/>
  </r>
  <r>
    <n v="19596"/>
    <s v="Medium"/>
    <n v="0.1"/>
    <n v="52.99"/>
    <n v="19.989999999999998"/>
    <n v="1826"/>
    <s v="Kate Peck"/>
    <s v="Express Air"/>
    <s v="Corporate"/>
    <x v="0"/>
    <x v="10"/>
    <s v="Small Box"/>
    <s v="Gould Plastics 9-Pocket Panel Bin, 18-3/8w x 5-1/4d x 20-1/2h, Black"/>
    <n v="0.81"/>
    <s v="United States"/>
    <x v="2"/>
    <s v="Iowa"/>
    <s v="Bettendorf"/>
    <n v="52722"/>
    <x v="106"/>
    <d v="2015-04-19T00:00:00"/>
    <n v="-517.16999999999996"/>
    <n v="7"/>
    <x v="1010"/>
    <n v="86958"/>
    <x v="1020"/>
  </r>
  <r>
    <n v="18199"/>
    <s v="Medium"/>
    <n v="0"/>
    <n v="9.27"/>
    <n v="4.3899999999999997"/>
    <n v="1826"/>
    <s v="Kate Peck"/>
    <s v="Regular Air"/>
    <s v="Corporate"/>
    <x v="0"/>
    <x v="7"/>
    <s v="Wrap Bag"/>
    <s v="Wirebound Message Books, Four 2 3/4&quot; x 5&quot; Forms per Page, 600 Sets per Book"/>
    <n v="0.38"/>
    <s v="United States"/>
    <x v="2"/>
    <s v="Iowa"/>
    <s v="Bettendorf"/>
    <n v="52722"/>
    <x v="3"/>
    <d v="2015-05-14T00:00:00"/>
    <n v="-7.61"/>
    <n v="1"/>
    <x v="1011"/>
    <n v="86959"/>
    <x v="1021"/>
  </r>
  <r>
    <n v="20551"/>
    <s v="Not Specified"/>
    <n v="0"/>
    <n v="5.98"/>
    <n v="0.96"/>
    <n v="1827"/>
    <s v="Vincent Hale"/>
    <s v="Regular Air"/>
    <s v="Corporate"/>
    <x v="0"/>
    <x v="0"/>
    <s v="Wrap Bag"/>
    <s v="Newell 315"/>
    <n v="0.6"/>
    <s v="United States"/>
    <x v="2"/>
    <s v="Iowa"/>
    <s v="Burlington"/>
    <n v="52601"/>
    <x v="153"/>
    <d v="2015-02-20T00:00:00"/>
    <n v="38.039700000000003"/>
    <n v="9"/>
    <x v="1012"/>
    <n v="86956"/>
    <x v="1022"/>
  </r>
  <r>
    <n v="19597"/>
    <s v="Medium"/>
    <n v="7.0000000000000007E-2"/>
    <n v="100.98"/>
    <n v="57.38"/>
    <n v="1827"/>
    <s v="Vincent Hale"/>
    <s v="Delivery Truck"/>
    <s v="Corporate"/>
    <x v="1"/>
    <x v="14"/>
    <s v="Jumbo Box"/>
    <s v="Bush Westfield Collection Bookcases, Dark Cherry Finish, Fully Assembled"/>
    <n v="0.78"/>
    <s v="United States"/>
    <x v="2"/>
    <s v="Iowa"/>
    <s v="Burlington"/>
    <n v="52601"/>
    <x v="106"/>
    <d v="2015-04-21T00:00:00"/>
    <n v="-429.86"/>
    <n v="2"/>
    <x v="1013"/>
    <n v="86958"/>
    <x v="1023"/>
  </r>
  <r>
    <n v="19598"/>
    <s v="Medium"/>
    <n v="0.03"/>
    <n v="85.99"/>
    <n v="0.99"/>
    <n v="1827"/>
    <s v="Vincent Hale"/>
    <s v="Regular Air"/>
    <s v="Corporate"/>
    <x v="2"/>
    <x v="5"/>
    <s v="Wrap Bag"/>
    <s v="Accessory34"/>
    <n v="0.55000000000000004"/>
    <s v="United States"/>
    <x v="2"/>
    <s v="Iowa"/>
    <s v="Burlington"/>
    <n v="52601"/>
    <x v="106"/>
    <d v="2015-04-20T00:00:00"/>
    <n v="264.16649999999998"/>
    <n v="5"/>
    <x v="1014"/>
    <n v="86958"/>
    <x v="1024"/>
  </r>
  <r>
    <n v="20553"/>
    <s v="Not Specified"/>
    <n v="0.02"/>
    <n v="5.98"/>
    <n v="5.46"/>
    <n v="1828"/>
    <s v="Stacey Lucas"/>
    <s v="Regular Air"/>
    <s v="Corporate"/>
    <x v="0"/>
    <x v="7"/>
    <s v="Small Box"/>
    <s v="Xerox 1983"/>
    <n v="0.36"/>
    <s v="United States"/>
    <x v="2"/>
    <s v="Iowa"/>
    <s v="Cedar Falls"/>
    <n v="50613"/>
    <x v="153"/>
    <d v="2015-02-20T00:00:00"/>
    <n v="-47.12"/>
    <n v="7"/>
    <x v="1015"/>
    <n v="86956"/>
    <x v="1025"/>
  </r>
  <r>
    <n v="21383"/>
    <s v="Low"/>
    <n v="0.05"/>
    <n v="7.1"/>
    <n v="6.05"/>
    <n v="1828"/>
    <s v="Stacey Lucas"/>
    <s v="Regular Air"/>
    <s v="Corporate"/>
    <x v="0"/>
    <x v="8"/>
    <s v="Small Box"/>
    <s v="Wilson Jones Hanging View Binder, White, 1&quot;"/>
    <n v="0.39"/>
    <s v="United States"/>
    <x v="2"/>
    <s v="Iowa"/>
    <s v="Cedar Falls"/>
    <n v="50613"/>
    <x v="61"/>
    <d v="2015-01-06T00:00:00"/>
    <n v="-101.246"/>
    <n v="14"/>
    <x v="1016"/>
    <n v="86960"/>
    <x v="1026"/>
  </r>
  <r>
    <n v="21384"/>
    <s v="Low"/>
    <n v="0.04"/>
    <n v="20.95"/>
    <n v="4"/>
    <n v="1828"/>
    <s v="Stacey Lucas"/>
    <s v="Regular Air"/>
    <s v="Corporate"/>
    <x v="2"/>
    <x v="13"/>
    <s v="Small Box"/>
    <s v="Fellowes Basic 104-Key Keyboard, Platinum"/>
    <n v="0.6"/>
    <s v="United States"/>
    <x v="2"/>
    <s v="Iowa"/>
    <s v="Cedar Falls"/>
    <n v="50613"/>
    <x v="61"/>
    <d v="2015-01-11T00:00:00"/>
    <n v="-1.88"/>
    <n v="7"/>
    <x v="1017"/>
    <n v="86960"/>
    <x v="1027"/>
  </r>
  <r>
    <n v="23430"/>
    <s v="Critical"/>
    <n v="0.01"/>
    <n v="10.64"/>
    <n v="5.16"/>
    <n v="1829"/>
    <s v="Suzanne Cochran"/>
    <s v="Express Air"/>
    <s v="Corporate"/>
    <x v="1"/>
    <x v="2"/>
    <s v="Small Box"/>
    <s v="Eldon Expressions Punched Metal &amp; Wood Desk Accessories, Pewter &amp; Cherry"/>
    <n v="0.56999999999999995"/>
    <s v="United States"/>
    <x v="2"/>
    <s v="Iowa"/>
    <s v="Cedar Rapids"/>
    <n v="52402"/>
    <x v="78"/>
    <d v="2015-03-27T00:00:00"/>
    <n v="-11.69"/>
    <n v="5"/>
    <x v="1018"/>
    <n v="86957"/>
    <x v="1028"/>
  </r>
  <r>
    <n v="21385"/>
    <s v="Low"/>
    <n v="0.05"/>
    <n v="39.06"/>
    <n v="10.55"/>
    <n v="1829"/>
    <s v="Suzanne Cochran"/>
    <s v="Regular Air"/>
    <s v="Corporate"/>
    <x v="0"/>
    <x v="8"/>
    <s v="Small Box"/>
    <s v="Ibico Recycled Linen-Style Covers"/>
    <n v="0.37"/>
    <s v="United States"/>
    <x v="2"/>
    <s v="Iowa"/>
    <s v="Cedar Rapids"/>
    <n v="52402"/>
    <x v="61"/>
    <d v="2015-01-13T00:00:00"/>
    <n v="250.98060000000001"/>
    <n v="9"/>
    <x v="1019"/>
    <n v="86960"/>
    <x v="1029"/>
  </r>
  <r>
    <n v="21386"/>
    <s v="Low"/>
    <n v="0.04"/>
    <n v="3.52"/>
    <n v="6.83"/>
    <n v="1829"/>
    <s v="Suzanne Cochran"/>
    <s v="Regular Air"/>
    <s v="Corporate"/>
    <x v="0"/>
    <x v="8"/>
    <s v="Small Box"/>
    <s v="Self-Adhesive Ring Binder Labels"/>
    <n v="0.38"/>
    <s v="United States"/>
    <x v="2"/>
    <s v="Iowa"/>
    <s v="Cedar Rapids"/>
    <n v="52402"/>
    <x v="61"/>
    <d v="2015-01-15T00:00:00"/>
    <n v="-57.753"/>
    <n v="4"/>
    <x v="1020"/>
    <n v="86960"/>
    <x v="1030"/>
  </r>
  <r>
    <n v="21387"/>
    <s v="Low"/>
    <n v="0.02"/>
    <n v="15.51"/>
    <n v="17.78"/>
    <n v="1829"/>
    <s v="Suzanne Cochran"/>
    <s v="Regular Air"/>
    <s v="Corporate"/>
    <x v="0"/>
    <x v="10"/>
    <s v="Small Box"/>
    <s v="Tenex File Box, Personal Filing Tote with Lid, Black"/>
    <n v="0.59"/>
    <s v="United States"/>
    <x v="2"/>
    <s v="Iowa"/>
    <s v="Cedar Rapids"/>
    <n v="52402"/>
    <x v="61"/>
    <d v="2015-01-13T00:00:00"/>
    <n v="-47.97"/>
    <n v="1"/>
    <x v="1021"/>
    <n v="86960"/>
    <x v="1031"/>
  </r>
  <r>
    <n v="23589"/>
    <s v="High"/>
    <n v="0.01"/>
    <n v="155.99"/>
    <n v="8.99"/>
    <n v="1836"/>
    <s v="Dwight Albright Huffman"/>
    <s v="Express Air"/>
    <s v="Corporate"/>
    <x v="2"/>
    <x v="5"/>
    <s v="Small Box"/>
    <s v="CF 688"/>
    <n v="0.57999999999999996"/>
    <s v="United States"/>
    <x v="0"/>
    <s v="California"/>
    <s v="San Francisco"/>
    <n v="94110"/>
    <x v="47"/>
    <d v="2015-04-20T00:00:00"/>
    <n v="-219.07908"/>
    <n v="5"/>
    <x v="1022"/>
    <n v="86600"/>
    <x v="1032"/>
  </r>
  <r>
    <n v="23590"/>
    <s v="High"/>
    <n v="0.01"/>
    <n v="5.98"/>
    <n v="5.46"/>
    <n v="1837"/>
    <s v="Herbert Williamson"/>
    <s v="Regular Air"/>
    <s v="Corporate"/>
    <x v="0"/>
    <x v="7"/>
    <s v="Small Box"/>
    <s v="Xerox 1983"/>
    <n v="0.36"/>
    <s v="United States"/>
    <x v="0"/>
    <s v="California"/>
    <s v="San Gabriel"/>
    <n v="91776"/>
    <x v="47"/>
    <d v="2015-04-21T00:00:00"/>
    <n v="-18.878399999999999"/>
    <n v="4"/>
    <x v="1023"/>
    <n v="86600"/>
    <x v="1033"/>
  </r>
  <r>
    <n v="18141"/>
    <s v="Not Specified"/>
    <n v="7.0000000000000007E-2"/>
    <n v="40.98"/>
    <n v="2.99"/>
    <n v="1840"/>
    <s v="Clifford Webb"/>
    <s v="Regular Air"/>
    <s v="Home Office"/>
    <x v="0"/>
    <x v="8"/>
    <s v="Small Box"/>
    <s v="Avery Trapezoid Ring Binder, 3&quot; Capacity, Black, 1040 sheets"/>
    <n v="0.36"/>
    <s v="United States"/>
    <x v="1"/>
    <s v="Massachusetts"/>
    <s v="Townsend"/>
    <n v="1469"/>
    <x v="25"/>
    <d v="2015-04-01T00:00:00"/>
    <n v="369.20519999999999"/>
    <n v="13"/>
    <x v="1024"/>
    <n v="86599"/>
    <x v="1034"/>
  </r>
  <r>
    <n v="19139"/>
    <s v="High"/>
    <n v="0.09"/>
    <n v="35.99"/>
    <n v="1.1000000000000001"/>
    <n v="1849"/>
    <s v="Michelle Steele"/>
    <s v="Regular Air"/>
    <s v="Consumer"/>
    <x v="2"/>
    <x v="5"/>
    <s v="Small Box"/>
    <s v="Accessory35"/>
    <n v="0.55000000000000004"/>
    <s v="United States"/>
    <x v="3"/>
    <s v="Alabama"/>
    <s v="Enterprise"/>
    <n v="36330"/>
    <x v="113"/>
    <d v="2015-04-03T00:00:00"/>
    <n v="19.350000000000001"/>
    <n v="8"/>
    <x v="1025"/>
    <n v="89697"/>
    <x v="1035"/>
  </r>
  <r>
    <n v="19140"/>
    <s v="High"/>
    <n v="0.01"/>
    <n v="125.99"/>
    <n v="2.5"/>
    <n v="1849"/>
    <s v="Michelle Steele"/>
    <s v="Regular Air"/>
    <s v="Consumer"/>
    <x v="2"/>
    <x v="5"/>
    <s v="Small Box"/>
    <s v="i2000"/>
    <n v="0.6"/>
    <s v="United States"/>
    <x v="3"/>
    <s v="Alabama"/>
    <s v="Enterprise"/>
    <n v="36330"/>
    <x v="113"/>
    <d v="2015-04-02T00:00:00"/>
    <n v="-967.83399999999995"/>
    <n v="2"/>
    <x v="1026"/>
    <n v="89697"/>
    <x v="1036"/>
  </r>
  <r>
    <n v="19141"/>
    <s v="Not Specified"/>
    <n v="0.06"/>
    <n v="6.48"/>
    <n v="5.14"/>
    <n v="1852"/>
    <s v="Joy Kaplan McNeill"/>
    <s v="Express Air"/>
    <s v="Home Office"/>
    <x v="0"/>
    <x v="7"/>
    <s v="Small Box"/>
    <s v="Xerox 23"/>
    <n v="0.37"/>
    <s v="United States"/>
    <x v="0"/>
    <s v="California"/>
    <s v="Carlsbad"/>
    <n v="92008"/>
    <x v="91"/>
    <d v="2015-03-21T00:00:00"/>
    <n v="-28.45"/>
    <n v="10"/>
    <x v="1027"/>
    <n v="86847"/>
    <x v="1037"/>
  </r>
  <r>
    <n v="19142"/>
    <s v="Not Specified"/>
    <n v="0.02"/>
    <n v="30.73"/>
    <n v="4"/>
    <n v="1854"/>
    <s v="Erika Morgan"/>
    <s v="Regular Air"/>
    <s v="Home Office"/>
    <x v="2"/>
    <x v="13"/>
    <s v="Small Box"/>
    <s v="Fellowes 17-key keypad for PS/2 interface"/>
    <n v="0.75"/>
    <s v="United States"/>
    <x v="1"/>
    <s v="Connecticut"/>
    <s v="Seymour"/>
    <n v="6478"/>
    <x v="91"/>
    <d v="2015-03-22T00:00:00"/>
    <n v="72.78"/>
    <n v="16"/>
    <x v="1028"/>
    <n v="86847"/>
    <x v="1038"/>
  </r>
  <r>
    <n v="20036"/>
    <s v="Critical"/>
    <n v="0.09"/>
    <n v="5.98"/>
    <n v="1.49"/>
    <n v="1860"/>
    <s v="Gina B Hess"/>
    <s v="Regular Air"/>
    <s v="Home Office"/>
    <x v="0"/>
    <x v="8"/>
    <s v="Small Box"/>
    <s v="Avery Hanging File Binders"/>
    <n v="0.39"/>
    <s v="United States"/>
    <x v="1"/>
    <s v="Massachusetts"/>
    <s v="Webster"/>
    <n v="1570"/>
    <x v="15"/>
    <d v="2015-06-17T00:00:00"/>
    <n v="13.2294"/>
    <n v="5"/>
    <x v="1029"/>
    <n v="86846"/>
    <x v="1039"/>
  </r>
  <r>
    <n v="18879"/>
    <s v="Not Specified"/>
    <n v="0.08"/>
    <n v="8.09"/>
    <n v="7.96"/>
    <n v="1869"/>
    <s v="Roberta Daniel"/>
    <s v="Regular Air"/>
    <s v="Consumer"/>
    <x v="1"/>
    <x v="2"/>
    <s v="Small Box"/>
    <s v="6&quot; Cubicle Wall Clock, Black"/>
    <n v="0.49"/>
    <s v="United States"/>
    <x v="0"/>
    <s v="New Mexico"/>
    <s v="Alamogordo"/>
    <n v="88310"/>
    <x v="32"/>
    <d v="2015-05-04T00:00:00"/>
    <n v="-88.82"/>
    <n v="10"/>
    <x v="1030"/>
    <n v="89209"/>
    <x v="1040"/>
  </r>
  <r>
    <n v="19415"/>
    <s v="Medium"/>
    <n v="0.03"/>
    <n v="90.48"/>
    <n v="19.989999999999998"/>
    <n v="1873"/>
    <s v="Lisa Kim"/>
    <s v="Regular Air"/>
    <s v="Corporate"/>
    <x v="0"/>
    <x v="4"/>
    <s v="Small Box"/>
    <s v="Tyvek® Side-Opening Peel &amp; Seel® Expanding Envelopes"/>
    <n v="0.4"/>
    <s v="United States"/>
    <x v="3"/>
    <s v="Florida"/>
    <s v="Palm Beach Gardens"/>
    <n v="33403"/>
    <x v="60"/>
    <d v="2015-01-19T00:00:00"/>
    <n v="15.353999999999999"/>
    <n v="1"/>
    <x v="1031"/>
    <n v="90099"/>
    <x v="1041"/>
  </r>
  <r>
    <n v="19416"/>
    <s v="Medium"/>
    <n v="0.06"/>
    <n v="22.84"/>
    <n v="8.18"/>
    <n v="1873"/>
    <s v="Lisa Kim"/>
    <s v="Regular Air"/>
    <s v="Corporate"/>
    <x v="0"/>
    <x v="7"/>
    <s v="Small Box"/>
    <s v="Xerox 1991"/>
    <n v="0.39"/>
    <s v="United States"/>
    <x v="3"/>
    <s v="Florida"/>
    <s v="Palm Beach Gardens"/>
    <n v="33403"/>
    <x v="60"/>
    <d v="2015-01-17T00:00:00"/>
    <n v="-357.92399999999998"/>
    <n v="7"/>
    <x v="1032"/>
    <n v="90099"/>
    <x v="1042"/>
  </r>
  <r>
    <n v="20844"/>
    <s v="Critical"/>
    <n v="0.09"/>
    <n v="95.99"/>
    <n v="4.9000000000000004"/>
    <n v="1875"/>
    <s v="Martin Kirk"/>
    <s v="Regular Air"/>
    <s v="Consumer"/>
    <x v="2"/>
    <x v="5"/>
    <s v="Small Box"/>
    <s v="T60"/>
    <n v="0.56000000000000005"/>
    <s v="United States"/>
    <x v="3"/>
    <s v="Virginia"/>
    <s v="Chesapeake"/>
    <n v="23320"/>
    <x v="134"/>
    <d v="2015-01-31T00:00:00"/>
    <n v="34.302"/>
    <n v="4"/>
    <x v="1033"/>
    <n v="90899"/>
    <x v="1043"/>
  </r>
  <r>
    <n v="18284"/>
    <s v="Not Specified"/>
    <n v="0.09"/>
    <n v="5.78"/>
    <n v="5.67"/>
    <n v="1882"/>
    <s v="Anita Kent"/>
    <s v="Regular Air"/>
    <s v="Home Office"/>
    <x v="0"/>
    <x v="7"/>
    <s v="Small Box"/>
    <s v="Xerox 1978"/>
    <n v="0.36"/>
    <s v="United States"/>
    <x v="1"/>
    <s v="New Jersey"/>
    <s v="Linden"/>
    <n v="7036"/>
    <x v="151"/>
    <d v="2015-03-03T00:00:00"/>
    <n v="-7.96"/>
    <n v="1"/>
    <x v="1034"/>
    <n v="87378"/>
    <x v="1044"/>
  </r>
  <r>
    <n v="18283"/>
    <s v="Not Specified"/>
    <n v="0.05"/>
    <n v="535.64"/>
    <n v="14.7"/>
    <n v="1885"/>
    <s v="Jacob Hirsch"/>
    <s v="Delivery Truck"/>
    <s v="Home Office"/>
    <x v="2"/>
    <x v="6"/>
    <s v="Jumbo Drum"/>
    <s v="Epson LQ-870 Dot Matrix Printer"/>
    <n v="0.59"/>
    <s v="United States"/>
    <x v="1"/>
    <s v="Rhode Island"/>
    <s v="Barrington"/>
    <n v="2806"/>
    <x v="151"/>
    <d v="2015-03-03T00:00:00"/>
    <n v="4407.4399999999996"/>
    <n v="15"/>
    <x v="1035"/>
    <n v="87378"/>
    <x v="1045"/>
  </r>
  <r>
    <n v="19918"/>
    <s v="Low"/>
    <n v="0.09"/>
    <n v="78.8"/>
    <n v="35"/>
    <n v="1889"/>
    <s v="Oscar Bowers"/>
    <s v="Regular Air"/>
    <s v="Home Office"/>
    <x v="0"/>
    <x v="10"/>
    <s v="Large Box"/>
    <s v="Space Solutions™ Industrial Galvanized Steel Shelving."/>
    <n v="0.83"/>
    <s v="United States"/>
    <x v="1"/>
    <s v="Ohio"/>
    <s v="Kettering"/>
    <n v="45429"/>
    <x v="89"/>
    <d v="2015-04-21T00:00:00"/>
    <n v="-1025.0172"/>
    <n v="14"/>
    <x v="1036"/>
    <n v="90631"/>
    <x v="1046"/>
  </r>
  <r>
    <n v="23886"/>
    <s v="Not Specified"/>
    <n v="0.03"/>
    <n v="320.64"/>
    <n v="29.2"/>
    <n v="1891"/>
    <s v="Gretchen Levine"/>
    <s v="Delivery Truck"/>
    <s v="Home Office"/>
    <x v="1"/>
    <x v="11"/>
    <s v="Jumbo Box"/>
    <s v="Chromcraft 48&quot; x 96&quot; Racetrack Double Pedestal Table"/>
    <n v="0.66"/>
    <s v="United States"/>
    <x v="1"/>
    <s v="Ohio"/>
    <s v="Lima"/>
    <n v="45801"/>
    <x v="121"/>
    <d v="2015-04-07T00:00:00"/>
    <n v="429.75435599999997"/>
    <n v="7"/>
    <x v="1037"/>
    <n v="90630"/>
    <x v="1047"/>
  </r>
  <r>
    <n v="22858"/>
    <s v="Low"/>
    <n v="0.03"/>
    <n v="180.98"/>
    <n v="26.2"/>
    <n v="1893"/>
    <s v="Melanie Burgess"/>
    <s v="Delivery Truck"/>
    <s v="Consumer"/>
    <x v="1"/>
    <x v="1"/>
    <s v="Jumbo Drum"/>
    <s v="Global Ergonomic Managers Chair"/>
    <n v="0.59"/>
    <s v="United States"/>
    <x v="2"/>
    <s v="Missouri"/>
    <s v="Webster Groves"/>
    <n v="63119"/>
    <x v="138"/>
    <d v="2015-04-30T00:00:00"/>
    <n v="588.54"/>
    <n v="5"/>
    <x v="1038"/>
    <n v="91262"/>
    <x v="1048"/>
  </r>
  <r>
    <n v="23260"/>
    <s v="Critical"/>
    <n v="0"/>
    <n v="300.98"/>
    <n v="164.73"/>
    <n v="1894"/>
    <s v="Maureen Herbert Hood"/>
    <s v="Delivery Truck"/>
    <s v="Home Office"/>
    <x v="1"/>
    <x v="1"/>
    <s v="Jumbo Drum"/>
    <s v="Global Leather and Oak Executive Chair, Black"/>
    <n v="0.56000000000000005"/>
    <s v="United States"/>
    <x v="2"/>
    <s v="Wisconsin"/>
    <s v="Appleton"/>
    <n v="54915"/>
    <x v="152"/>
    <d v="2015-02-25T00:00:00"/>
    <n v="2653.2914999999998"/>
    <n v="12"/>
    <x v="1039"/>
    <n v="91261"/>
    <x v="1049"/>
  </r>
  <r>
    <n v="23261"/>
    <s v="Critical"/>
    <n v="0.09"/>
    <n v="2.94"/>
    <n v="0.96"/>
    <n v="1894"/>
    <s v="Maureen Herbert Hood"/>
    <s v="Regular Air"/>
    <s v="Home Office"/>
    <x v="0"/>
    <x v="0"/>
    <s v="Wrap Bag"/>
    <s v="Newell 343"/>
    <n v="0.57999999999999996"/>
    <s v="United States"/>
    <x v="2"/>
    <s v="Wisconsin"/>
    <s v="Appleton"/>
    <n v="54915"/>
    <x v="152"/>
    <d v="2015-02-26T00:00:00"/>
    <n v="-1.84"/>
    <n v="1"/>
    <x v="1040"/>
    <n v="91261"/>
    <x v="1050"/>
  </r>
  <r>
    <n v="23237"/>
    <s v="High"/>
    <n v="0.01"/>
    <n v="26.17"/>
    <n v="1.39"/>
    <n v="1894"/>
    <s v="Maureen Herbert Hood"/>
    <s v="Regular Air"/>
    <s v="Consumer"/>
    <x v="0"/>
    <x v="4"/>
    <s v="Small Box"/>
    <s v="Quality Park Security Envelopes"/>
    <n v="0.38"/>
    <s v="United States"/>
    <x v="2"/>
    <s v="Wisconsin"/>
    <s v="Appleton"/>
    <n v="54915"/>
    <x v="103"/>
    <d v="2015-03-19T00:00:00"/>
    <n v="237.04259999999999"/>
    <n v="13"/>
    <x v="1041"/>
    <n v="91263"/>
    <x v="1051"/>
  </r>
  <r>
    <n v="19048"/>
    <s v="Low"/>
    <n v="7.0000000000000007E-2"/>
    <n v="172.99"/>
    <n v="19.989999999999998"/>
    <n v="1906"/>
    <s v="Penny Tuttle"/>
    <s v="Regular Air"/>
    <s v="Corporate"/>
    <x v="0"/>
    <x v="8"/>
    <s v="Small Box"/>
    <s v="Ibico EB-19 Dual Function Manual Binding System"/>
    <n v="0.39"/>
    <s v="United States"/>
    <x v="1"/>
    <s v="Ohio"/>
    <s v="Lima"/>
    <n v="45801"/>
    <x v="28"/>
    <d v="2015-05-17T00:00:00"/>
    <n v="2502.6851999999999"/>
    <n v="22"/>
    <x v="1042"/>
    <n v="86500"/>
    <x v="1052"/>
  </r>
  <r>
    <n v="19049"/>
    <s v="Low"/>
    <n v="0.09"/>
    <n v="7.64"/>
    <n v="1.39"/>
    <n v="1907"/>
    <s v="Amy Hall"/>
    <s v="Regular Air"/>
    <s v="Corporate"/>
    <x v="0"/>
    <x v="4"/>
    <s v="Small Box"/>
    <s v="#10- 4 1/8&quot; x 9 1/2&quot; Security-Tint Envelopes"/>
    <n v="0.36"/>
    <s v="United States"/>
    <x v="1"/>
    <s v="Ohio"/>
    <s v="Lorain"/>
    <n v="44052"/>
    <x v="28"/>
    <d v="2015-05-26T00:00:00"/>
    <n v="0.68799999999999994"/>
    <n v="1"/>
    <x v="1043"/>
    <n v="86500"/>
    <x v="1053"/>
  </r>
  <r>
    <n v="23812"/>
    <s v="Not Specified"/>
    <n v="0.02"/>
    <n v="29.17"/>
    <n v="6.27"/>
    <n v="1910"/>
    <s v="Sean Stephenson"/>
    <s v="Regular Air"/>
    <s v="Home Office"/>
    <x v="0"/>
    <x v="8"/>
    <s v="Small Box"/>
    <s v="Binding Machine Supplies"/>
    <n v="0.37"/>
    <s v="United States"/>
    <x v="3"/>
    <s v="Georgia"/>
    <s v="Peachtree City"/>
    <n v="30269"/>
    <x v="167"/>
    <d v="2015-01-02T00:00:00"/>
    <n v="36.905999999999999"/>
    <n v="2"/>
    <x v="1044"/>
    <n v="91371"/>
    <x v="1054"/>
  </r>
  <r>
    <n v="18962"/>
    <s v="Critical"/>
    <n v="0.03"/>
    <n v="11.99"/>
    <n v="5.99"/>
    <n v="1916"/>
    <s v="Marcia Feldman"/>
    <s v="Regular Air"/>
    <s v="Home Office"/>
    <x v="2"/>
    <x v="6"/>
    <s v="Medium Box"/>
    <s v="TI 30X Scientific Calculator"/>
    <n v="0.36"/>
    <s v="United States"/>
    <x v="3"/>
    <s v="Arkansas"/>
    <s v="Little Rock"/>
    <n v="72209"/>
    <x v="139"/>
    <d v="2015-02-28T00:00:00"/>
    <n v="-216.02979999999999"/>
    <n v="7"/>
    <x v="1045"/>
    <n v="85893"/>
    <x v="1055"/>
  </r>
  <r>
    <n v="18016"/>
    <s v="High"/>
    <n v="0.01"/>
    <n v="125.99"/>
    <n v="8.99"/>
    <n v="1916"/>
    <s v="Marcia Feldman"/>
    <s v="Regular Air"/>
    <s v="Home Office"/>
    <x v="2"/>
    <x v="5"/>
    <s v="Small Box"/>
    <s v="SC7868i"/>
    <n v="0.55000000000000004"/>
    <s v="United States"/>
    <x v="3"/>
    <s v="Arkansas"/>
    <s v="Little Rock"/>
    <n v="72209"/>
    <x v="125"/>
    <d v="2015-04-18T00:00:00"/>
    <n v="-45.472000000000001"/>
    <n v="9"/>
    <x v="1046"/>
    <n v="85895"/>
    <x v="1056"/>
  </r>
  <r>
    <n v="21000"/>
    <s v="Medium"/>
    <n v="0.08"/>
    <n v="18.7"/>
    <n v="8.99"/>
    <n v="1917"/>
    <s v="Tracy Buckley"/>
    <s v="Regular Air"/>
    <s v="Home Office"/>
    <x v="1"/>
    <x v="2"/>
    <s v="Small Pack"/>
    <s v="Executive Impressions 13-1/2&quot; Indoor/Outdoor Wall Clock"/>
    <n v="0.47"/>
    <s v="United States"/>
    <x v="3"/>
    <s v="Arkansas"/>
    <s v="North Little Rock"/>
    <n v="72113"/>
    <x v="12"/>
    <d v="2015-03-28T00:00:00"/>
    <n v="16.136399999999998"/>
    <n v="7"/>
    <x v="1047"/>
    <n v="85894"/>
    <x v="1057"/>
  </r>
  <r>
    <n v="19967"/>
    <s v="High"/>
    <n v="0.08"/>
    <n v="22.23"/>
    <n v="3.63"/>
    <n v="1917"/>
    <s v="Tracy Buckley"/>
    <s v="Regular Air"/>
    <s v="Home Office"/>
    <x v="1"/>
    <x v="2"/>
    <s v="Small Pack"/>
    <s v="Executive Impressions 14&quot; Contract Wall Clock"/>
    <n v="0.52"/>
    <s v="United States"/>
    <x v="3"/>
    <s v="Arkansas"/>
    <s v="North Little Rock"/>
    <n v="72113"/>
    <x v="151"/>
    <d v="2015-03-03T00:00:00"/>
    <n v="-29.61"/>
    <n v="10"/>
    <x v="1048"/>
    <n v="85897"/>
    <x v="1058"/>
  </r>
  <r>
    <n v="22246"/>
    <s v="Low"/>
    <n v="0.1"/>
    <n v="10.44"/>
    <n v="5.75"/>
    <n v="1918"/>
    <s v="Hannah Tyson"/>
    <s v="Express Air"/>
    <s v="Home Office"/>
    <x v="0"/>
    <x v="8"/>
    <s v="Small Box"/>
    <s v="Avery® 3 1/2&quot; Diskette Storage Pages, 10/Pack"/>
    <n v="0.39"/>
    <s v="United States"/>
    <x v="3"/>
    <s v="Arkansas"/>
    <s v="Paragould"/>
    <n v="72450"/>
    <x v="36"/>
    <d v="2015-04-11T00:00:00"/>
    <n v="125.724"/>
    <n v="17"/>
    <x v="622"/>
    <n v="85898"/>
    <x v="1059"/>
  </r>
  <r>
    <n v="24971"/>
    <s v="High"/>
    <n v="0"/>
    <n v="195.99"/>
    <n v="8.99"/>
    <n v="1919"/>
    <s v="Nathan Jenkins"/>
    <s v="Regular Air"/>
    <s v="Home Office"/>
    <x v="2"/>
    <x v="5"/>
    <s v="Small Box"/>
    <s v="T28 WORLD"/>
    <n v="0.6"/>
    <s v="United States"/>
    <x v="3"/>
    <s v="Arkansas"/>
    <s v="Pine Bluff"/>
    <n v="71603"/>
    <x v="152"/>
    <d v="2015-02-25T00:00:00"/>
    <n v="114.88200000000001"/>
    <n v="5"/>
    <x v="1049"/>
    <n v="85896"/>
    <x v="1060"/>
  </r>
  <r>
    <n v="21563"/>
    <s v="High"/>
    <n v="0.02"/>
    <n v="259.70999999999998"/>
    <n v="66.67"/>
    <n v="1927"/>
    <s v="Earl Alston"/>
    <s v="Delivery Truck"/>
    <s v="Home Office"/>
    <x v="1"/>
    <x v="11"/>
    <s v="Jumbo Box"/>
    <s v="Bevis Round Bullnose 29&quot; High Table Top"/>
    <n v="0.65"/>
    <s v="United States"/>
    <x v="3"/>
    <s v="South Carolina"/>
    <s v="Greenville"/>
    <n v="29611"/>
    <x v="92"/>
    <d v="2015-02-06T00:00:00"/>
    <n v="-14.448"/>
    <n v="8"/>
    <x v="1050"/>
    <n v="88579"/>
    <x v="1061"/>
  </r>
  <r>
    <n v="22686"/>
    <s v="Not Specified"/>
    <n v="0.1"/>
    <n v="1889.99"/>
    <n v="19.989999999999998"/>
    <n v="1928"/>
    <s v="Gregory R Snow"/>
    <s v="Regular Air"/>
    <s v="Home Office"/>
    <x v="0"/>
    <x v="8"/>
    <s v="Small Box"/>
    <s v="Ibico EPK-21 Electric Binding System"/>
    <n v="0.36"/>
    <s v="United States"/>
    <x v="3"/>
    <s v="South Carolina"/>
    <s v="Greer"/>
    <n v="29651"/>
    <x v="72"/>
    <d v="2015-01-21T00:00:00"/>
    <n v="-42.545999999999999"/>
    <n v="1"/>
    <x v="1051"/>
    <n v="88580"/>
    <x v="1062"/>
  </r>
  <r>
    <n v="18159"/>
    <s v="Low"/>
    <n v="0.06"/>
    <n v="3.58"/>
    <n v="1.63"/>
    <n v="1933"/>
    <s v="William Crawford"/>
    <s v="Regular Air"/>
    <s v="Corporate"/>
    <x v="0"/>
    <x v="3"/>
    <s v="Wrap Bag"/>
    <s v="OIC Colored Binder Clips, Assorted Sizes"/>
    <n v="0.36"/>
    <s v="United States"/>
    <x v="2"/>
    <s v="Texas"/>
    <s v="Garland"/>
    <n v="75043"/>
    <x v="47"/>
    <d v="2015-04-23T00:00:00"/>
    <n v="14"/>
    <n v="10"/>
    <x v="1052"/>
    <n v="86687"/>
    <x v="1063"/>
  </r>
  <r>
    <n v="19697"/>
    <s v="Low"/>
    <n v="0.04"/>
    <n v="180.98"/>
    <n v="30"/>
    <n v="1934"/>
    <s v="Scott Moore"/>
    <s v="Delivery Truck"/>
    <s v="Home Office"/>
    <x v="1"/>
    <x v="1"/>
    <s v="Jumbo Drum"/>
    <s v="Office Star - Ergonomic Mid Back Chair with 2-Way Adjustable Arms"/>
    <n v="0.69"/>
    <s v="United States"/>
    <x v="2"/>
    <s v="Texas"/>
    <s v="Georgetown"/>
    <n v="78626"/>
    <x v="155"/>
    <d v="2015-05-30T00:00:00"/>
    <n v="52.988"/>
    <n v="3"/>
    <x v="1053"/>
    <n v="86688"/>
    <x v="1064"/>
  </r>
  <r>
    <n v="19780"/>
    <s v="Critical"/>
    <n v="0.01"/>
    <n v="42.98"/>
    <n v="4.62"/>
    <n v="1935"/>
    <s v="Diana Coble Hubbard"/>
    <s v="Express Air"/>
    <s v="Corporate"/>
    <x v="0"/>
    <x v="15"/>
    <s v="Small Box"/>
    <s v="Belkin F9M820V08 8 Outlet Surge"/>
    <n v="0.56000000000000005"/>
    <s v="United States"/>
    <x v="2"/>
    <s v="Texas"/>
    <s v="Grand Prairie"/>
    <n v="75051"/>
    <x v="4"/>
    <d v="2015-04-10T00:00:00"/>
    <n v="285.47370000000001"/>
    <n v="9"/>
    <x v="1054"/>
    <n v="86686"/>
    <x v="1065"/>
  </r>
  <r>
    <n v="19698"/>
    <s v="Low"/>
    <n v="0.06"/>
    <n v="3.25"/>
    <n v="49"/>
    <n v="1935"/>
    <s v="Diana Coble Hubbard"/>
    <s v="Regular Air"/>
    <s v="Home Office"/>
    <x v="0"/>
    <x v="15"/>
    <s v="Large Box"/>
    <s v="Bravo II™ Megaboss® 12-Amp Hard Body Upright, Replacement Belts, 2 Belts per Pack"/>
    <n v="0.56000000000000005"/>
    <s v="United States"/>
    <x v="2"/>
    <s v="Texas"/>
    <s v="Grand Prairie"/>
    <n v="75051"/>
    <x v="155"/>
    <d v="2015-06-05T00:00:00"/>
    <n v="10.507999999999999"/>
    <n v="2"/>
    <x v="1055"/>
    <n v="86688"/>
    <x v="1066"/>
  </r>
  <r>
    <n v="19699"/>
    <s v="Low"/>
    <n v="0.01"/>
    <n v="110.98"/>
    <n v="13.99"/>
    <n v="1935"/>
    <s v="Diana Coble Hubbard"/>
    <s v="Regular Air"/>
    <s v="Home Office"/>
    <x v="1"/>
    <x v="2"/>
    <s v="Medium Box"/>
    <s v="Rubbermaid ClusterMat Chairmats, Mat Size- 66&quot; x 60&quot;, Lip 20&quot; x 11&quot; -90 Degree Angle"/>
    <n v="0.69"/>
    <s v="United States"/>
    <x v="2"/>
    <s v="Texas"/>
    <s v="Grand Prairie"/>
    <n v="75051"/>
    <x v="155"/>
    <d v="2015-06-04T00:00:00"/>
    <n v="1448.7309"/>
    <n v="19"/>
    <x v="1056"/>
    <n v="86688"/>
    <x v="1067"/>
  </r>
  <r>
    <n v="19700"/>
    <s v="Low"/>
    <n v="0.05"/>
    <n v="3.95"/>
    <n v="2"/>
    <n v="1935"/>
    <s v="Diana Coble Hubbard"/>
    <s v="Express Air"/>
    <s v="Home Office"/>
    <x v="0"/>
    <x v="3"/>
    <s v="Wrap Bag"/>
    <s v="Advantus Map Pennant Flags and Round Head Tacks"/>
    <n v="0.53"/>
    <s v="United States"/>
    <x v="2"/>
    <s v="Texas"/>
    <s v="Grand Prairie"/>
    <n v="75051"/>
    <x v="155"/>
    <d v="2015-06-07T00:00:00"/>
    <n v="1.004"/>
    <n v="23"/>
    <x v="1057"/>
    <n v="86688"/>
    <x v="1068"/>
  </r>
  <r>
    <n v="23551"/>
    <s v="Medium"/>
    <n v="0.1"/>
    <n v="152.47999999999999"/>
    <n v="4"/>
    <n v="1938"/>
    <s v="Franklin Spencer"/>
    <s v="Express Air"/>
    <s v="Corporate"/>
    <x v="2"/>
    <x v="13"/>
    <s v="Small Box"/>
    <s v="Adesso Programmable 142-Key Keyboard"/>
    <n v="0.79"/>
    <s v="United States"/>
    <x v="2"/>
    <s v="Kansas"/>
    <s v="Emporia"/>
    <n v="66801"/>
    <x v="27"/>
    <d v="2015-03-23T00:00:00"/>
    <n v="-521.09"/>
    <n v="4"/>
    <x v="1058"/>
    <n v="88870"/>
    <x v="1069"/>
  </r>
  <r>
    <n v="23550"/>
    <s v="Medium"/>
    <n v="0.08"/>
    <n v="6.84"/>
    <n v="8.3699999999999992"/>
    <n v="1940"/>
    <s v="Eileen McDonald"/>
    <s v="Regular Air"/>
    <s v="Corporate"/>
    <x v="0"/>
    <x v="12"/>
    <s v="Small Pack"/>
    <s v="Acme Design Line 8&quot; Stainless Steel Bent Scissors w/Champagne Handles, 3-1/8&quot; Cut"/>
    <n v="0.57999999999999996"/>
    <s v="United States"/>
    <x v="0"/>
    <s v="Utah"/>
    <s v="Draper"/>
    <n v="84020"/>
    <x v="27"/>
    <d v="2015-03-24T00:00:00"/>
    <n v="-29.49"/>
    <n v="1"/>
    <x v="1059"/>
    <n v="88870"/>
    <x v="1070"/>
  </r>
  <r>
    <n v="25531"/>
    <s v="Low"/>
    <n v="0"/>
    <n v="78.650000000000006"/>
    <n v="13.99"/>
    <n v="1940"/>
    <s v="Eileen McDonald"/>
    <s v="Regular Air"/>
    <s v="Corporate"/>
    <x v="0"/>
    <x v="15"/>
    <s v="Medium Box"/>
    <s v="Honeywell Quietcare HEPA Air Cleaner"/>
    <n v="0.52"/>
    <s v="United States"/>
    <x v="0"/>
    <s v="Utah"/>
    <s v="Draper"/>
    <n v="84020"/>
    <x v="47"/>
    <d v="2015-04-26T00:00:00"/>
    <n v="386.00670000000002"/>
    <n v="7"/>
    <x v="1060"/>
    <n v="88871"/>
    <x v="1071"/>
  </r>
  <r>
    <n v="25532"/>
    <s v="Low"/>
    <n v="0.08"/>
    <n v="122.99"/>
    <n v="70.2"/>
    <n v="1940"/>
    <s v="Eileen McDonald"/>
    <s v="Delivery Truck"/>
    <s v="Corporate"/>
    <x v="1"/>
    <x v="1"/>
    <s v="Jumbo Drum"/>
    <s v="Global High-Back Leather Tilter, Burgundy"/>
    <n v="0.74"/>
    <s v="United States"/>
    <x v="0"/>
    <s v="Utah"/>
    <s v="Draper"/>
    <n v="84020"/>
    <x v="47"/>
    <d v="2015-04-24T00:00:00"/>
    <n v="-1867.97"/>
    <n v="10"/>
    <x v="1061"/>
    <n v="88871"/>
    <x v="1072"/>
  </r>
  <r>
    <n v="20371"/>
    <s v="Medium"/>
    <n v="0.08"/>
    <n v="90.98"/>
    <n v="56.2"/>
    <n v="1946"/>
    <s v="Teresa Wallace"/>
    <s v="Regular Air"/>
    <s v="Consumer"/>
    <x v="1"/>
    <x v="2"/>
    <s v="Medium Box"/>
    <s v="Eldon ClusterMat Chair Mat with Cordless Antistatic Protection"/>
    <n v="0.74"/>
    <s v="United States"/>
    <x v="1"/>
    <s v="Pennsylvania"/>
    <s v="Mount Lebanon"/>
    <n v="15228"/>
    <x v="161"/>
    <d v="2015-01-28T00:00:00"/>
    <n v="-1920.9336000000001"/>
    <n v="12"/>
    <x v="1062"/>
    <n v="86331"/>
    <x v="1073"/>
  </r>
  <r>
    <n v="20372"/>
    <s v="Medium"/>
    <n v="7.0000000000000007E-2"/>
    <n v="5.98"/>
    <n v="5.35"/>
    <n v="1946"/>
    <s v="Teresa Wallace"/>
    <s v="Regular Air"/>
    <s v="Consumer"/>
    <x v="0"/>
    <x v="7"/>
    <s v="Small Box"/>
    <s v="Xerox 1947"/>
    <n v="0.4"/>
    <s v="United States"/>
    <x v="1"/>
    <s v="Pennsylvania"/>
    <s v="Mount Lebanon"/>
    <n v="15228"/>
    <x v="161"/>
    <d v="2015-01-28T00:00:00"/>
    <n v="-37.175199999999997"/>
    <n v="3"/>
    <x v="1063"/>
    <n v="86331"/>
    <x v="1074"/>
  </r>
  <r>
    <n v="21762"/>
    <s v="Low"/>
    <n v="0.05"/>
    <n v="424.21"/>
    <n v="110.2"/>
    <n v="1949"/>
    <s v="Dana Waller"/>
    <s v="Delivery Truck"/>
    <s v="Small Business"/>
    <x v="1"/>
    <x v="11"/>
    <s v="Jumbo Box"/>
    <s v="Bush Advantage Collection® Racetrack Conference Table"/>
    <n v="0.67"/>
    <s v="United States"/>
    <x v="0"/>
    <s v="Montana"/>
    <s v="Bozeman"/>
    <n v="59715"/>
    <x v="108"/>
    <d v="2015-02-05T00:00:00"/>
    <n v="-213.40280000000001"/>
    <n v="12"/>
    <x v="1064"/>
    <n v="90415"/>
    <x v="1075"/>
  </r>
  <r>
    <n v="24793"/>
    <s v="Not Specified"/>
    <n v="0.01"/>
    <n v="6.68"/>
    <n v="4.91"/>
    <n v="1950"/>
    <s v="Leslie Shannon"/>
    <s v="Regular Air"/>
    <s v="Small Business"/>
    <x v="0"/>
    <x v="7"/>
    <s v="Small Box"/>
    <s v="Xerox 1986"/>
    <n v="0.37"/>
    <s v="United States"/>
    <x v="0"/>
    <s v="Montana"/>
    <s v="Butte"/>
    <n v="59750"/>
    <x v="61"/>
    <d v="2015-01-08T00:00:00"/>
    <n v="-15.48"/>
    <n v="7"/>
    <x v="1065"/>
    <n v="90414"/>
    <x v="1076"/>
  </r>
  <r>
    <n v="23378"/>
    <s v="High"/>
    <n v="0.09"/>
    <n v="40.98"/>
    <n v="6.5"/>
    <n v="1956"/>
    <s v="Justin Frank"/>
    <s v="Regular Air"/>
    <s v="Consumer"/>
    <x v="2"/>
    <x v="13"/>
    <s v="Small Box"/>
    <s v="Targus USB Numeric Keypad"/>
    <n v="0.74"/>
    <s v="United States"/>
    <x v="0"/>
    <s v="Colorado"/>
    <s v="Louisville"/>
    <n v="80027"/>
    <x v="117"/>
    <d v="2015-06-21T00:00:00"/>
    <n v="-50.244999999999997"/>
    <n v="19"/>
    <x v="1066"/>
    <n v="89820"/>
    <x v="1077"/>
  </r>
  <r>
    <n v="21638"/>
    <s v="High"/>
    <n v="0.09"/>
    <n v="77.510000000000005"/>
    <n v="4"/>
    <n v="1957"/>
    <s v="Ted Crowder"/>
    <s v="Regular Air"/>
    <s v="Consumer"/>
    <x v="2"/>
    <x v="13"/>
    <s v="Small Box"/>
    <s v="Micro Innovations Media Access Pro Keyboard"/>
    <n v="0.76"/>
    <s v="United States"/>
    <x v="2"/>
    <s v="Missouri"/>
    <s v="University City"/>
    <n v="63130"/>
    <x v="74"/>
    <d v="2015-04-09T00:00:00"/>
    <n v="-387.1044"/>
    <n v="1"/>
    <x v="1067"/>
    <n v="89818"/>
    <x v="1078"/>
  </r>
  <r>
    <n v="24640"/>
    <s v="Low"/>
    <n v="0.09"/>
    <n v="30.98"/>
    <n v="6.5"/>
    <n v="1958"/>
    <s v="Vickie Martinez"/>
    <s v="Express Air"/>
    <s v="Consumer"/>
    <x v="2"/>
    <x v="13"/>
    <s v="Small Box"/>
    <s v="Belkin ErgoBoard™ Keyboard"/>
    <n v="0.64"/>
    <s v="United States"/>
    <x v="0"/>
    <s v="Oregon"/>
    <s v="West Linn"/>
    <n v="97068"/>
    <x v="49"/>
    <d v="2015-06-22T00:00:00"/>
    <n v="-55.97"/>
    <n v="7"/>
    <x v="1068"/>
    <n v="89819"/>
    <x v="1079"/>
  </r>
  <r>
    <n v="3956"/>
    <s v="Critical"/>
    <n v="0"/>
    <n v="20.28"/>
    <n v="14.39"/>
    <n v="1959"/>
    <s v="Bonnie Matthews Rowland"/>
    <s v="Regular Air"/>
    <s v="Corporate"/>
    <x v="1"/>
    <x v="2"/>
    <s v="Small Box"/>
    <s v="Career Cubicle Clock, 8 1/4&quot;, Black"/>
    <n v="0.47"/>
    <s v="United States"/>
    <x v="3"/>
    <s v="Florida"/>
    <s v="Miami"/>
    <n v="33916"/>
    <x v="46"/>
    <d v="2015-01-22T00:00:00"/>
    <n v="-66.247299999999996"/>
    <n v="9"/>
    <x v="1069"/>
    <n v="28225"/>
    <x v="1080"/>
  </r>
  <r>
    <n v="3684"/>
    <s v="Low"/>
    <n v="0.02"/>
    <n v="9.99"/>
    <n v="11.59"/>
    <n v="1959"/>
    <s v="Bonnie Matthews Rowland"/>
    <s v="Regular Air"/>
    <s v="Home Office"/>
    <x v="0"/>
    <x v="7"/>
    <s v="Small Box"/>
    <s v="Hammermill Color Copier Paper (28Lb. and 96 Bright)"/>
    <n v="0.4"/>
    <s v="United States"/>
    <x v="3"/>
    <s v="Florida"/>
    <s v="Miami"/>
    <n v="33916"/>
    <x v="106"/>
    <d v="2015-04-27T00:00:00"/>
    <n v="-171.15770000000001"/>
    <n v="43"/>
    <x v="1070"/>
    <n v="26342"/>
    <x v="1081"/>
  </r>
  <r>
    <n v="3685"/>
    <s v="Low"/>
    <n v="0.02"/>
    <n v="48.04"/>
    <n v="5.79"/>
    <n v="1959"/>
    <s v="Bonnie Matthews Rowland"/>
    <s v="Regular Air"/>
    <s v="Home Office"/>
    <x v="0"/>
    <x v="7"/>
    <s v="Small Box"/>
    <s v="Xerox 1937"/>
    <n v="0.37"/>
    <s v="United States"/>
    <x v="3"/>
    <s v="Florida"/>
    <s v="Miami"/>
    <n v="33916"/>
    <x v="106"/>
    <d v="2015-04-23T00:00:00"/>
    <n v="624.23900000000003"/>
    <n v="74"/>
    <x v="1071"/>
    <n v="26342"/>
    <x v="1082"/>
  </r>
  <r>
    <n v="3686"/>
    <s v="Low"/>
    <n v="0.04"/>
    <n v="6.68"/>
    <n v="4.91"/>
    <n v="1959"/>
    <s v="Bonnie Matthews Rowland"/>
    <s v="Regular Air"/>
    <s v="Home Office"/>
    <x v="0"/>
    <x v="7"/>
    <s v="Small Box"/>
    <s v="Xerox 1986"/>
    <n v="0.37"/>
    <s v="United States"/>
    <x v="3"/>
    <s v="Florida"/>
    <s v="Miami"/>
    <n v="33916"/>
    <x v="106"/>
    <d v="2015-04-25T00:00:00"/>
    <n v="-14.3241"/>
    <n v="5"/>
    <x v="1072"/>
    <n v="26342"/>
    <x v="1083"/>
  </r>
  <r>
    <n v="21685"/>
    <s v="Low"/>
    <n v="0.02"/>
    <n v="48.04"/>
    <n v="5.79"/>
    <n v="1962"/>
    <s v="Sean Burton"/>
    <s v="Regular Air"/>
    <s v="Home Office"/>
    <x v="0"/>
    <x v="7"/>
    <s v="Small Box"/>
    <s v="Xerox 1937"/>
    <n v="0.37"/>
    <s v="United States"/>
    <x v="2"/>
    <s v="Michigan"/>
    <s v="Saginaw"/>
    <n v="48601"/>
    <x v="106"/>
    <d v="2015-04-23T00:00:00"/>
    <n v="604.01909999999998"/>
    <n v="18"/>
    <x v="1073"/>
    <n v="88857"/>
    <x v="1084"/>
  </r>
  <r>
    <n v="21686"/>
    <s v="Low"/>
    <n v="0.04"/>
    <n v="6.68"/>
    <n v="4.91"/>
    <n v="1962"/>
    <s v="Sean Burton"/>
    <s v="Regular Air"/>
    <s v="Home Office"/>
    <x v="0"/>
    <x v="7"/>
    <s v="Small Box"/>
    <s v="Xerox 1986"/>
    <n v="0.37"/>
    <s v="United States"/>
    <x v="2"/>
    <s v="Michigan"/>
    <s v="Saginaw"/>
    <n v="48601"/>
    <x v="106"/>
    <d v="2015-04-25T00:00:00"/>
    <n v="-11.631600000000001"/>
    <n v="1"/>
    <x v="1074"/>
    <n v="88857"/>
    <x v="1085"/>
  </r>
  <r>
    <n v="22488"/>
    <s v="Medium"/>
    <n v="0.01"/>
    <n v="78.650000000000006"/>
    <n v="13.99"/>
    <n v="1967"/>
    <s v="Carolyn Hoffman"/>
    <s v="Express Air"/>
    <s v="Small Business"/>
    <x v="0"/>
    <x v="15"/>
    <s v="Medium Box"/>
    <s v="Honeywell Quietcare HEPA Air Cleaner"/>
    <n v="0.52"/>
    <s v="United States"/>
    <x v="2"/>
    <s v="Iowa"/>
    <s v="Clinton"/>
    <n v="52732"/>
    <x v="103"/>
    <d v="2015-03-19T00:00:00"/>
    <n v="442.36590000000001"/>
    <n v="8"/>
    <x v="1075"/>
    <n v="89456"/>
    <x v="1086"/>
  </r>
  <r>
    <n v="26220"/>
    <s v="Medium"/>
    <n v="0.02"/>
    <n v="11.58"/>
    <n v="5.72"/>
    <n v="1971"/>
    <s v="Marsha Roy"/>
    <s v="Regular Air"/>
    <s v="Corporate"/>
    <x v="0"/>
    <x v="4"/>
    <s v="Small Box"/>
    <s v="Peel &amp; Seel® Recycled Catalog Envelopes, Brown"/>
    <n v="0.35"/>
    <s v="United States"/>
    <x v="3"/>
    <s v="Mississippi"/>
    <s v="Tupelo"/>
    <n v="38801"/>
    <x v="174"/>
    <d v="2015-01-19T00:00:00"/>
    <n v="-259.75599999999997"/>
    <n v="3"/>
    <x v="234"/>
    <n v="91550"/>
    <x v="1087"/>
  </r>
  <r>
    <n v="26223"/>
    <s v="Medium"/>
    <n v="0.05"/>
    <n v="350.99"/>
    <n v="39"/>
    <n v="1972"/>
    <s v="Priscilla Brandon"/>
    <s v="Delivery Truck"/>
    <s v="Corporate"/>
    <x v="1"/>
    <x v="1"/>
    <s v="Jumbo Drum"/>
    <s v="Global Leather Executive Chair"/>
    <n v="0.55000000000000004"/>
    <s v="United States"/>
    <x v="1"/>
    <s v="Pennsylvania"/>
    <s v="Willow Grove"/>
    <n v="19090"/>
    <x v="174"/>
    <d v="2015-01-20T00:00:00"/>
    <n v="1469.7275999999999"/>
    <n v="6"/>
    <x v="1076"/>
    <n v="91550"/>
    <x v="1088"/>
  </r>
  <r>
    <n v="26224"/>
    <s v="Medium"/>
    <n v="0.04"/>
    <n v="15.99"/>
    <n v="9.4"/>
    <n v="1972"/>
    <s v="Priscilla Brandon"/>
    <s v="Express Air"/>
    <s v="Corporate"/>
    <x v="2"/>
    <x v="6"/>
    <s v="Small Box"/>
    <s v="AT&amp;T Black Trimline Phone, Model 210"/>
    <n v="0.49"/>
    <s v="United States"/>
    <x v="1"/>
    <s v="Pennsylvania"/>
    <s v="Willow Grove"/>
    <n v="19090"/>
    <x v="174"/>
    <d v="2015-01-20T00:00:00"/>
    <n v="-83.553060000000002"/>
    <n v="5"/>
    <x v="1077"/>
    <n v="91550"/>
    <x v="1089"/>
  </r>
  <r>
    <n v="18795"/>
    <s v="Medium"/>
    <n v="0.09"/>
    <n v="20.48"/>
    <n v="6.32"/>
    <n v="1974"/>
    <s v="Robert Brantley"/>
    <s v="Regular Air"/>
    <s v="Consumer"/>
    <x v="0"/>
    <x v="15"/>
    <s v="Small Box"/>
    <s v="Kensington 6 Outlet Guardian Standard Surge Protector"/>
    <n v="0.57999999999999996"/>
    <s v="United States"/>
    <x v="2"/>
    <s v="Michigan"/>
    <s v="Dearborn Heights"/>
    <n v="48127"/>
    <x v="135"/>
    <d v="2015-05-21T00:00:00"/>
    <n v="-16.89"/>
    <n v="5"/>
    <x v="1078"/>
    <n v="89040"/>
    <x v="1090"/>
  </r>
  <r>
    <n v="18796"/>
    <s v="Medium"/>
    <n v="0.06"/>
    <n v="15.67"/>
    <n v="1.39"/>
    <n v="1974"/>
    <s v="Robert Brantley"/>
    <s v="Regular Air"/>
    <s v="Consumer"/>
    <x v="0"/>
    <x v="4"/>
    <s v="Small Box"/>
    <s v="#10 White Business Envelopes,4 1/8 x 9 1/2"/>
    <n v="0.38"/>
    <s v="United States"/>
    <x v="2"/>
    <s v="Michigan"/>
    <s v="Dearborn Heights"/>
    <n v="48127"/>
    <x v="135"/>
    <d v="2015-05-21T00:00:00"/>
    <n v="25.51"/>
    <n v="3"/>
    <x v="1079"/>
    <n v="89040"/>
    <x v="1091"/>
  </r>
  <r>
    <n v="25731"/>
    <s v="Critical"/>
    <n v="0.05"/>
    <n v="70.98"/>
    <n v="46.74"/>
    <n v="1976"/>
    <s v="Sherri F Vogel"/>
    <s v="Delivery Truck"/>
    <s v="Consumer"/>
    <x v="1"/>
    <x v="14"/>
    <s v="Jumbo Box"/>
    <s v="Hon Metal Bookcases, Putty"/>
    <n v="0.56000000000000005"/>
    <s v="United States"/>
    <x v="2"/>
    <s v="Michigan"/>
    <s v="East Lansing"/>
    <n v="48823"/>
    <x v="56"/>
    <d v="2015-01-11T00:00:00"/>
    <n v="-850.65239999999994"/>
    <n v="8"/>
    <x v="1080"/>
    <n v="89039"/>
    <x v="1092"/>
  </r>
  <r>
    <n v="25732"/>
    <s v="Critical"/>
    <n v="0.05"/>
    <n v="11.55"/>
    <n v="2.36"/>
    <n v="1976"/>
    <s v="Sherri F Vogel"/>
    <s v="Regular Air"/>
    <s v="Consumer"/>
    <x v="0"/>
    <x v="0"/>
    <s v="Wrap Bag"/>
    <s v="Newell 309"/>
    <n v="0.55000000000000004"/>
    <s v="United States"/>
    <x v="2"/>
    <s v="Michigan"/>
    <s v="East Lansing"/>
    <n v="48823"/>
    <x v="56"/>
    <d v="2015-01-12T00:00:00"/>
    <n v="98.525099999999995"/>
    <n v="12"/>
    <x v="1081"/>
    <n v="89039"/>
    <x v="1093"/>
  </r>
  <r>
    <n v="24887"/>
    <s v="Critical"/>
    <n v="0.06"/>
    <n v="40.99"/>
    <n v="17.48"/>
    <n v="1976"/>
    <s v="Sherri F Vogel"/>
    <s v="Regular Air"/>
    <s v="Consumer"/>
    <x v="0"/>
    <x v="7"/>
    <s v="Small Box"/>
    <s v="Xerox 1893"/>
    <n v="0.36"/>
    <s v="United States"/>
    <x v="2"/>
    <s v="Michigan"/>
    <s v="East Lansing"/>
    <n v="48823"/>
    <x v="165"/>
    <d v="2015-03-25T00:00:00"/>
    <n v="214.23"/>
    <n v="14"/>
    <x v="1082"/>
    <n v="89041"/>
    <x v="1094"/>
  </r>
  <r>
    <n v="21692"/>
    <s v="Not Specified"/>
    <n v="0.05"/>
    <n v="20.99"/>
    <n v="3.3"/>
    <n v="1979"/>
    <s v="Marianne Weiner Ennis"/>
    <s v="Regular Air"/>
    <s v="Corporate"/>
    <x v="2"/>
    <x v="5"/>
    <s v="Small Pack"/>
    <s v="Accessory39"/>
    <n v="0.81"/>
    <s v="United States"/>
    <x v="0"/>
    <s v="Colorado"/>
    <s v="Littleton"/>
    <n v="80122"/>
    <x v="130"/>
    <d v="2015-05-06T00:00:00"/>
    <n v="21.883400000000002"/>
    <n v="4"/>
    <x v="1083"/>
    <n v="87757"/>
    <x v="1095"/>
  </r>
  <r>
    <n v="24935"/>
    <s v="Not Specified"/>
    <n v="0.1"/>
    <n v="7.37"/>
    <n v="5.53"/>
    <n v="1984"/>
    <s v="Lynne Wilcox"/>
    <s v="Regular Air"/>
    <s v="Consumer"/>
    <x v="2"/>
    <x v="13"/>
    <s v="Small Pack"/>
    <s v="Imation 3.5&quot; Unformatted DS/HD Diskettes, 10/Box"/>
    <n v="0.69"/>
    <s v="United States"/>
    <x v="3"/>
    <s v="South Carolina"/>
    <s v="Hilton Head Island"/>
    <n v="29915"/>
    <x v="41"/>
    <d v="2015-05-16T00:00:00"/>
    <n v="290.202"/>
    <n v="38"/>
    <x v="1084"/>
    <n v="91258"/>
    <x v="1096"/>
  </r>
  <r>
    <n v="20568"/>
    <s v="Not Specified"/>
    <n v="0.01"/>
    <n v="15.31"/>
    <n v="8.7799999999999994"/>
    <n v="1986"/>
    <s v="Lynda Rosenthal"/>
    <s v="Regular Air"/>
    <s v="Home Office"/>
    <x v="0"/>
    <x v="10"/>
    <s v="Small Box"/>
    <s v="Eldon Jumbo ProFile™ Portable File Boxes Graphite/Black"/>
    <n v="0.56999999999999995"/>
    <s v="United States"/>
    <x v="2"/>
    <s v="Texas"/>
    <s v="Midland"/>
    <n v="79701"/>
    <x v="166"/>
    <d v="2015-05-07T00:00:00"/>
    <n v="12.146000000000001"/>
    <n v="23"/>
    <x v="1085"/>
    <n v="90888"/>
    <x v="1097"/>
  </r>
  <r>
    <n v="20569"/>
    <s v="Not Specified"/>
    <n v="0.05"/>
    <n v="7.99"/>
    <n v="5.03"/>
    <n v="1986"/>
    <s v="Lynda Rosenthal"/>
    <s v="Express Air"/>
    <s v="Home Office"/>
    <x v="2"/>
    <x v="5"/>
    <s v="Medium Box"/>
    <s v="Bell Sonecor JB700 Caller ID"/>
    <n v="0.6"/>
    <s v="United States"/>
    <x v="2"/>
    <s v="Texas"/>
    <s v="Midland"/>
    <n v="79701"/>
    <x v="166"/>
    <d v="2015-05-08T00:00:00"/>
    <n v="5.6870000000000003"/>
    <n v="4"/>
    <x v="1086"/>
    <n v="90888"/>
    <x v="1098"/>
  </r>
  <r>
    <n v="19336"/>
    <s v="High"/>
    <n v="0.05"/>
    <n v="20.98"/>
    <n v="21.2"/>
    <n v="1988"/>
    <s v="Anna Burgess"/>
    <s v="Regular Air"/>
    <s v="Home Office"/>
    <x v="1"/>
    <x v="2"/>
    <s v="Medium Box"/>
    <s v="36X48 HARDFLOOR CHAIRMAT"/>
    <n v="0.78"/>
    <s v="United States"/>
    <x v="0"/>
    <s v="Utah"/>
    <s v="Draper"/>
    <n v="84020"/>
    <x v="35"/>
    <d v="2015-01-04T00:00:00"/>
    <n v="-181.102"/>
    <n v="3"/>
    <x v="1087"/>
    <n v="89999"/>
    <x v="1099"/>
  </r>
  <r>
    <n v="22600"/>
    <s v="Not Specified"/>
    <n v="0.04"/>
    <n v="355.98"/>
    <n v="58.92"/>
    <n v="1989"/>
    <s v="David Weaver"/>
    <s v="Delivery Truck"/>
    <s v="Home Office"/>
    <x v="1"/>
    <x v="1"/>
    <s v="Jumbo Drum"/>
    <s v="Hon 4700 Series Mobuis™ Mid-Back Task Chairs with Adjustable Arms"/>
    <n v="0.64"/>
    <s v="United States"/>
    <x v="0"/>
    <s v="Utah"/>
    <s v="Holladay"/>
    <n v="84117"/>
    <x v="72"/>
    <d v="2015-01-22T00:00:00"/>
    <n v="882.93"/>
    <n v="8"/>
    <x v="1088"/>
    <n v="90000"/>
    <x v="1100"/>
  </r>
  <r>
    <n v="22601"/>
    <s v="Not Specified"/>
    <n v="0.09"/>
    <n v="19.98"/>
    <n v="8.68"/>
    <n v="1989"/>
    <s v="David Weaver"/>
    <s v="Regular Air"/>
    <s v="Home Office"/>
    <x v="0"/>
    <x v="7"/>
    <s v="Small Box"/>
    <s v="Southworth 25% Cotton Premium Laser Paper and Envelopes"/>
    <n v="0.37"/>
    <s v="United States"/>
    <x v="0"/>
    <s v="Utah"/>
    <s v="Holladay"/>
    <n v="84117"/>
    <x v="72"/>
    <d v="2015-01-22T00:00:00"/>
    <n v="6.6803999999999997"/>
    <n v="5"/>
    <x v="1089"/>
    <n v="90000"/>
    <x v="1101"/>
  </r>
  <r>
    <n v="20554"/>
    <s v="High"/>
    <n v="0.01"/>
    <n v="30.98"/>
    <n v="6.5"/>
    <n v="1989"/>
    <s v="David Weaver"/>
    <s v="Regular Air"/>
    <s v="Corporate"/>
    <x v="2"/>
    <x v="13"/>
    <s v="Small Box"/>
    <s v="Belkin ErgoBoard™ Keyboard"/>
    <n v="0.64"/>
    <s v="United States"/>
    <x v="0"/>
    <s v="Utah"/>
    <s v="Holladay"/>
    <n v="84117"/>
    <x v="7"/>
    <d v="2015-05-16T00:00:00"/>
    <n v="46.29"/>
    <n v="11"/>
    <x v="1090"/>
    <n v="90001"/>
    <x v="1102"/>
  </r>
  <r>
    <n v="20555"/>
    <s v="High"/>
    <n v="0.01"/>
    <n v="40.99"/>
    <n v="19.989999999999998"/>
    <n v="1989"/>
    <s v="David Weaver"/>
    <s v="Regular Air"/>
    <s v="Corporate"/>
    <x v="0"/>
    <x v="7"/>
    <s v="Small Box"/>
    <s v="White Dual Perf Computer Printout Paper, 2700 Sheets, 1 Part, Heavyweight, 20 lbs., 14 7/8 x 11"/>
    <n v="0.36"/>
    <s v="United States"/>
    <x v="0"/>
    <s v="Utah"/>
    <s v="Holladay"/>
    <n v="84117"/>
    <x v="7"/>
    <d v="2015-05-18T00:00:00"/>
    <n v="177.79"/>
    <n v="11"/>
    <x v="1091"/>
    <n v="90001"/>
    <x v="1103"/>
  </r>
  <r>
    <n v="21723"/>
    <s v="Medium"/>
    <n v="0.1"/>
    <n v="1.6"/>
    <n v="1.29"/>
    <n v="1989"/>
    <s v="David Weaver"/>
    <s v="Regular Air"/>
    <s v="Home Office"/>
    <x v="0"/>
    <x v="0"/>
    <s v="Wrap Bag"/>
    <s v="Sanford Pocket Accent® Highlighters"/>
    <n v="0.42"/>
    <s v="United States"/>
    <x v="0"/>
    <s v="Utah"/>
    <s v="Holladay"/>
    <n v="84117"/>
    <x v="122"/>
    <d v="2015-04-30T00:00:00"/>
    <n v="-14.990399999999999"/>
    <n v="11"/>
    <x v="1092"/>
    <n v="90003"/>
    <x v="1104"/>
  </r>
  <r>
    <n v="25417"/>
    <s v="Medium"/>
    <n v="0"/>
    <n v="47.9"/>
    <n v="5.86"/>
    <n v="1991"/>
    <s v="Paula Hubbard"/>
    <s v="Regular Air"/>
    <s v="Home Office"/>
    <x v="0"/>
    <x v="7"/>
    <s v="Small Box"/>
    <s v="Xerox 1938"/>
    <n v="0.37"/>
    <s v="United States"/>
    <x v="0"/>
    <s v="Utah"/>
    <s v="Kearns"/>
    <n v="84118"/>
    <x v="11"/>
    <d v="2015-02-24T00:00:00"/>
    <n v="638.38109999999995"/>
    <n v="18"/>
    <x v="1093"/>
    <n v="90002"/>
    <x v="1105"/>
  </r>
  <r>
    <n v="19797"/>
    <s v="Not Specified"/>
    <n v="0.1"/>
    <n v="125.99"/>
    <n v="8.99"/>
    <n v="1997"/>
    <s v="Harriet Bowman"/>
    <s v="Regular Air"/>
    <s v="Consumer"/>
    <x v="2"/>
    <x v="5"/>
    <s v="Small Box"/>
    <s v="5170i"/>
    <n v="0.56999999999999995"/>
    <s v="United States"/>
    <x v="3"/>
    <s v="South Carolina"/>
    <s v="Hilton Head Island"/>
    <n v="29915"/>
    <x v="51"/>
    <d v="2015-01-28T00:00:00"/>
    <n v="17.652000000000001"/>
    <n v="4"/>
    <x v="1094"/>
    <n v="90333"/>
    <x v="1106"/>
  </r>
  <r>
    <n v="19581"/>
    <s v="Medium"/>
    <n v="0.01"/>
    <n v="16.48"/>
    <n v="1.99"/>
    <n v="1997"/>
    <s v="Harriet Bowman"/>
    <s v="Regular Air"/>
    <s v="Consumer"/>
    <x v="2"/>
    <x v="13"/>
    <s v="Small Pack"/>
    <s v="Maxell DVD-RAM Discs"/>
    <n v="0.42"/>
    <s v="United States"/>
    <x v="3"/>
    <s v="South Carolina"/>
    <s v="Hilton Head Island"/>
    <n v="29915"/>
    <x v="163"/>
    <d v="2015-05-08T00:00:00"/>
    <n v="739.67399999999998"/>
    <n v="7"/>
    <x v="1095"/>
    <n v="90334"/>
    <x v="1107"/>
  </r>
  <r>
    <n v="21003"/>
    <s v="Low"/>
    <n v="0"/>
    <n v="24.92"/>
    <n v="12.98"/>
    <n v="1997"/>
    <s v="Harriet Bowman"/>
    <s v="Regular Air"/>
    <s v="Consumer"/>
    <x v="0"/>
    <x v="8"/>
    <s v="Small Box"/>
    <s v="GBC Standard Therm-A-Bind Covers"/>
    <n v="0.39"/>
    <s v="United States"/>
    <x v="3"/>
    <s v="South Carolina"/>
    <s v="Hilton Head Island"/>
    <n v="29915"/>
    <x v="42"/>
    <d v="2015-06-02T00:00:00"/>
    <n v="-23.155999999999999"/>
    <n v="1"/>
    <x v="1096"/>
    <n v="90335"/>
    <x v="1108"/>
  </r>
  <r>
    <n v="20392"/>
    <s v="Not Specified"/>
    <n v="0.06"/>
    <n v="4.42"/>
    <n v="4.99"/>
    <n v="1998"/>
    <s v="Judy Frazier"/>
    <s v="Regular Air"/>
    <s v="Corporate"/>
    <x v="0"/>
    <x v="4"/>
    <s v="Small Box"/>
    <s v="Grip Seal Envelopes"/>
    <n v="0.38"/>
    <s v="United States"/>
    <x v="1"/>
    <s v="New York"/>
    <s v="East Massapequa"/>
    <n v="11758"/>
    <x v="26"/>
    <d v="2015-06-05T00:00:00"/>
    <n v="-10.435"/>
    <n v="3"/>
    <x v="1097"/>
    <n v="90568"/>
    <x v="1109"/>
  </r>
  <r>
    <n v="24075"/>
    <s v="Medium"/>
    <n v="0.06"/>
    <n v="4.24"/>
    <n v="5.41"/>
    <n v="2004"/>
    <s v="James Dickinson Ball"/>
    <s v="Regular Air"/>
    <s v="Home Office"/>
    <x v="0"/>
    <x v="8"/>
    <s v="Small Box"/>
    <s v="Storex DuraTech Recycled Plastic Frosted Binders"/>
    <n v="0.35"/>
    <s v="United States"/>
    <x v="0"/>
    <s v="Montana"/>
    <s v="Bozeman"/>
    <n v="59715"/>
    <x v="89"/>
    <d v="2015-04-19T00:00:00"/>
    <n v="-78.916679999999999"/>
    <n v="10"/>
    <x v="1098"/>
    <n v="91277"/>
    <x v="1110"/>
  </r>
  <r>
    <n v="24076"/>
    <s v="Medium"/>
    <n v="0.04"/>
    <n v="6783.02"/>
    <n v="24.49"/>
    <n v="2004"/>
    <s v="James Dickinson Ball"/>
    <s v="Regular Air"/>
    <s v="Home Office"/>
    <x v="2"/>
    <x v="6"/>
    <s v="Large Box"/>
    <s v="Polycom ViewStation™ ISDN Videoconferencing Unit"/>
    <n v="0.39"/>
    <s v="United States"/>
    <x v="0"/>
    <s v="Montana"/>
    <s v="Bozeman"/>
    <n v="59715"/>
    <x v="89"/>
    <d v="2015-04-19T00:00:00"/>
    <n v="-13562.637409999999"/>
    <n v="1"/>
    <x v="1099"/>
    <n v="91277"/>
    <x v="1111"/>
  </r>
  <r>
    <n v="25251"/>
    <s v="Not Specified"/>
    <n v="0.03"/>
    <n v="5.78"/>
    <n v="5.37"/>
    <n v="2006"/>
    <s v="Cynthia Khan"/>
    <s v="Regular Air"/>
    <s v="Home Office"/>
    <x v="0"/>
    <x v="7"/>
    <s v="Small Box"/>
    <s v="Xerox 1950"/>
    <n v="0.36"/>
    <s v="United States"/>
    <x v="0"/>
    <s v="Colorado"/>
    <s v="Durango"/>
    <n v="81301"/>
    <x v="93"/>
    <d v="2015-03-06T00:00:00"/>
    <n v="-63.35"/>
    <n v="15"/>
    <x v="1100"/>
    <n v="88798"/>
    <x v="1112"/>
  </r>
  <r>
    <n v="20006"/>
    <s v="Medium"/>
    <n v="0.1"/>
    <n v="10.48"/>
    <n v="2.89"/>
    <n v="2016"/>
    <s v="Wayne Bean"/>
    <s v="Regular Air"/>
    <s v="Corporate"/>
    <x v="0"/>
    <x v="0"/>
    <s v="Small Pack"/>
    <s v="Staples Battery-Operated Desktop Pencil Sharpener"/>
    <n v="0.6"/>
    <s v="United States"/>
    <x v="2"/>
    <s v="Michigan"/>
    <s v="Southgate"/>
    <n v="48195"/>
    <x v="49"/>
    <d v="2015-06-19T00:00:00"/>
    <n v="-8.9039999999999999"/>
    <n v="4"/>
    <x v="1101"/>
    <n v="86874"/>
    <x v="1113"/>
  </r>
  <r>
    <n v="18989"/>
    <s v="High"/>
    <n v="7.0000000000000007E-2"/>
    <n v="39.479999999999997"/>
    <n v="1.99"/>
    <n v="2014"/>
    <s v="Cathy Simon"/>
    <s v="Regular Air"/>
    <s v="Home Office"/>
    <x v="2"/>
    <x v="13"/>
    <s v="Small Pack"/>
    <s v="80 Minute CD-R Spindle, 100/Pack - Staples"/>
    <n v="0.54"/>
    <s v="United States"/>
    <x v="2"/>
    <s v="Iowa"/>
    <s v="Council Bluffs"/>
    <n v="51503"/>
    <x v="27"/>
    <d v="2015-03-24T00:00:00"/>
    <n v="88.72"/>
    <n v="4"/>
    <x v="1102"/>
    <n v="88367"/>
    <x v="1114"/>
  </r>
  <r>
    <n v="18990"/>
    <s v="High"/>
    <n v="0"/>
    <n v="4.91"/>
    <n v="0.5"/>
    <n v="2014"/>
    <s v="Cathy Simon"/>
    <s v="Regular Air"/>
    <s v="Home Office"/>
    <x v="0"/>
    <x v="9"/>
    <s v="Small Box"/>
    <s v="Avery 493"/>
    <n v="0.36"/>
    <s v="United States"/>
    <x v="2"/>
    <s v="Iowa"/>
    <s v="Council Bluffs"/>
    <n v="51503"/>
    <x v="27"/>
    <d v="2015-03-24T00:00:00"/>
    <n v="7.2519"/>
    <n v="2"/>
    <x v="1103"/>
    <n v="88367"/>
    <x v="1115"/>
  </r>
  <r>
    <n v="21573"/>
    <s v="Critical"/>
    <n v="0.06"/>
    <n v="6.48"/>
    <n v="7.49"/>
    <n v="2014"/>
    <s v="Cathy Simon"/>
    <s v="Regular Air"/>
    <s v="Home Office"/>
    <x v="0"/>
    <x v="7"/>
    <s v="Small Box"/>
    <s v="Xerox 220"/>
    <n v="0.37"/>
    <s v="United States"/>
    <x v="2"/>
    <s v="Iowa"/>
    <s v="Council Bluffs"/>
    <n v="51503"/>
    <x v="36"/>
    <d v="2015-04-04T00:00:00"/>
    <n v="-191.49"/>
    <n v="12"/>
    <x v="1104"/>
    <n v="88368"/>
    <x v="1116"/>
  </r>
  <r>
    <n v="25557"/>
    <s v="Critical"/>
    <n v="0.02"/>
    <n v="120.98"/>
    <n v="58.64"/>
    <n v="2020"/>
    <s v="Erika Jordan"/>
    <s v="Delivery Truck"/>
    <s v="Home Office"/>
    <x v="1"/>
    <x v="14"/>
    <s v="Jumbo Box"/>
    <s v="O'Sullivan Living Dimensions 2-Shelf Bookcases"/>
    <n v="0.75"/>
    <s v="United States"/>
    <x v="1"/>
    <s v="Pennsylvania"/>
    <s v="Plum"/>
    <n v="15239"/>
    <x v="169"/>
    <d v="2015-02-15T00:00:00"/>
    <n v="-1330.5"/>
    <n v="11"/>
    <x v="1105"/>
    <n v="86933"/>
    <x v="1117"/>
  </r>
  <r>
    <n v="22145"/>
    <s v="Critical"/>
    <n v="0.04"/>
    <n v="120.97"/>
    <n v="7.11"/>
    <n v="2030"/>
    <s v="Lindsay O'Connell"/>
    <s v="Regular Air"/>
    <s v="Corporate"/>
    <x v="2"/>
    <x v="6"/>
    <s v="Medium Box"/>
    <s v="Canon BP1200DH 12-Digit Bubble Jet Printing Calculator"/>
    <n v="0.36"/>
    <s v="United States"/>
    <x v="2"/>
    <s v="Texas"/>
    <s v="Greenville"/>
    <n v="75401"/>
    <x v="83"/>
    <d v="2015-03-17T00:00:00"/>
    <n v="1320.5496000000001"/>
    <n v="16"/>
    <x v="1106"/>
    <n v="91059"/>
    <x v="1118"/>
  </r>
  <r>
    <n v="22146"/>
    <s v="Critical"/>
    <n v="0"/>
    <n v="195.99"/>
    <n v="4.2"/>
    <n v="2030"/>
    <s v="Lindsay O'Connell"/>
    <s v="Regular Air"/>
    <s v="Corporate"/>
    <x v="2"/>
    <x v="5"/>
    <s v="Small Box"/>
    <n v="688"/>
    <n v="0.6"/>
    <s v="United States"/>
    <x v="2"/>
    <s v="Texas"/>
    <s v="Greenville"/>
    <n v="75401"/>
    <x v="83"/>
    <d v="2015-03-19T00:00:00"/>
    <n v="1585.5029999999999"/>
    <n v="16"/>
    <x v="1107"/>
    <n v="91059"/>
    <x v="1119"/>
  </r>
  <r>
    <n v="20654"/>
    <s v="Medium"/>
    <n v="0.03"/>
    <n v="55.98"/>
    <n v="4.8600000000000003"/>
    <n v="2030"/>
    <s v="Lindsay O'Connell"/>
    <s v="Regular Air"/>
    <s v="Corporate"/>
    <x v="0"/>
    <x v="7"/>
    <s v="Small Box"/>
    <s v="Xerox 1908"/>
    <n v="0.36"/>
    <s v="United States"/>
    <x v="2"/>
    <s v="Texas"/>
    <s v="Greenville"/>
    <n v="75401"/>
    <x v="103"/>
    <d v="2015-03-20T00:00:00"/>
    <n v="526.04219999999998"/>
    <n v="13"/>
    <x v="1108"/>
    <n v="91060"/>
    <x v="1120"/>
  </r>
  <r>
    <n v="25918"/>
    <s v="Critical"/>
    <n v="0.1"/>
    <n v="1.89"/>
    <n v="0.76"/>
    <n v="2035"/>
    <s v="Jon Ward"/>
    <s v="Regular Air"/>
    <s v="Consumer"/>
    <x v="0"/>
    <x v="3"/>
    <s v="Wrap Bag"/>
    <s v="Revere Boxed Rubber Bands by Revere"/>
    <n v="0.83"/>
    <s v="United States"/>
    <x v="3"/>
    <s v="Florida"/>
    <s v="Palm Beach Gardens"/>
    <n v="33403"/>
    <x v="73"/>
    <d v="2015-05-20T00:00:00"/>
    <n v="-40.432000000000002"/>
    <n v="20"/>
    <x v="1109"/>
    <n v="87117"/>
    <x v="1121"/>
  </r>
  <r>
    <n v="19733"/>
    <s v="Not Specified"/>
    <n v="0"/>
    <n v="73.98"/>
    <n v="14.52"/>
    <n v="2037"/>
    <s v="Lynda Herman"/>
    <s v="Regular Air"/>
    <s v="Small Business"/>
    <x v="2"/>
    <x v="13"/>
    <s v="Small Box"/>
    <s v="Keytronic French Keyboard"/>
    <n v="0.65"/>
    <s v="United States"/>
    <x v="0"/>
    <s v="Montana"/>
    <s v="Bozeman"/>
    <n v="59715"/>
    <x v="14"/>
    <d v="2015-03-14T00:00:00"/>
    <n v="-88.61"/>
    <n v="4"/>
    <x v="1110"/>
    <n v="89333"/>
    <x v="1122"/>
  </r>
  <r>
    <n v="22018"/>
    <s v="High"/>
    <n v="0.06"/>
    <n v="40.99"/>
    <n v="17.48"/>
    <n v="2038"/>
    <s v="Peter Adams"/>
    <s v="Regular Air"/>
    <s v="Small Business"/>
    <x v="0"/>
    <x v="7"/>
    <s v="Small Box"/>
    <s v="Xerox 1893"/>
    <n v="0.36"/>
    <s v="United States"/>
    <x v="1"/>
    <s v="New York"/>
    <s v="Mount Vernon"/>
    <n v="10550"/>
    <x v="109"/>
    <d v="2015-04-21T00:00:00"/>
    <n v="109.16"/>
    <n v="7"/>
    <x v="1111"/>
    <n v="89334"/>
    <x v="1123"/>
  </r>
  <r>
    <n v="24731"/>
    <s v="Low"/>
    <n v="0.09"/>
    <n v="20.99"/>
    <n v="2.5"/>
    <n v="2044"/>
    <s v="Jay Simon"/>
    <s v="Regular Air"/>
    <s v="Corporate"/>
    <x v="2"/>
    <x v="5"/>
    <s v="Wrap Bag"/>
    <s v="Accessory37"/>
    <n v="0.81"/>
    <s v="United States"/>
    <x v="3"/>
    <s v="Arkansas"/>
    <s v="Rogers"/>
    <n v="72756"/>
    <x v="137"/>
    <d v="2015-07-01T00:00:00"/>
    <n v="-136.12200000000001"/>
    <n v="6"/>
    <x v="1112"/>
    <n v="88692"/>
    <x v="1124"/>
  </r>
  <r>
    <n v="22970"/>
    <s v="Critical"/>
    <n v="0.04"/>
    <n v="4.28"/>
    <n v="5.68"/>
    <n v="2046"/>
    <s v="Eileen Schwartz"/>
    <s v="Regular Air"/>
    <s v="Corporate"/>
    <x v="0"/>
    <x v="7"/>
    <s v="Small Box"/>
    <s v="Xerox 199"/>
    <n v="0.4"/>
    <s v="United States"/>
    <x v="2"/>
    <s v="Kansas"/>
    <s v="Liberal"/>
    <n v="67901"/>
    <x v="20"/>
    <d v="2015-06-14T00:00:00"/>
    <n v="-27.375"/>
    <n v="7"/>
    <x v="1113"/>
    <n v="88219"/>
    <x v="1125"/>
  </r>
  <r>
    <n v="22971"/>
    <s v="Critical"/>
    <n v="0.06"/>
    <n v="376.13"/>
    <n v="85.63"/>
    <n v="2046"/>
    <s v="Eileen Schwartz"/>
    <s v="Delivery Truck"/>
    <s v="Corporate"/>
    <x v="1"/>
    <x v="11"/>
    <s v="Jumbo Box"/>
    <s v="Bretford Rectangular Conference Table Tops"/>
    <n v="0.74"/>
    <s v="United States"/>
    <x v="2"/>
    <s v="Kansas"/>
    <s v="Liberal"/>
    <n v="67901"/>
    <x v="20"/>
    <d v="2015-06-14T00:00:00"/>
    <n v="-435.75749999999999"/>
    <n v="13"/>
    <x v="1114"/>
    <n v="88219"/>
    <x v="1126"/>
  </r>
  <r>
    <n v="22972"/>
    <s v="Critical"/>
    <n v="0.06"/>
    <n v="424.21"/>
    <n v="110.2"/>
    <n v="2046"/>
    <s v="Eileen Schwartz"/>
    <s v="Delivery Truck"/>
    <s v="Corporate"/>
    <x v="1"/>
    <x v="11"/>
    <s v="Jumbo Box"/>
    <s v="Bush Advantage Collection® Racetrack Conference Table"/>
    <n v="0.67"/>
    <s v="United States"/>
    <x v="2"/>
    <s v="Kansas"/>
    <s v="Liberal"/>
    <n v="67901"/>
    <x v="20"/>
    <d v="2015-06-13T00:00:00"/>
    <n v="682.53"/>
    <n v="17"/>
    <x v="1115"/>
    <n v="88219"/>
    <x v="1127"/>
  </r>
  <r>
    <n v="22973"/>
    <s v="Critical"/>
    <n v="0.06"/>
    <n v="195.99"/>
    <n v="8.99"/>
    <n v="2046"/>
    <s v="Eileen Schwartz"/>
    <s v="Regular Air"/>
    <s v="Corporate"/>
    <x v="2"/>
    <x v="5"/>
    <s v="Small Box"/>
    <s v="T28 WORLD"/>
    <n v="0.6"/>
    <s v="United States"/>
    <x v="2"/>
    <s v="Kansas"/>
    <s v="Liberal"/>
    <n v="67901"/>
    <x v="20"/>
    <d v="2015-06-14T00:00:00"/>
    <n v="-277.22199999999998"/>
    <n v="4"/>
    <x v="1116"/>
    <n v="88219"/>
    <x v="1128"/>
  </r>
  <r>
    <n v="18497"/>
    <s v="High"/>
    <n v="0.03"/>
    <n v="15.28"/>
    <n v="1.99"/>
    <n v="2049"/>
    <s v="Kenneth Pollock"/>
    <s v="Regular Air"/>
    <s v="Corporate"/>
    <x v="2"/>
    <x v="13"/>
    <s v="Small Pack"/>
    <s v="Memorex 4.7GB DVD+R, 3/Pack"/>
    <n v="0.42"/>
    <s v="United States"/>
    <x v="3"/>
    <s v="Virginia"/>
    <s v="Harrisonburg"/>
    <n v="22801"/>
    <x v="123"/>
    <d v="2015-06-23T00:00:00"/>
    <n v="-266.68599999999998"/>
    <n v="19"/>
    <x v="1117"/>
    <n v="88220"/>
    <x v="1129"/>
  </r>
  <r>
    <n v="18498"/>
    <s v="High"/>
    <n v="0.09"/>
    <n v="1.76"/>
    <n v="0.7"/>
    <n v="2049"/>
    <s v="Kenneth Pollock"/>
    <s v="Regular Air"/>
    <s v="Corporate"/>
    <x v="0"/>
    <x v="0"/>
    <s v="Wrap Bag"/>
    <s v="Newell 326"/>
    <n v="0.56000000000000005"/>
    <s v="United States"/>
    <x v="3"/>
    <s v="Virginia"/>
    <s v="Harrisonburg"/>
    <n v="22801"/>
    <x v="123"/>
    <d v="2015-06-24T00:00:00"/>
    <n v="-12.278"/>
    <n v="13"/>
    <x v="1118"/>
    <n v="88220"/>
    <x v="1130"/>
  </r>
  <r>
    <n v="18251"/>
    <s v="Not Specified"/>
    <n v="7.0000000000000007E-2"/>
    <n v="31.78"/>
    <n v="1.99"/>
    <n v="2052"/>
    <s v="Francis Kendall"/>
    <s v="Regular Air"/>
    <s v="Home Office"/>
    <x v="2"/>
    <x v="13"/>
    <s v="Small Pack"/>
    <s v="Memorex 4.7GB DVD-RAM, 3/Pack"/>
    <n v="0.42"/>
    <s v="United States"/>
    <x v="0"/>
    <s v="New Mexico"/>
    <s v="Albuquerque"/>
    <n v="87105"/>
    <x v="153"/>
    <d v="2015-02-21T00:00:00"/>
    <n v="265.11180000000002"/>
    <n v="13"/>
    <x v="1119"/>
    <n v="87234"/>
    <x v="1131"/>
  </r>
  <r>
    <n v="18252"/>
    <s v="Not Specified"/>
    <n v="0"/>
    <n v="5.98"/>
    <n v="2.5"/>
    <n v="2052"/>
    <s v="Francis Kendall"/>
    <s v="Regular Air"/>
    <s v="Home Office"/>
    <x v="0"/>
    <x v="4"/>
    <s v="Small Box"/>
    <s v="Wausau Papers Astrobrights® Colored Envelopes"/>
    <n v="0.36"/>
    <s v="United States"/>
    <x v="0"/>
    <s v="New Mexico"/>
    <s v="Albuquerque"/>
    <n v="87105"/>
    <x v="153"/>
    <d v="2015-02-20T00:00:00"/>
    <n v="9.5608000000000004"/>
    <n v="5"/>
    <x v="1120"/>
    <n v="87234"/>
    <x v="1132"/>
  </r>
  <r>
    <n v="18253"/>
    <s v="Not Specified"/>
    <n v="0.1"/>
    <n v="35.99"/>
    <n v="1.1000000000000001"/>
    <n v="2052"/>
    <s v="Francis Kendall"/>
    <s v="Express Air"/>
    <s v="Home Office"/>
    <x v="2"/>
    <x v="5"/>
    <s v="Small Box"/>
    <s v="Accessory35"/>
    <n v="0.55000000000000004"/>
    <s v="United States"/>
    <x v="0"/>
    <s v="New Mexico"/>
    <s v="Albuquerque"/>
    <n v="87105"/>
    <x v="153"/>
    <d v="2015-02-20T00:00:00"/>
    <n v="390.09840000000003"/>
    <n v="19"/>
    <x v="1121"/>
    <n v="87234"/>
    <x v="1133"/>
  </r>
  <r>
    <n v="20481"/>
    <s v="Medium"/>
    <n v="7.0000000000000007E-2"/>
    <n v="5.98"/>
    <n v="5.46"/>
    <n v="2058"/>
    <s v="Louise Webster Sharma"/>
    <s v="Regular Air"/>
    <s v="Corporate"/>
    <x v="0"/>
    <x v="7"/>
    <s v="Small Box"/>
    <s v="Xerox 1983"/>
    <n v="0.36"/>
    <s v="United States"/>
    <x v="3"/>
    <s v="North Carolina"/>
    <s v="Hickory"/>
    <n v="28601"/>
    <x v="169"/>
    <d v="2015-02-15T00:00:00"/>
    <n v="46.65"/>
    <n v="5"/>
    <x v="1122"/>
    <n v="88040"/>
    <x v="1134"/>
  </r>
  <r>
    <n v="23499"/>
    <s v="Not Specified"/>
    <n v="0.09"/>
    <n v="28.48"/>
    <n v="1.99"/>
    <n v="2059"/>
    <s v="Nathan Newton"/>
    <s v="Regular Air"/>
    <s v="Corporate"/>
    <x v="2"/>
    <x v="13"/>
    <s v="Small Pack"/>
    <s v="Memorex 4.7GB DVD+RW, 3/Pack"/>
    <n v="0.4"/>
    <s v="United States"/>
    <x v="3"/>
    <s v="North Carolina"/>
    <s v="High Point"/>
    <n v="27260"/>
    <x v="60"/>
    <d v="2015-01-18T00:00:00"/>
    <n v="-1250.7460000000001"/>
    <n v="13"/>
    <x v="1123"/>
    <n v="88039"/>
    <x v="1135"/>
  </r>
  <r>
    <n v="21632"/>
    <s v="Critical"/>
    <n v="0.1"/>
    <n v="9.85"/>
    <n v="4.82"/>
    <n v="2059"/>
    <s v="Nathan Newton"/>
    <s v="Regular Air"/>
    <s v="Corporate"/>
    <x v="0"/>
    <x v="0"/>
    <s v="Wrap Bag"/>
    <s v="Lumber Crayons"/>
    <n v="0.47"/>
    <s v="United States"/>
    <x v="3"/>
    <s v="North Carolina"/>
    <s v="High Point"/>
    <n v="27260"/>
    <x v="12"/>
    <d v="2015-03-28T00:00:00"/>
    <n v="374.904"/>
    <n v="12"/>
    <x v="1124"/>
    <n v="88041"/>
    <x v="1136"/>
  </r>
  <r>
    <n v="21633"/>
    <s v="Critical"/>
    <n v="0.04"/>
    <n v="125.99"/>
    <n v="7.69"/>
    <n v="2059"/>
    <s v="Nathan Newton"/>
    <s v="Regular Air"/>
    <s v="Corporate"/>
    <x v="2"/>
    <x v="5"/>
    <s v="Small Box"/>
    <s v="Timeport L7089"/>
    <n v="0.57999999999999996"/>
    <s v="United States"/>
    <x v="3"/>
    <s v="North Carolina"/>
    <s v="High Point"/>
    <n v="27260"/>
    <x v="12"/>
    <d v="2015-03-28T00:00:00"/>
    <n v="-528.83600000000001"/>
    <n v="9"/>
    <x v="1125"/>
    <n v="88041"/>
    <x v="1137"/>
  </r>
  <r>
    <n v="20841"/>
    <s v="Medium"/>
    <n v="0.02"/>
    <n v="240.98"/>
    <n v="60.2"/>
    <n v="2061"/>
    <s v="Marianne Carey"/>
    <s v="Delivery Truck"/>
    <s v="Corporate"/>
    <x v="1"/>
    <x v="14"/>
    <s v="Jumbo Box"/>
    <s v="Atlantic Metals Mobile 2-Shelf Bookcases, Custom Colors"/>
    <n v="0.56000000000000005"/>
    <s v="United States"/>
    <x v="2"/>
    <s v="Nebraska"/>
    <s v="North Platte"/>
    <n v="69101"/>
    <x v="134"/>
    <d v="2015-01-31T00:00:00"/>
    <n v="-272.71319999999997"/>
    <n v="1"/>
    <x v="1126"/>
    <n v="87146"/>
    <x v="1138"/>
  </r>
  <r>
    <n v="20840"/>
    <s v="Medium"/>
    <n v="0.02"/>
    <n v="420.98"/>
    <n v="19.989999999999998"/>
    <n v="2062"/>
    <s v="Alfred Singh"/>
    <s v="Regular Air"/>
    <s v="Corporate"/>
    <x v="0"/>
    <x v="8"/>
    <s v="Small Box"/>
    <s v="GBC DocuBind 200 Manual Binding Machine"/>
    <n v="0.35"/>
    <s v="United States"/>
    <x v="3"/>
    <s v="Virginia"/>
    <s v="Mechanicsville"/>
    <n v="23111"/>
    <x v="134"/>
    <d v="2015-02-01T00:00:00"/>
    <n v="-162.69399999999999"/>
    <n v="10"/>
    <x v="1127"/>
    <n v="87146"/>
    <x v="1139"/>
  </r>
  <r>
    <n v="22511"/>
    <s v="Low"/>
    <n v="0.04"/>
    <n v="291.73"/>
    <n v="48.8"/>
    <n v="2062"/>
    <s v="Alfred Singh"/>
    <s v="Delivery Truck"/>
    <s v="Corporate"/>
    <x v="1"/>
    <x v="1"/>
    <s v="Jumbo Drum"/>
    <s v="Hon 4070 Series Pagoda™ Armless Upholstered Stacking Chairs"/>
    <n v="0.56000000000000005"/>
    <s v="United States"/>
    <x v="3"/>
    <s v="Virginia"/>
    <s v="Mechanicsville"/>
    <n v="23111"/>
    <x v="175"/>
    <d v="2015-06-30T00:00:00"/>
    <n v="-115.90389999999999"/>
    <n v="22"/>
    <x v="1128"/>
    <n v="87148"/>
    <x v="1140"/>
  </r>
  <r>
    <n v="25759"/>
    <s v="Low"/>
    <n v="0.06"/>
    <n v="300.97000000000003"/>
    <n v="7.18"/>
    <n v="2063"/>
    <s v="Todd D Norris"/>
    <s v="Regular Air"/>
    <s v="Corporate"/>
    <x v="2"/>
    <x v="13"/>
    <s v="Small Box"/>
    <s v="Gyration Ultra Professional Cordless Optical Suite"/>
    <n v="0.48"/>
    <s v="United States"/>
    <x v="3"/>
    <s v="Virginia"/>
    <s v="Newport News"/>
    <n v="23602"/>
    <x v="100"/>
    <d v="2015-05-08T00:00:00"/>
    <n v="-729.98800000000006"/>
    <n v="1"/>
    <x v="1129"/>
    <n v="87147"/>
    <x v="1141"/>
  </r>
  <r>
    <n v="25228"/>
    <s v="Medium"/>
    <n v="0.09"/>
    <n v="20.89"/>
    <n v="11.52"/>
    <n v="2066"/>
    <s v="Claudia Webb"/>
    <s v="Regular Air"/>
    <s v="Home Office"/>
    <x v="0"/>
    <x v="10"/>
    <s v="Small Box"/>
    <s v="Iris® 3-Drawer Stacking Bin, Black"/>
    <n v="0.83"/>
    <s v="United States"/>
    <x v="3"/>
    <s v="North Carolina"/>
    <s v="Indian Trail"/>
    <n v="28079"/>
    <x v="173"/>
    <d v="2015-03-27T00:00:00"/>
    <n v="-133.54599999999999"/>
    <n v="7"/>
    <x v="1130"/>
    <n v="85833"/>
    <x v="1142"/>
  </r>
  <r>
    <n v="24748"/>
    <s v="Critical"/>
    <n v="0.09"/>
    <n v="20.99"/>
    <n v="4.8099999999999996"/>
    <n v="2066"/>
    <s v="Claudia Webb"/>
    <s v="Express Air"/>
    <s v="Home Office"/>
    <x v="2"/>
    <x v="5"/>
    <s v="Medium Box"/>
    <s v="1726 Digital Answering Machine"/>
    <n v="0.57999999999999996"/>
    <s v="United States"/>
    <x v="3"/>
    <s v="North Carolina"/>
    <s v="Indian Trail"/>
    <n v="28079"/>
    <x v="157"/>
    <d v="2015-04-01T00:00:00"/>
    <n v="272.69400000000002"/>
    <n v="2"/>
    <x v="1131"/>
    <n v="85834"/>
    <x v="1143"/>
  </r>
  <r>
    <n v="25381"/>
    <s v="Low"/>
    <n v="0.1"/>
    <n v="4.24"/>
    <n v="5.41"/>
    <n v="2066"/>
    <s v="Claudia Webb"/>
    <s v="Regular Air"/>
    <s v="Corporate"/>
    <x v="0"/>
    <x v="8"/>
    <s v="Small Box"/>
    <s v="Storex DuraTech Recycled Plastic Frosted Binders"/>
    <n v="0.35"/>
    <s v="United States"/>
    <x v="3"/>
    <s v="North Carolina"/>
    <s v="Indian Trail"/>
    <n v="28079"/>
    <x v="47"/>
    <d v="2015-04-23T00:00:00"/>
    <n v="-61.6"/>
    <n v="8"/>
    <x v="1132"/>
    <n v="85835"/>
    <x v="1144"/>
  </r>
  <r>
    <n v="21901"/>
    <s v="Medium"/>
    <n v="0.1"/>
    <n v="40.98"/>
    <n v="6.5"/>
    <n v="2069"/>
    <s v="Elsie Boykin"/>
    <s v="Regular Air"/>
    <s v="Consumer"/>
    <x v="2"/>
    <x v="13"/>
    <s v="Small Box"/>
    <s v="Targus USB Numeric Keypad"/>
    <n v="0.74"/>
    <s v="United States"/>
    <x v="3"/>
    <s v="Kentucky"/>
    <s v="Fort Thomas"/>
    <n v="41075"/>
    <x v="38"/>
    <d v="2015-01-14T00:00:00"/>
    <n v="66.852000000000004"/>
    <n v="3"/>
    <x v="1133"/>
    <n v="88554"/>
    <x v="1145"/>
  </r>
  <r>
    <n v="19567"/>
    <s v="Low"/>
    <n v="7.0000000000000007E-2"/>
    <n v="35.99"/>
    <n v="5.99"/>
    <n v="2070"/>
    <s v="Kelly Collins"/>
    <s v="Regular Air"/>
    <s v="Corporate"/>
    <x v="2"/>
    <x v="5"/>
    <s v="Wrap Bag"/>
    <s v="Accessory41"/>
    <n v="0.38"/>
    <s v="United States"/>
    <x v="2"/>
    <s v="Michigan"/>
    <s v="Eastpointe"/>
    <n v="48021"/>
    <x v="41"/>
    <d v="2015-05-20T00:00:00"/>
    <n v="17.8398"/>
    <n v="5"/>
    <x v="1134"/>
    <n v="88558"/>
    <x v="1146"/>
  </r>
  <r>
    <n v="20498"/>
    <s v="Not Specified"/>
    <n v="0.03"/>
    <n v="60.98"/>
    <n v="1.99"/>
    <n v="2071"/>
    <s v="Victor Cherry"/>
    <s v="Regular Air"/>
    <s v="Corporate"/>
    <x v="2"/>
    <x v="13"/>
    <s v="Small Pack"/>
    <s v="Imation 5.2GB DVD-RAM"/>
    <n v="0.5"/>
    <s v="United States"/>
    <x v="2"/>
    <s v="Michigan"/>
    <s v="Farmington Hills"/>
    <n v="48336"/>
    <x v="108"/>
    <d v="2015-02-01T00:00:00"/>
    <n v="976.2672"/>
    <n v="23"/>
    <x v="1135"/>
    <n v="88555"/>
    <x v="1147"/>
  </r>
  <r>
    <n v="20499"/>
    <s v="Not Specified"/>
    <n v="0.04"/>
    <n v="3.08"/>
    <n v="0.99"/>
    <n v="2071"/>
    <s v="Victor Cherry"/>
    <s v="Regular Air"/>
    <s v="Corporate"/>
    <x v="0"/>
    <x v="9"/>
    <s v="Small Box"/>
    <s v="Avery 481"/>
    <n v="0.37"/>
    <s v="United States"/>
    <x v="2"/>
    <s v="Michigan"/>
    <s v="Farmington Hills"/>
    <n v="48336"/>
    <x v="108"/>
    <d v="2015-02-02T00:00:00"/>
    <n v="23.204699999999999"/>
    <n v="11"/>
    <x v="1136"/>
    <n v="88555"/>
    <x v="1148"/>
  </r>
  <r>
    <n v="19568"/>
    <s v="Low"/>
    <n v="0.08"/>
    <n v="65.989999999999995"/>
    <n v="5.92"/>
    <n v="2071"/>
    <s v="Victor Cherry"/>
    <s v="Express Air"/>
    <s v="Corporate"/>
    <x v="2"/>
    <x v="5"/>
    <s v="Small Box"/>
    <s v="i500plus"/>
    <n v="0.57999999999999996"/>
    <s v="United States"/>
    <x v="2"/>
    <s v="Michigan"/>
    <s v="Farmington Hills"/>
    <n v="48336"/>
    <x v="41"/>
    <d v="2015-05-23T00:00:00"/>
    <n v="183.84299999999999"/>
    <n v="20"/>
    <x v="1137"/>
    <n v="88558"/>
    <x v="1149"/>
  </r>
  <r>
    <n v="20500"/>
    <s v="Not Specified"/>
    <n v="0"/>
    <n v="10.31"/>
    <n v="1.79"/>
    <n v="2072"/>
    <s v="Malcolm S Lanier"/>
    <s v="Regular Air"/>
    <s v="Corporate"/>
    <x v="0"/>
    <x v="7"/>
    <s v="Wrap Bag"/>
    <s v="Speediset Carbonless Redi-Letter® 7&quot; x 8 1/2&quot;"/>
    <n v="0.38"/>
    <s v="United States"/>
    <x v="2"/>
    <s v="Michigan"/>
    <s v="Flint"/>
    <n v="48505"/>
    <x v="108"/>
    <d v="2015-02-03T00:00:00"/>
    <n v="167.46299999999999"/>
    <n v="23"/>
    <x v="1138"/>
    <n v="88555"/>
    <x v="1150"/>
  </r>
  <r>
    <n v="20824"/>
    <s v="High"/>
    <n v="0.09"/>
    <n v="260.98"/>
    <n v="41.91"/>
    <n v="2072"/>
    <s v="Malcolm S Lanier"/>
    <s v="Delivery Truck"/>
    <s v="Corporate"/>
    <x v="1"/>
    <x v="14"/>
    <s v="Jumbo Box"/>
    <s v="Atlantic Metals Mobile 3-Shelf Bookcases, Custom Colors"/>
    <n v="0.59"/>
    <s v="United States"/>
    <x v="2"/>
    <s v="Michigan"/>
    <s v="Flint"/>
    <n v="48505"/>
    <x v="143"/>
    <d v="2015-02-13T00:00:00"/>
    <n v="1307.2692"/>
    <n v="14"/>
    <x v="1139"/>
    <n v="88556"/>
    <x v="1151"/>
  </r>
  <r>
    <n v="20825"/>
    <s v="High"/>
    <n v="0.01"/>
    <n v="10.52"/>
    <n v="7.94"/>
    <n v="2072"/>
    <s v="Malcolm S Lanier"/>
    <s v="Regular Air"/>
    <s v="Corporate"/>
    <x v="1"/>
    <x v="2"/>
    <s v="Small Pack"/>
    <s v="Ultra Door Pull Handle"/>
    <n v="0.52"/>
    <s v="United States"/>
    <x v="2"/>
    <s v="Michigan"/>
    <s v="Flint"/>
    <n v="48505"/>
    <x v="143"/>
    <d v="2015-02-13T00:00:00"/>
    <n v="-15.8184"/>
    <n v="11"/>
    <x v="1140"/>
    <n v="88556"/>
    <x v="1152"/>
  </r>
  <r>
    <n v="20826"/>
    <s v="High"/>
    <n v="0.02"/>
    <n v="5.98"/>
    <n v="7.5"/>
    <n v="2072"/>
    <s v="Malcolm S Lanier"/>
    <s v="Express Air"/>
    <s v="Corporate"/>
    <x v="0"/>
    <x v="7"/>
    <s v="Small Box"/>
    <s v="Xerox 1920"/>
    <n v="0.4"/>
    <s v="United States"/>
    <x v="2"/>
    <s v="Michigan"/>
    <s v="Flint"/>
    <n v="48505"/>
    <x v="143"/>
    <d v="2015-02-13T00:00:00"/>
    <n v="-55.8324"/>
    <n v="14"/>
    <x v="1141"/>
    <n v="88556"/>
    <x v="1153"/>
  </r>
  <r>
    <n v="24677"/>
    <s v="Not Specified"/>
    <n v="0.05"/>
    <n v="291.73"/>
    <n v="48.8"/>
    <n v="2073"/>
    <s v="Evan Kelley"/>
    <s v="Delivery Truck"/>
    <s v="Consumer"/>
    <x v="1"/>
    <x v="1"/>
    <s v="Jumbo Drum"/>
    <s v="Hon 4070 Series Pagoda™ Armless Upholstered Stacking Chairs"/>
    <n v="0.56000000000000005"/>
    <s v="United States"/>
    <x v="2"/>
    <s v="Michigan"/>
    <s v="Garden City"/>
    <n v="48135"/>
    <x v="74"/>
    <d v="2015-04-09T00:00:00"/>
    <n v="550.38080000000002"/>
    <n v="6"/>
    <x v="1142"/>
    <n v="88557"/>
    <x v="1154"/>
  </r>
  <r>
    <n v="24094"/>
    <s v="Low"/>
    <n v="0.09"/>
    <n v="1.48"/>
    <n v="0.7"/>
    <n v="2081"/>
    <s v="Matthew Conway"/>
    <s v="Regular Air"/>
    <s v="Corporate"/>
    <x v="0"/>
    <x v="3"/>
    <s v="Wrap Bag"/>
    <s v="Binder Clips by OIC"/>
    <n v="0.37"/>
    <s v="United States"/>
    <x v="1"/>
    <s v="New York"/>
    <s v="Ithaca"/>
    <n v="14853"/>
    <x v="35"/>
    <d v="2015-01-05T00:00:00"/>
    <n v="1.68"/>
    <n v="6"/>
    <x v="1143"/>
    <n v="86092"/>
    <x v="1155"/>
  </r>
  <r>
    <n v="21697"/>
    <s v="Low"/>
    <n v="0.06"/>
    <n v="38.06"/>
    <n v="4.5"/>
    <n v="2089"/>
    <s v="Annie Odom"/>
    <s v="Regular Air"/>
    <s v="Corporate"/>
    <x v="0"/>
    <x v="15"/>
    <s v="Small Box"/>
    <s v="Fellowes Superior 10 Outlet Split Surge Protector"/>
    <n v="0.56000000000000005"/>
    <s v="United States"/>
    <x v="1"/>
    <s v="New York"/>
    <s v="New City"/>
    <n v="10956"/>
    <x v="133"/>
    <d v="2015-07-06T00:00:00"/>
    <n v="450.45960000000002"/>
    <n v="17"/>
    <x v="1144"/>
    <n v="88348"/>
    <x v="1156"/>
  </r>
  <r>
    <n v="21698"/>
    <s v="Low"/>
    <n v="0.08"/>
    <n v="599.99"/>
    <n v="24.49"/>
    <n v="2089"/>
    <s v="Annie Odom"/>
    <s v="Regular Air"/>
    <s v="Corporate"/>
    <x v="2"/>
    <x v="16"/>
    <s v="Large Box"/>
    <s v="Hewlett Packard LaserJet 3310 Copier"/>
    <n v="0.37"/>
    <s v="United States"/>
    <x v="1"/>
    <s v="New York"/>
    <s v="New City"/>
    <n v="10956"/>
    <x v="133"/>
    <d v="2015-07-08T00:00:00"/>
    <n v="8798.1831000000002"/>
    <n v="22"/>
    <x v="1145"/>
    <n v="88348"/>
    <x v="1157"/>
  </r>
  <r>
    <n v="21699"/>
    <s v="Low"/>
    <n v="0.1"/>
    <n v="3.98"/>
    <n v="2.97"/>
    <n v="2089"/>
    <s v="Annie Odom"/>
    <s v="Express Air"/>
    <s v="Corporate"/>
    <x v="0"/>
    <x v="7"/>
    <s v="Wrap Bag"/>
    <s v="Unpadded Memo Slips"/>
    <n v="0.35"/>
    <s v="United States"/>
    <x v="1"/>
    <s v="New York"/>
    <s v="New City"/>
    <n v="10956"/>
    <x v="133"/>
    <d v="2015-07-04T00:00:00"/>
    <n v="-5.3849999999999998"/>
    <n v="5"/>
    <x v="1146"/>
    <n v="88348"/>
    <x v="1158"/>
  </r>
  <r>
    <n v="18696"/>
    <s v="Medium"/>
    <n v="0.08"/>
    <n v="400.98"/>
    <n v="42.52"/>
    <n v="2094"/>
    <s v="Vernon Hirsch Singleton"/>
    <s v="Delivery Truck"/>
    <s v="Corporate"/>
    <x v="1"/>
    <x v="11"/>
    <s v="Jumbo Box"/>
    <s v="Bretford CR8500 Series Meeting Room Furniture"/>
    <n v="0.71"/>
    <s v="United States"/>
    <x v="0"/>
    <s v="California"/>
    <s v="Chico"/>
    <n v="95928"/>
    <x v="64"/>
    <d v="2015-02-06T00:00:00"/>
    <n v="3031.9724000000001"/>
    <n v="20"/>
    <x v="1147"/>
    <n v="86629"/>
    <x v="1159"/>
  </r>
  <r>
    <n v="18417"/>
    <s v="Medium"/>
    <n v="0.1"/>
    <n v="300.97000000000003"/>
    <n v="7.18"/>
    <n v="2097"/>
    <s v="Patsy Shea"/>
    <s v="Regular Air"/>
    <s v="Home Office"/>
    <x v="2"/>
    <x v="13"/>
    <s v="Small Box"/>
    <s v="Gyration Ultra Professional Cordless Optical Suite"/>
    <n v="0.48"/>
    <s v="United States"/>
    <x v="3"/>
    <s v="South Carolina"/>
    <s v="Hilton Head Island"/>
    <n v="29915"/>
    <x v="106"/>
    <d v="2015-04-19T00:00:00"/>
    <n v="138.018"/>
    <n v="4"/>
    <x v="1148"/>
    <n v="87889"/>
    <x v="1160"/>
  </r>
  <r>
    <n v="18418"/>
    <s v="Medium"/>
    <n v="0.06"/>
    <n v="39.89"/>
    <n v="3.04"/>
    <n v="2098"/>
    <s v="Tracy Dyer"/>
    <s v="Regular Air"/>
    <s v="Home Office"/>
    <x v="1"/>
    <x v="2"/>
    <s v="Wrap Bag"/>
    <s v="Ultra Commercial Grade Dual Valve Door Closer"/>
    <n v="0.53"/>
    <s v="United States"/>
    <x v="3"/>
    <s v="South Carolina"/>
    <s v="Mount Pleasant"/>
    <n v="29464"/>
    <x v="106"/>
    <d v="2015-04-20T00:00:00"/>
    <n v="38.874000000000002"/>
    <n v="10"/>
    <x v="1149"/>
    <n v="87889"/>
    <x v="1161"/>
  </r>
  <r>
    <n v="22234"/>
    <s v="Not Specified"/>
    <n v="7.0000000000000007E-2"/>
    <n v="14.56"/>
    <n v="3.5"/>
    <n v="2099"/>
    <s v="Nathan Fox"/>
    <s v="Regular Air"/>
    <s v="Home Office"/>
    <x v="0"/>
    <x v="15"/>
    <s v="Small Box"/>
    <s v="Acco 6 Outlet Guardian Premium Surge Suppressor"/>
    <n v="0.57999999999999996"/>
    <s v="United States"/>
    <x v="3"/>
    <s v="South Carolina"/>
    <s v="Myrtle Beach"/>
    <n v="29577"/>
    <x v="176"/>
    <d v="2015-01-09T00:00:00"/>
    <n v="-45.527999999999999"/>
    <n v="6"/>
    <x v="1150"/>
    <n v="87888"/>
    <x v="1162"/>
  </r>
  <r>
    <n v="5501"/>
    <s v="Medium"/>
    <n v="0.05"/>
    <n v="399.98"/>
    <n v="12.06"/>
    <n v="2107"/>
    <s v="Leigh Burnette Hurley"/>
    <s v="Delivery Truck"/>
    <s v="Corporate"/>
    <x v="2"/>
    <x v="6"/>
    <s v="Jumbo Box"/>
    <s v="Okidata ML320 Series Turbo Dot Matrix Printers"/>
    <n v="0.56000000000000005"/>
    <s v="United States"/>
    <x v="2"/>
    <s v="Illinois"/>
    <s v="Chicago"/>
    <n v="60601"/>
    <x v="132"/>
    <d v="2015-06-06T00:00:00"/>
    <n v="567.59"/>
    <n v="24"/>
    <x v="1151"/>
    <n v="39015"/>
    <x v="1163"/>
  </r>
  <r>
    <n v="5502"/>
    <s v="Medium"/>
    <n v="7.0000000000000007E-2"/>
    <n v="6.48"/>
    <n v="5.74"/>
    <n v="2107"/>
    <s v="Leigh Burnette Hurley"/>
    <s v="Regular Air"/>
    <s v="Corporate"/>
    <x v="0"/>
    <x v="7"/>
    <s v="Small Box"/>
    <s v="Xerox 1994"/>
    <n v="0.37"/>
    <s v="United States"/>
    <x v="2"/>
    <s v="Illinois"/>
    <s v="Chicago"/>
    <n v="60601"/>
    <x v="132"/>
    <d v="2015-06-06T00:00:00"/>
    <n v="-28.45"/>
    <n v="20"/>
    <x v="1152"/>
    <n v="39015"/>
    <x v="1164"/>
  </r>
  <r>
    <n v="23502"/>
    <s v="Medium"/>
    <n v="7.0000000000000007E-2"/>
    <n v="6.48"/>
    <n v="5.74"/>
    <n v="2108"/>
    <s v="Alfred Barber"/>
    <s v="Regular Air"/>
    <s v="Corporate"/>
    <x v="0"/>
    <x v="7"/>
    <s v="Small Box"/>
    <s v="Xerox 1994"/>
    <n v="0.37"/>
    <s v="United States"/>
    <x v="2"/>
    <s v="Missouri"/>
    <s v="Mehlville"/>
    <n v="63129"/>
    <x v="132"/>
    <d v="2015-06-06T00:00:00"/>
    <n v="-14.225"/>
    <n v="5"/>
    <x v="1153"/>
    <n v="87862"/>
    <x v="1165"/>
  </r>
  <r>
    <n v="18540"/>
    <s v="Critical"/>
    <n v="0.08"/>
    <n v="6.68"/>
    <n v="1.5"/>
    <n v="2114"/>
    <s v="Paige Mason"/>
    <s v="Regular Air"/>
    <s v="Corporate"/>
    <x v="0"/>
    <x v="0"/>
    <s v="Wrap Bag"/>
    <s v="Sanford Liquid Accent Highlighters"/>
    <n v="0.48"/>
    <s v="United States"/>
    <x v="3"/>
    <s v="Virginia"/>
    <s v="Norfolk"/>
    <n v="23518"/>
    <x v="173"/>
    <d v="2015-03-28T00:00:00"/>
    <n v="-601.80399999999997"/>
    <n v="10"/>
    <x v="1154"/>
    <n v="88403"/>
    <x v="1166"/>
  </r>
  <r>
    <n v="18562"/>
    <s v="Critical"/>
    <n v="0.08"/>
    <n v="2.89"/>
    <n v="0.49"/>
    <n v="2114"/>
    <s v="Paige Mason"/>
    <s v="Regular Air"/>
    <s v="Corporate"/>
    <x v="0"/>
    <x v="9"/>
    <s v="Small Box"/>
    <s v="*Staples* Packaging Labels"/>
    <n v="0.38"/>
    <s v="United States"/>
    <x v="3"/>
    <s v="Virginia"/>
    <s v="Norfolk"/>
    <n v="23518"/>
    <x v="45"/>
    <d v="2015-04-23T00:00:00"/>
    <n v="38.405999999999999"/>
    <n v="1"/>
    <x v="1155"/>
    <n v="88404"/>
    <x v="1167"/>
  </r>
  <r>
    <n v="21066"/>
    <s v="Critical"/>
    <n v="7.0000000000000007E-2"/>
    <n v="226.67"/>
    <n v="28.16"/>
    <n v="2114"/>
    <s v="Paige Mason"/>
    <s v="Delivery Truck"/>
    <s v="Corporate"/>
    <x v="1"/>
    <x v="1"/>
    <s v="Jumbo Drum"/>
    <s v="Hon GuestStacker Chair"/>
    <n v="0.59"/>
    <s v="United States"/>
    <x v="3"/>
    <s v="Virginia"/>
    <s v="Norfolk"/>
    <n v="23518"/>
    <x v="115"/>
    <d v="2015-02-27T00:00:00"/>
    <n v="53.114400000000003"/>
    <n v="1"/>
    <x v="1156"/>
    <n v="88405"/>
    <x v="1168"/>
  </r>
  <r>
    <n v="21067"/>
    <s v="Critical"/>
    <n v="0.08"/>
    <n v="20.98"/>
    <n v="53.03"/>
    <n v="2114"/>
    <s v="Paige Mason"/>
    <s v="Delivery Truck"/>
    <s v="Corporate"/>
    <x v="0"/>
    <x v="10"/>
    <s v="Jumbo Drum"/>
    <s v="Tennsco Lockers, Gray"/>
    <n v="0.78"/>
    <s v="United States"/>
    <x v="3"/>
    <s v="Virginia"/>
    <s v="Norfolk"/>
    <n v="23518"/>
    <x v="115"/>
    <d v="2015-02-28T00:00:00"/>
    <n v="8.7420000000000009"/>
    <n v="20"/>
    <x v="1157"/>
    <n v="88405"/>
    <x v="1169"/>
  </r>
  <r>
    <n v="21153"/>
    <s v="Medium"/>
    <n v="0.02"/>
    <n v="95.95"/>
    <n v="74.349999999999994"/>
    <n v="2115"/>
    <s v="Jeffrey Lloyd"/>
    <s v="Delivery Truck"/>
    <s v="Corporate"/>
    <x v="1"/>
    <x v="1"/>
    <s v="Jumbo Drum"/>
    <s v="Bevis Steel Folding Chairs"/>
    <n v="0.56999999999999995"/>
    <s v="United States"/>
    <x v="3"/>
    <s v="Virginia"/>
    <s v="Oakton"/>
    <n v="22124"/>
    <x v="119"/>
    <d v="2015-05-01T00:00:00"/>
    <n v="636.52200000000005"/>
    <n v="14"/>
    <x v="1158"/>
    <n v="88406"/>
    <x v="1170"/>
  </r>
  <r>
    <n v="20249"/>
    <s v="High"/>
    <n v="0.03"/>
    <n v="320.98"/>
    <n v="24.49"/>
    <n v="2117"/>
    <s v="Jack Hatcher"/>
    <s v="Regular Air"/>
    <s v="Home Office"/>
    <x v="1"/>
    <x v="1"/>
    <s v="Large Box"/>
    <s v="Hon Pagoda™ Stacking Chairs"/>
    <n v="0.55000000000000004"/>
    <s v="United States"/>
    <x v="2"/>
    <s v="Texas"/>
    <s v="Greenville"/>
    <n v="75401"/>
    <x v="18"/>
    <d v="2015-04-22T00:00:00"/>
    <n v="4554.4346999999998"/>
    <n v="20"/>
    <x v="1159"/>
    <n v="90891"/>
    <x v="1171"/>
  </r>
  <r>
    <n v="20250"/>
    <s v="High"/>
    <n v="0.06"/>
    <n v="125.99"/>
    <n v="8.8000000000000007"/>
    <n v="2117"/>
    <s v="Jack Hatcher"/>
    <s v="Regular Air"/>
    <s v="Home Office"/>
    <x v="2"/>
    <x v="5"/>
    <s v="Small Box"/>
    <s v="StarTAC 6500"/>
    <n v="0.59"/>
    <s v="United States"/>
    <x v="2"/>
    <s v="Texas"/>
    <s v="Greenville"/>
    <n v="75401"/>
    <x v="18"/>
    <d v="2015-04-21T00:00:00"/>
    <n v="618.19308000000001"/>
    <n v="18"/>
    <x v="1160"/>
    <n v="90891"/>
    <x v="1172"/>
  </r>
  <r>
    <n v="22231"/>
    <s v="Critical"/>
    <n v="0.06"/>
    <n v="80.97"/>
    <n v="33.6"/>
    <n v="2122"/>
    <s v="Carolyn Fisher"/>
    <s v="Delivery Truck"/>
    <s v="Consumer"/>
    <x v="2"/>
    <x v="6"/>
    <s v="Jumbo Drum"/>
    <s v="Lexmark Z25 Color Inkjet Printer"/>
    <n v="0.37"/>
    <s v="United States"/>
    <x v="3"/>
    <s v="Arkansas"/>
    <s v="Sherwood"/>
    <n v="72116"/>
    <x v="108"/>
    <d v="2015-02-03T00:00:00"/>
    <n v="-15.1844"/>
    <n v="10"/>
    <x v="1161"/>
    <n v="89664"/>
    <x v="1173"/>
  </r>
  <r>
    <n v="24674"/>
    <s v="High"/>
    <n v="0.04"/>
    <n v="45.19"/>
    <n v="1.99"/>
    <n v="2124"/>
    <s v="Paige Powers"/>
    <s v="Regular Air"/>
    <s v="Consumer"/>
    <x v="2"/>
    <x v="13"/>
    <s v="Small Pack"/>
    <s v="Verbatim DVD-RAM, 9.4GB, Rewritable, Type 1, DS, DataLife Plus"/>
    <n v="0.55000000000000004"/>
    <s v="United States"/>
    <x v="3"/>
    <s v="Arkansas"/>
    <s v="West Memphis"/>
    <n v="72301"/>
    <x v="167"/>
    <d v="2015-01-02T00:00:00"/>
    <n v="-61.194000000000003"/>
    <n v="13"/>
    <x v="1162"/>
    <n v="89665"/>
    <x v="1174"/>
  </r>
  <r>
    <n v="23852"/>
    <s v="High"/>
    <n v="0.03"/>
    <n v="124.49"/>
    <n v="51.94"/>
    <n v="2124"/>
    <s v="Paige Powers"/>
    <s v="Delivery Truck"/>
    <s v="Corporate"/>
    <x v="1"/>
    <x v="11"/>
    <s v="Jumbo Box"/>
    <s v="Bevis 36 x 72 Conference Tables"/>
    <n v="0.63"/>
    <s v="United States"/>
    <x v="3"/>
    <s v="Arkansas"/>
    <s v="West Memphis"/>
    <n v="72301"/>
    <x v="173"/>
    <d v="2015-03-27T00:00:00"/>
    <n v="18.173999999999999"/>
    <n v="21"/>
    <x v="1163"/>
    <n v="89666"/>
    <x v="1175"/>
  </r>
  <r>
    <n v="24091"/>
    <s v="Critical"/>
    <n v="0.1"/>
    <n v="5.98"/>
    <n v="5.14"/>
    <n v="2127"/>
    <s v="Joyce Kern"/>
    <s v="Regular Air"/>
    <s v="Home Office"/>
    <x v="0"/>
    <x v="7"/>
    <s v="Small Box"/>
    <s v="Xerox 1974"/>
    <n v="0.36"/>
    <s v="United States"/>
    <x v="2"/>
    <s v="Michigan"/>
    <s v="Sterling Heights"/>
    <n v="48310"/>
    <x v="103"/>
    <d v="2015-03-20T00:00:00"/>
    <n v="-49.53"/>
    <n v="6"/>
    <x v="1164"/>
    <n v="88418"/>
    <x v="1176"/>
  </r>
  <r>
    <n v="21902"/>
    <s v="High"/>
    <n v="0.09"/>
    <n v="150.97999999999999"/>
    <n v="66.27"/>
    <n v="2131"/>
    <s v="Mary Hewitt"/>
    <s v="Delivery Truck"/>
    <s v="Home Office"/>
    <x v="1"/>
    <x v="14"/>
    <s v="Jumbo Box"/>
    <s v="Bush Mission Pointe Library"/>
    <n v="0.65"/>
    <s v="United States"/>
    <x v="2"/>
    <s v="Missouri"/>
    <s v="Gladstone"/>
    <n v="64118"/>
    <x v="35"/>
    <d v="2015-01-04T00:00:00"/>
    <n v="-407.85"/>
    <n v="2"/>
    <x v="1165"/>
    <n v="90079"/>
    <x v="1177"/>
  </r>
  <r>
    <n v="21964"/>
    <s v="Low"/>
    <n v="0.05"/>
    <n v="30.42"/>
    <n v="8.65"/>
    <n v="2132"/>
    <s v="Philip Hawkins"/>
    <s v="Express Air"/>
    <s v="Home Office"/>
    <x v="2"/>
    <x v="13"/>
    <s v="Small Box"/>
    <s v="Fellowes Internet Keyboard, Platinum"/>
    <n v="0.74"/>
    <s v="United States"/>
    <x v="2"/>
    <s v="Missouri"/>
    <s v="Hazelwood"/>
    <n v="63042"/>
    <x v="56"/>
    <d v="2015-01-14T00:00:00"/>
    <n v="-191.2576"/>
    <n v="11"/>
    <x v="1166"/>
    <n v="90078"/>
    <x v="1178"/>
  </r>
  <r>
    <n v="24348"/>
    <s v="High"/>
    <n v="0.01"/>
    <n v="28.99"/>
    <n v="8.59"/>
    <n v="2135"/>
    <s v="Melvin Kendall"/>
    <s v="Regular Air"/>
    <s v="Home Office"/>
    <x v="2"/>
    <x v="5"/>
    <s v="Medium Box"/>
    <s v="SouthWestern Bell FA970 Digital Answering Machine with Time/Day Stamp"/>
    <n v="0.56000000000000005"/>
    <s v="United States"/>
    <x v="0"/>
    <s v="New Mexico"/>
    <s v="Clovis"/>
    <n v="88101"/>
    <x v="92"/>
    <d v="2015-02-07T00:00:00"/>
    <n v="196.52328"/>
    <n v="21"/>
    <x v="1167"/>
    <n v="91583"/>
    <x v="1179"/>
  </r>
  <r>
    <n v="20138"/>
    <s v="Not Specified"/>
    <n v="0"/>
    <n v="6.98"/>
    <n v="1.6"/>
    <n v="2137"/>
    <s v="Crystal Crabtree"/>
    <s v="Regular Air"/>
    <s v="Corporate"/>
    <x v="0"/>
    <x v="7"/>
    <s v="Wrap Bag"/>
    <s v="Adams Phone Message Book, Professional, 400 Message Capacity, 5 3/6” x 11”"/>
    <n v="0.38"/>
    <s v="United States"/>
    <x v="3"/>
    <s v="Florida"/>
    <s v="West Palm Beach"/>
    <n v="33407"/>
    <x v="70"/>
    <d v="2015-02-02T00:00:00"/>
    <n v="-343.86799999999999"/>
    <n v="9"/>
    <x v="1168"/>
    <n v="86002"/>
    <x v="1180"/>
  </r>
  <r>
    <n v="20712"/>
    <s v="Critical"/>
    <n v="0.05"/>
    <n v="2550.14"/>
    <n v="29.7"/>
    <n v="2139"/>
    <s v="Jon Kendall"/>
    <s v="Delivery Truck"/>
    <s v="Corporate"/>
    <x v="2"/>
    <x v="6"/>
    <s v="Jumbo Drum"/>
    <s v="Epson DFX-8500 Dot Matrix Printer"/>
    <n v="0.56999999999999995"/>
    <s v="United States"/>
    <x v="2"/>
    <s v="Wisconsin"/>
    <s v="Watertown"/>
    <n v="53094"/>
    <x v="125"/>
    <d v="2015-04-17T00:00:00"/>
    <n v="-3971.0628000000002"/>
    <n v="2"/>
    <x v="1169"/>
    <n v="86003"/>
    <x v="1181"/>
  </r>
  <r>
    <n v="18409"/>
    <s v="High"/>
    <n v="0.01"/>
    <n v="5.44"/>
    <n v="7.46"/>
    <n v="2141"/>
    <s v="Molly Webster"/>
    <s v="Regular Air"/>
    <s v="Home Office"/>
    <x v="0"/>
    <x v="8"/>
    <s v="Small Box"/>
    <s v="Wilson Jones Custom Binder Spines &amp; Labels"/>
    <n v="0.36"/>
    <s v="United States"/>
    <x v="0"/>
    <s v="Colorado"/>
    <s v="Durango"/>
    <n v="81301"/>
    <x v="29"/>
    <d v="2015-02-19T00:00:00"/>
    <n v="-18.478200000000001"/>
    <n v="3"/>
    <x v="1170"/>
    <n v="87570"/>
    <x v="1182"/>
  </r>
  <r>
    <n v="18410"/>
    <s v="High"/>
    <n v="0.02"/>
    <n v="549.99"/>
    <n v="49"/>
    <n v="2141"/>
    <s v="Molly Webster"/>
    <s v="Delivery Truck"/>
    <s v="Home Office"/>
    <x v="2"/>
    <x v="16"/>
    <s v="Jumbo Drum"/>
    <s v="Sharp 1540cs Digital Laser Copier"/>
    <n v="0.35"/>
    <s v="United States"/>
    <x v="0"/>
    <s v="Colorado"/>
    <s v="Durango"/>
    <n v="81301"/>
    <x v="29"/>
    <d v="2015-02-20T00:00:00"/>
    <n v="-381.84120000000001"/>
    <n v="18"/>
    <x v="1171"/>
    <n v="87570"/>
    <x v="1183"/>
  </r>
  <r>
    <n v="18411"/>
    <s v="High"/>
    <n v="0.03"/>
    <n v="22.01"/>
    <n v="5.53"/>
    <n v="2141"/>
    <s v="Molly Webster"/>
    <s v="Express Air"/>
    <s v="Home Office"/>
    <x v="0"/>
    <x v="0"/>
    <s v="Small Pack"/>
    <s v="Boston 16801 Nautilus™ Battery Pencil Sharpener"/>
    <n v="0.59"/>
    <s v="United States"/>
    <x v="0"/>
    <s v="Colorado"/>
    <s v="Durango"/>
    <n v="81301"/>
    <x v="29"/>
    <d v="2015-02-19T00:00:00"/>
    <n v="12.5504"/>
    <n v="7"/>
    <x v="1172"/>
    <n v="87570"/>
    <x v="1184"/>
  </r>
  <r>
    <n v="18412"/>
    <s v="High"/>
    <n v="0.09"/>
    <n v="34.76"/>
    <n v="8.2200000000000006"/>
    <n v="2141"/>
    <s v="Molly Webster"/>
    <s v="Regular Air"/>
    <s v="Home Office"/>
    <x v="0"/>
    <x v="10"/>
    <s v="Small Box"/>
    <s v="Multi-Use Personal File Cart and Caster Set, Three Stacking Bins"/>
    <n v="0.56999999999999995"/>
    <s v="United States"/>
    <x v="0"/>
    <s v="Colorado"/>
    <s v="Durango"/>
    <n v="81301"/>
    <x v="29"/>
    <d v="2015-02-20T00:00:00"/>
    <n v="45.3324"/>
    <n v="7"/>
    <x v="1173"/>
    <n v="87570"/>
    <x v="1185"/>
  </r>
  <r>
    <n v="23249"/>
    <s v="High"/>
    <n v="0.08"/>
    <n v="17.149999999999999"/>
    <n v="4.96"/>
    <n v="2143"/>
    <s v="Lester Sawyer"/>
    <s v="Regular Air"/>
    <s v="Home Office"/>
    <x v="0"/>
    <x v="10"/>
    <s v="Small Box"/>
    <s v="Advantus Rolling Storage Box"/>
    <n v="0.57999999999999996"/>
    <s v="United States"/>
    <x v="3"/>
    <s v="Virginia"/>
    <s v="Fairfax"/>
    <n v="20151"/>
    <x v="1"/>
    <d v="2015-06-16T00:00:00"/>
    <n v="33.659999999999997"/>
    <n v="12"/>
    <x v="1174"/>
    <n v="87569"/>
    <x v="1186"/>
  </r>
  <r>
    <n v="24264"/>
    <s v="Medium"/>
    <n v="0"/>
    <n v="20.28"/>
    <n v="14.39"/>
    <n v="2145"/>
    <s v="Kerry Hardy"/>
    <s v="Regular Air"/>
    <s v="Corporate"/>
    <x v="1"/>
    <x v="2"/>
    <s v="Small Box"/>
    <s v="Career Cubicle Clock, 8 1/4&quot;, Black"/>
    <n v="0.47"/>
    <s v="United States"/>
    <x v="3"/>
    <s v="Florida"/>
    <s v="Fort Lauderdale"/>
    <n v="33311"/>
    <x v="104"/>
    <d v="2015-02-12T00:00:00"/>
    <n v="15.678000000000001"/>
    <n v="11"/>
    <x v="1175"/>
    <n v="87072"/>
    <x v="1187"/>
  </r>
  <r>
    <n v="23795"/>
    <s v="Low"/>
    <n v="0.05"/>
    <n v="20.34"/>
    <n v="35"/>
    <n v="2146"/>
    <s v="Courtney Boyd"/>
    <s v="Regular Air"/>
    <s v="Corporate"/>
    <x v="0"/>
    <x v="10"/>
    <s v="Large Box"/>
    <s v="Tennsco Commercial Shelving"/>
    <n v="0.84"/>
    <s v="United States"/>
    <x v="3"/>
    <s v="Virginia"/>
    <s v="Fairfax"/>
    <n v="20151"/>
    <x v="61"/>
    <d v="2015-01-10T00:00:00"/>
    <n v="52.776000000000003"/>
    <n v="2"/>
    <x v="1176"/>
    <n v="87071"/>
    <x v="1188"/>
  </r>
  <r>
    <n v="22555"/>
    <s v="Not Specified"/>
    <n v="0.08"/>
    <n v="243.98"/>
    <n v="43.32"/>
    <n v="2151"/>
    <s v="Melinda Rogers"/>
    <s v="Delivery Truck"/>
    <s v="Corporate"/>
    <x v="1"/>
    <x v="1"/>
    <s v="Jumbo Drum"/>
    <s v="Hon Deluxe Fabric Upholstered Stacking Chairs, Rounded Back"/>
    <n v="0.55000000000000004"/>
    <s v="United States"/>
    <x v="2"/>
    <s v="Iowa"/>
    <s v="Dubuque"/>
    <n v="52001"/>
    <x v="99"/>
    <d v="2015-01-06T00:00:00"/>
    <n v="-162.8244"/>
    <n v="1"/>
    <x v="1177"/>
    <n v="90404"/>
    <x v="1189"/>
  </r>
  <r>
    <n v="24791"/>
    <s v="High"/>
    <n v="0.08"/>
    <n v="5.74"/>
    <n v="5.01"/>
    <n v="2151"/>
    <s v="Melinda Rogers"/>
    <s v="Regular Air"/>
    <s v="Corporate"/>
    <x v="0"/>
    <x v="8"/>
    <s v="Small Box"/>
    <s v="Binder Posts"/>
    <n v="0.39"/>
    <s v="United States"/>
    <x v="2"/>
    <s v="Iowa"/>
    <s v="Dubuque"/>
    <n v="52001"/>
    <x v="170"/>
    <d v="2015-02-11T00:00:00"/>
    <n v="-6.9308199999999998"/>
    <n v="1"/>
    <x v="1178"/>
    <n v="90405"/>
    <x v="1190"/>
  </r>
  <r>
    <n v="21834"/>
    <s v="Low"/>
    <n v="0.05"/>
    <n v="55.5"/>
    <n v="52.2"/>
    <n v="2157"/>
    <s v="Tom Hoyle Honeycutt"/>
    <s v="Regular Air"/>
    <s v="Home Office"/>
    <x v="1"/>
    <x v="2"/>
    <s v="Medium Box"/>
    <s v="Eldon Cleatmat® Chair Mats for Medium Pile Carpets"/>
    <n v="0.72"/>
    <s v="United States"/>
    <x v="2"/>
    <s v="Michigan"/>
    <s v="Warren"/>
    <n v="48093"/>
    <x v="44"/>
    <d v="2015-03-16T00:00:00"/>
    <n v="-118.54"/>
    <n v="4"/>
    <x v="1179"/>
    <n v="90385"/>
    <x v="1191"/>
  </r>
  <r>
    <n v="21835"/>
    <s v="Low"/>
    <n v="0.05"/>
    <n v="442.14"/>
    <n v="14.7"/>
    <n v="2157"/>
    <s v="Tom Hoyle Honeycutt"/>
    <s v="Delivery Truck"/>
    <s v="Home Office"/>
    <x v="2"/>
    <x v="6"/>
    <s v="Jumbo Drum"/>
    <s v="Okidata ML390 Turbo Dot Matrix Printers"/>
    <n v="0.56000000000000005"/>
    <s v="United States"/>
    <x v="2"/>
    <s v="Michigan"/>
    <s v="Warren"/>
    <n v="48093"/>
    <x v="44"/>
    <d v="2015-03-25T00:00:00"/>
    <n v="2963.48"/>
    <n v="14"/>
    <x v="1180"/>
    <n v="90385"/>
    <x v="1192"/>
  </r>
  <r>
    <n v="21975"/>
    <s v="High"/>
    <n v="7.0000000000000007E-2"/>
    <n v="30.93"/>
    <n v="3.92"/>
    <n v="2157"/>
    <s v="Tom Hoyle Honeycutt"/>
    <s v="Regular Air"/>
    <s v="Home Office"/>
    <x v="1"/>
    <x v="2"/>
    <s v="Small Pack"/>
    <s v="Advantus Employee of the Month Certificate Frame, 11 x 13-1/2"/>
    <n v="0.44"/>
    <s v="United States"/>
    <x v="2"/>
    <s v="Michigan"/>
    <s v="Warren"/>
    <n v="48093"/>
    <x v="32"/>
    <d v="2015-05-04T00:00:00"/>
    <n v="398.30250000000001"/>
    <n v="19"/>
    <x v="1181"/>
    <n v="90386"/>
    <x v="1193"/>
  </r>
  <r>
    <n v="21976"/>
    <s v="High"/>
    <n v="0.05"/>
    <n v="297.48"/>
    <n v="18.059999999999999"/>
    <n v="2157"/>
    <s v="Tom Hoyle Honeycutt"/>
    <s v="Delivery Truck"/>
    <s v="Home Office"/>
    <x v="2"/>
    <x v="6"/>
    <s v="Jumbo Drum"/>
    <s v="Panasonic KX-P3200 Dot Matrix Printer"/>
    <n v="0.6"/>
    <s v="United States"/>
    <x v="2"/>
    <s v="Michigan"/>
    <s v="Warren"/>
    <n v="48093"/>
    <x v="32"/>
    <d v="2015-05-04T00:00:00"/>
    <n v="709.85199999999998"/>
    <n v="14"/>
    <x v="1182"/>
    <n v="90386"/>
    <x v="1194"/>
  </r>
  <r>
    <n v="21977"/>
    <s v="High"/>
    <n v="7.0000000000000007E-2"/>
    <n v="296.18"/>
    <n v="54.12"/>
    <n v="2157"/>
    <s v="Tom Hoyle Honeycutt"/>
    <s v="Delivery Truck"/>
    <s v="Home Office"/>
    <x v="1"/>
    <x v="11"/>
    <s v="Jumbo Box"/>
    <s v="Hon 94000 Series Round Tables"/>
    <n v="0.76"/>
    <s v="United States"/>
    <x v="2"/>
    <s v="Michigan"/>
    <s v="Warren"/>
    <n v="48093"/>
    <x v="32"/>
    <d v="2015-05-05T00:00:00"/>
    <n v="80.809200000000004"/>
    <n v="6"/>
    <x v="1183"/>
    <n v="90386"/>
    <x v="1195"/>
  </r>
  <r>
    <n v="23775"/>
    <s v="Medium"/>
    <n v="0.08"/>
    <n v="30.98"/>
    <n v="8.74"/>
    <n v="2159"/>
    <s v="Wesley Field"/>
    <s v="Regular Air"/>
    <s v="Corporate"/>
    <x v="0"/>
    <x v="7"/>
    <s v="Small Box"/>
    <s v="Xerox 1979"/>
    <n v="0.4"/>
    <s v="United States"/>
    <x v="2"/>
    <s v="Michigan"/>
    <s v="Westland"/>
    <n v="48185"/>
    <x v="135"/>
    <d v="2015-05-21T00:00:00"/>
    <n v="371.27199999999999"/>
    <n v="25"/>
    <x v="1184"/>
    <n v="90387"/>
    <x v="1196"/>
  </r>
  <r>
    <n v="23773"/>
    <s v="Medium"/>
    <n v="0.09"/>
    <n v="159.31"/>
    <n v="60"/>
    <n v="2162"/>
    <s v="Brenda Jain"/>
    <s v="Delivery Truck"/>
    <s v="Corporate"/>
    <x v="1"/>
    <x v="11"/>
    <s v="Jumbo Drum"/>
    <s v="Hon Non-Folding Utility Tables"/>
    <n v="0.55000000000000004"/>
    <s v="United States"/>
    <x v="1"/>
    <s v="Pennsylvania"/>
    <s v="Sharon"/>
    <n v="16146"/>
    <x v="135"/>
    <d v="2015-05-22T00:00:00"/>
    <n v="77.000895400000005"/>
    <n v="41"/>
    <x v="1185"/>
    <n v="90387"/>
    <x v="1197"/>
  </r>
  <r>
    <n v="23774"/>
    <s v="Medium"/>
    <n v="0.06"/>
    <n v="55.99"/>
    <n v="5"/>
    <n v="2162"/>
    <s v="Brenda Jain"/>
    <s v="Regular Air"/>
    <s v="Corporate"/>
    <x v="2"/>
    <x v="5"/>
    <s v="Small Pack"/>
    <s v="Accessory36"/>
    <n v="0.83"/>
    <s v="United States"/>
    <x v="1"/>
    <s v="Pennsylvania"/>
    <s v="Sharon"/>
    <n v="16146"/>
    <x v="135"/>
    <d v="2015-05-22T00:00:00"/>
    <n v="27.968599999999999"/>
    <n v="33"/>
    <x v="1186"/>
    <n v="90387"/>
    <x v="1198"/>
  </r>
  <r>
    <n v="22450"/>
    <s v="Not Specified"/>
    <n v="0.01"/>
    <n v="5.38"/>
    <n v="7.57"/>
    <n v="2164"/>
    <s v="Harry Sellers"/>
    <s v="Regular Air"/>
    <s v="Small Business"/>
    <x v="0"/>
    <x v="8"/>
    <s v="Small Box"/>
    <s v="Acco PRESSTEX® Data Binder with Storage Hooks, Dark Blue, 9 1/2&quot; X 11&quot;"/>
    <n v="0.36"/>
    <s v="United States"/>
    <x v="0"/>
    <s v="California"/>
    <s v="Pasadena"/>
    <n v="91104"/>
    <x v="85"/>
    <d v="2015-01-10T00:00:00"/>
    <n v="-66.779579999999996"/>
    <n v="3"/>
    <x v="1187"/>
    <n v="88794"/>
    <x v="1199"/>
  </r>
  <r>
    <n v="22451"/>
    <s v="Not Specified"/>
    <n v="0.05"/>
    <n v="3.28"/>
    <n v="3.97"/>
    <n v="2164"/>
    <s v="Harry Sellers"/>
    <s v="Regular Air"/>
    <s v="Small Business"/>
    <x v="0"/>
    <x v="0"/>
    <s v="Wrap Bag"/>
    <s v="Newell 337"/>
    <n v="0.56000000000000005"/>
    <s v="United States"/>
    <x v="0"/>
    <s v="California"/>
    <s v="Pasadena"/>
    <n v="91104"/>
    <x v="85"/>
    <d v="2015-01-09T00:00:00"/>
    <n v="-144.9188"/>
    <n v="11"/>
    <x v="1188"/>
    <n v="88794"/>
    <x v="1200"/>
  </r>
  <r>
    <n v="22449"/>
    <s v="Not Specified"/>
    <n v="0.09"/>
    <n v="2.78"/>
    <n v="0.97"/>
    <n v="2165"/>
    <s v="Melanie Knight"/>
    <s v="Regular Air"/>
    <s v="Small Business"/>
    <x v="0"/>
    <x v="0"/>
    <s v="Wrap Bag"/>
    <s v="Newell 339"/>
    <n v="0.59"/>
    <s v="United States"/>
    <x v="1"/>
    <s v="Maine"/>
    <s v="Augusta"/>
    <n v="4330"/>
    <x v="85"/>
    <d v="2015-01-11T00:00:00"/>
    <n v="-5.0716000000000001"/>
    <n v="6"/>
    <x v="1189"/>
    <n v="88794"/>
    <x v="1201"/>
  </r>
  <r>
    <n v="20980"/>
    <s v="Medium"/>
    <n v="0.08"/>
    <n v="2.94"/>
    <n v="0.96"/>
    <n v="2178"/>
    <s v="Judy Hall"/>
    <s v="Regular Air"/>
    <s v="Small Business"/>
    <x v="0"/>
    <x v="0"/>
    <s v="Wrap Bag"/>
    <s v="Newell 343"/>
    <n v="0.57999999999999996"/>
    <s v="United States"/>
    <x v="1"/>
    <s v="Massachusetts"/>
    <s v="Worcester"/>
    <n v="1610"/>
    <x v="39"/>
    <d v="2015-01-29T00:00:00"/>
    <n v="-1.18"/>
    <n v="9"/>
    <x v="1190"/>
    <n v="89465"/>
    <x v="1202"/>
  </r>
  <r>
    <n v="26331"/>
    <s v="Not Specified"/>
    <n v="0"/>
    <n v="1.48"/>
    <n v="0.7"/>
    <n v="2183"/>
    <s v="Sheryl Reese"/>
    <s v="Regular Air"/>
    <s v="Home Office"/>
    <x v="0"/>
    <x v="3"/>
    <s v="Wrap Bag"/>
    <s v="Binder Clips by OIC"/>
    <n v="0.37"/>
    <s v="United States"/>
    <x v="3"/>
    <s v="Kentucky"/>
    <s v="Owensboro"/>
    <n v="42301"/>
    <x v="15"/>
    <d v="2015-06-17T00:00:00"/>
    <n v="-203.09800000000001"/>
    <n v="12"/>
    <x v="1191"/>
    <n v="91571"/>
    <x v="1203"/>
  </r>
  <r>
    <n v="19008"/>
    <s v="High"/>
    <n v="0.09"/>
    <n v="16.98"/>
    <n v="12.39"/>
    <n v="2187"/>
    <s v="Joanne Spivey"/>
    <s v="Regular Air"/>
    <s v="Corporate"/>
    <x v="0"/>
    <x v="4"/>
    <s v="Small Box"/>
    <s v="Brown Kraft Recycled Envelopes"/>
    <n v="0.35"/>
    <s v="United States"/>
    <x v="2"/>
    <s v="Missouri"/>
    <s v="Independence"/>
    <n v="64055"/>
    <x v="100"/>
    <d v="2015-05-10T00:00:00"/>
    <n v="-48.57"/>
    <n v="5"/>
    <x v="1192"/>
    <n v="89440"/>
    <x v="1204"/>
  </r>
  <r>
    <n v="1008"/>
    <s v="High"/>
    <n v="0.09"/>
    <n v="16.98"/>
    <n v="12.39"/>
    <n v="2189"/>
    <s v="Frank Cross"/>
    <s v="Regular Air"/>
    <s v="Corporate"/>
    <x v="0"/>
    <x v="4"/>
    <s v="Small Box"/>
    <s v="Brown Kraft Recycled Envelopes"/>
    <n v="0.35"/>
    <s v="United States"/>
    <x v="1"/>
    <s v="New York"/>
    <s v="New York City"/>
    <n v="10177"/>
    <x v="100"/>
    <d v="2015-05-10T00:00:00"/>
    <n v="-48.57"/>
    <n v="22"/>
    <x v="1193"/>
    <n v="7364"/>
    <x v="1205"/>
  </r>
  <r>
    <n v="5870"/>
    <s v="Critical"/>
    <n v="0.05"/>
    <n v="16.98"/>
    <n v="7.78"/>
    <n v="2190"/>
    <s v="Marvin Patrick"/>
    <s v="Regular Air"/>
    <s v="Home Office"/>
    <x v="0"/>
    <x v="0"/>
    <s v="Small Pack"/>
    <s v="Stanley Bostitch Contemporary Electric Pencil Sharpeners"/>
    <n v="0.56999999999999995"/>
    <s v="United States"/>
    <x v="2"/>
    <s v="Michigan"/>
    <s v="Detroit"/>
    <n v="48227"/>
    <x v="79"/>
    <d v="2015-02-16T00:00:00"/>
    <n v="-47.28"/>
    <n v="45"/>
    <x v="1194"/>
    <n v="41636"/>
    <x v="1206"/>
  </r>
  <r>
    <n v="5871"/>
    <s v="Critical"/>
    <n v="0.03"/>
    <n v="115.99"/>
    <n v="4.2300000000000004"/>
    <n v="2190"/>
    <s v="Marvin Patrick"/>
    <s v="Regular Air"/>
    <s v="Home Office"/>
    <x v="2"/>
    <x v="5"/>
    <s v="Small Box"/>
    <n v="282"/>
    <n v="0.56000000000000005"/>
    <s v="United States"/>
    <x v="2"/>
    <s v="Michigan"/>
    <s v="Detroit"/>
    <n v="48227"/>
    <x v="79"/>
    <d v="2015-02-16T00:00:00"/>
    <n v="722.24099999999999"/>
    <n v="49"/>
    <x v="1195"/>
    <n v="41636"/>
    <x v="1207"/>
  </r>
  <r>
    <n v="23870"/>
    <s v="Critical"/>
    <n v="0.05"/>
    <n v="16.98"/>
    <n v="7.78"/>
    <n v="2193"/>
    <s v="Donald Melton"/>
    <s v="Regular Air"/>
    <s v="Home Office"/>
    <x v="0"/>
    <x v="0"/>
    <s v="Small Pack"/>
    <s v="Stanley Bostitch Contemporary Electric Pencil Sharpeners"/>
    <n v="0.56999999999999995"/>
    <s v="United States"/>
    <x v="3"/>
    <s v="North Carolina"/>
    <s v="New Bern"/>
    <n v="28560"/>
    <x v="79"/>
    <d v="2015-02-16T00:00:00"/>
    <n v="-161"/>
    <n v="11"/>
    <x v="1196"/>
    <n v="90685"/>
    <x v="1208"/>
  </r>
  <r>
    <n v="23871"/>
    <s v="Critical"/>
    <n v="0.03"/>
    <n v="115.99"/>
    <n v="4.2300000000000004"/>
    <n v="2193"/>
    <s v="Donald Melton"/>
    <s v="Regular Air"/>
    <s v="Home Office"/>
    <x v="2"/>
    <x v="5"/>
    <s v="Small Box"/>
    <n v="282"/>
    <n v="0.56000000000000005"/>
    <s v="United States"/>
    <x v="3"/>
    <s v="North Carolina"/>
    <s v="New Bern"/>
    <n v="28560"/>
    <x v="79"/>
    <d v="2015-02-16T00:00:00"/>
    <n v="848.3646"/>
    <n v="12"/>
    <x v="1197"/>
    <n v="90685"/>
    <x v="1209"/>
  </r>
  <r>
    <n v="19112"/>
    <s v="Medium"/>
    <n v="0.03"/>
    <n v="27.48"/>
    <n v="4"/>
    <n v="2196"/>
    <s v="Gene Heath Cross"/>
    <s v="Regular Air"/>
    <s v="Small Business"/>
    <x v="2"/>
    <x v="13"/>
    <s v="Small Box"/>
    <s v="Belkin MediaBoard 104- Keyboard"/>
    <n v="0.75"/>
    <s v="United States"/>
    <x v="1"/>
    <s v="New York"/>
    <s v="Jamestown"/>
    <n v="14701"/>
    <x v="74"/>
    <d v="2015-04-08T00:00:00"/>
    <n v="-88.840800000000002"/>
    <n v="11"/>
    <x v="1198"/>
    <n v="89175"/>
    <x v="1210"/>
  </r>
  <r>
    <n v="19113"/>
    <s v="Medium"/>
    <n v="0.1"/>
    <n v="179.99"/>
    <n v="19.989999999999998"/>
    <n v="2196"/>
    <s v="Gene Heath Cross"/>
    <s v="Regular Air"/>
    <s v="Small Business"/>
    <x v="2"/>
    <x v="13"/>
    <s v="Small Box"/>
    <s v="Motorola SB4200 Cable Modem"/>
    <n v="0.48"/>
    <s v="United States"/>
    <x v="1"/>
    <s v="New York"/>
    <s v="Jamestown"/>
    <n v="14701"/>
    <x v="74"/>
    <d v="2015-04-08T00:00:00"/>
    <n v="1208.9903999999999"/>
    <n v="14"/>
    <x v="1199"/>
    <n v="89175"/>
    <x v="1211"/>
  </r>
  <r>
    <n v="19114"/>
    <s v="Medium"/>
    <n v="0.1"/>
    <n v="140.85"/>
    <n v="19.989999999999998"/>
    <n v="2196"/>
    <s v="Gene Heath Cross"/>
    <s v="Regular Air"/>
    <s v="Small Business"/>
    <x v="0"/>
    <x v="10"/>
    <s v="Small Box"/>
    <s v="Fellowes Strictly Business® Drawer File, Letter/Legal Size"/>
    <n v="0.73"/>
    <s v="United States"/>
    <x v="1"/>
    <s v="New York"/>
    <s v="Jamestown"/>
    <n v="14701"/>
    <x v="74"/>
    <d v="2015-04-09T00:00:00"/>
    <n v="9.9911999999999992"/>
    <n v="19"/>
    <x v="1200"/>
    <n v="89175"/>
    <x v="1212"/>
  </r>
  <r>
    <n v="23300"/>
    <s v="Critical"/>
    <n v="0.08"/>
    <n v="100.97"/>
    <n v="7.18"/>
    <n v="2197"/>
    <s v="Karen O'Donnell"/>
    <s v="Regular Air"/>
    <s v="Small Business"/>
    <x v="2"/>
    <x v="13"/>
    <s v="Small Box"/>
    <s v="Gyration Ultra Cordless Optical Suite"/>
    <n v="0.46"/>
    <s v="United States"/>
    <x v="1"/>
    <s v="New York"/>
    <s v="Levittown"/>
    <n v="11756"/>
    <x v="175"/>
    <d v="2015-06-27T00:00:00"/>
    <n v="126.22499999999999"/>
    <n v="7"/>
    <x v="1201"/>
    <n v="89176"/>
    <x v="1213"/>
  </r>
  <r>
    <n v="23301"/>
    <s v="Critical"/>
    <n v="0"/>
    <n v="13.4"/>
    <n v="4.95"/>
    <n v="2197"/>
    <s v="Karen O'Donnell"/>
    <s v="Regular Air"/>
    <s v="Small Business"/>
    <x v="1"/>
    <x v="2"/>
    <s v="Small Pack"/>
    <s v="Electrix 20W Halogen Replacement Bulb for Zoom-In Desk Lamp"/>
    <n v="0.37"/>
    <s v="United States"/>
    <x v="1"/>
    <s v="New York"/>
    <s v="Levittown"/>
    <n v="11756"/>
    <x v="175"/>
    <d v="2015-06-27T00:00:00"/>
    <n v="187.7628"/>
    <n v="19"/>
    <x v="1202"/>
    <n v="89176"/>
    <x v="1214"/>
  </r>
  <r>
    <n v="26083"/>
    <s v="Not Specified"/>
    <n v="0.03"/>
    <n v="25.98"/>
    <n v="4.08"/>
    <n v="2198"/>
    <s v="Lester Woodward Maynard"/>
    <s v="Regular Air"/>
    <s v="Small Business"/>
    <x v="0"/>
    <x v="0"/>
    <s v="Small Pack"/>
    <s v="Boston 1799 Powerhouse™ Electric Pencil Sharpener"/>
    <n v="0.56999999999999995"/>
    <s v="United States"/>
    <x v="1"/>
    <s v="New York"/>
    <s v="Lindenhurst"/>
    <n v="11757"/>
    <x v="55"/>
    <d v="2015-05-25T00:00:00"/>
    <n v="295.90649999999999"/>
    <n v="16"/>
    <x v="1203"/>
    <n v="89174"/>
    <x v="1215"/>
  </r>
  <r>
    <n v="26084"/>
    <s v="Not Specified"/>
    <n v="0.1"/>
    <n v="20.98"/>
    <n v="53.03"/>
    <n v="2198"/>
    <s v="Lester Woodward Maynard"/>
    <s v="Delivery Truck"/>
    <s v="Small Business"/>
    <x v="0"/>
    <x v="10"/>
    <s v="Jumbo Drum"/>
    <s v="Tennsco Lockers, Gray"/>
    <n v="0.78"/>
    <s v="United States"/>
    <x v="1"/>
    <s v="New York"/>
    <s v="Lindenhurst"/>
    <n v="11757"/>
    <x v="55"/>
    <d v="2015-05-22T00:00:00"/>
    <n v="-2111.36"/>
    <n v="16"/>
    <x v="1204"/>
    <n v="89174"/>
    <x v="1216"/>
  </r>
  <r>
    <n v="20234"/>
    <s v="Critical"/>
    <n v="0.17"/>
    <n v="14.89"/>
    <n v="13.56"/>
    <n v="2201"/>
    <s v="David Hoyle"/>
    <s v="Regular Air"/>
    <s v="Small Business"/>
    <x v="1"/>
    <x v="2"/>
    <s v="Large Box"/>
    <s v="Tensor Computer Mounted Lamp"/>
    <n v="0.57999999999999996"/>
    <s v="United States"/>
    <x v="2"/>
    <s v="Minnesota"/>
    <s v="Bloomington"/>
    <n v="55420"/>
    <x v="78"/>
    <d v="2015-03-27T00:00:00"/>
    <n v="-9.1300000000000008"/>
    <n v="1"/>
    <x v="1205"/>
    <n v="86054"/>
    <x v="1217"/>
  </r>
  <r>
    <n v="22259"/>
    <s v="Low"/>
    <n v="0.09"/>
    <n v="160.97999999999999"/>
    <n v="30"/>
    <n v="2202"/>
    <s v="Laurie Howe"/>
    <s v="Delivery Truck"/>
    <s v="Home Office"/>
    <x v="1"/>
    <x v="1"/>
    <s v="Jumbo Drum"/>
    <s v="Office Star - Mid Back Dual function Ergonomic High Back Chair with 2-Way Adjustable Arms"/>
    <n v="0.62"/>
    <s v="United States"/>
    <x v="2"/>
    <s v="Minnesota"/>
    <s v="Brooklyn Center"/>
    <n v="55429"/>
    <x v="70"/>
    <d v="2015-01-31T00:00:00"/>
    <n v="357.428"/>
    <n v="11"/>
    <x v="1206"/>
    <n v="86050"/>
    <x v="1218"/>
  </r>
  <r>
    <n v="22260"/>
    <s v="Low"/>
    <n v="0.09"/>
    <n v="6.3"/>
    <n v="0.5"/>
    <n v="2202"/>
    <s v="Laurie Howe"/>
    <s v="Regular Air"/>
    <s v="Home Office"/>
    <x v="0"/>
    <x v="9"/>
    <s v="Small Box"/>
    <s v="Avery 51"/>
    <n v="0.39"/>
    <s v="United States"/>
    <x v="2"/>
    <s v="Minnesota"/>
    <s v="Brooklyn Center"/>
    <n v="55429"/>
    <x v="70"/>
    <d v="2015-01-31T00:00:00"/>
    <n v="40.351199999999999"/>
    <n v="10"/>
    <x v="1207"/>
    <n v="86050"/>
    <x v="1219"/>
  </r>
  <r>
    <n v="22261"/>
    <s v="Low"/>
    <n v="0"/>
    <n v="4.9800000000000004"/>
    <n v="0.8"/>
    <n v="2202"/>
    <s v="Laurie Howe"/>
    <s v="Regular Air"/>
    <s v="Home Office"/>
    <x v="0"/>
    <x v="7"/>
    <s v="Wrap Bag"/>
    <s v="Rediform S.O.S. Phone Message Books"/>
    <n v="0.36"/>
    <s v="United States"/>
    <x v="2"/>
    <s v="Minnesota"/>
    <s v="Brooklyn Center"/>
    <n v="55429"/>
    <x v="70"/>
    <d v="2015-02-07T00:00:00"/>
    <n v="27.634499999999999"/>
    <n v="8"/>
    <x v="1208"/>
    <n v="86050"/>
    <x v="1220"/>
  </r>
  <r>
    <n v="23919"/>
    <s v="Low"/>
    <n v="0.08"/>
    <n v="145.44999999999999"/>
    <n v="17.850000000000001"/>
    <n v="2203"/>
    <s v="Eddie Walker"/>
    <s v="Delivery Truck"/>
    <s v="Home Office"/>
    <x v="2"/>
    <x v="6"/>
    <s v="Jumbo Drum"/>
    <s v="Panasonic KX-P1150 Dot Matrix Printer"/>
    <n v="0.56000000000000005"/>
    <s v="United States"/>
    <x v="2"/>
    <s v="Minnesota"/>
    <s v="Brooklyn Park"/>
    <n v="55445"/>
    <x v="128"/>
    <d v="2015-02-04T00:00:00"/>
    <n v="751.58"/>
    <n v="8"/>
    <x v="1209"/>
    <n v="86051"/>
    <x v="1221"/>
  </r>
  <r>
    <n v="22595"/>
    <s v="Critical"/>
    <n v="0.03"/>
    <n v="399.98"/>
    <n v="12.06"/>
    <n v="2203"/>
    <s v="Eddie Walker"/>
    <s v="Delivery Truck"/>
    <s v="Home Office"/>
    <x v="2"/>
    <x v="6"/>
    <s v="Jumbo Box"/>
    <s v="Okidata ML320 Series Turbo Dot Matrix Printers"/>
    <n v="0.56000000000000005"/>
    <s v="United States"/>
    <x v="2"/>
    <s v="Minnesota"/>
    <s v="Brooklyn Park"/>
    <n v="55445"/>
    <x v="148"/>
    <d v="2015-01-06T00:00:00"/>
    <n v="-663.51419999999996"/>
    <n v="2"/>
    <x v="1210"/>
    <n v="86052"/>
    <x v="1222"/>
  </r>
  <r>
    <n v="23920"/>
    <s v="Low"/>
    <n v="7.0000000000000007E-2"/>
    <n v="33.94"/>
    <n v="19.190000000000001"/>
    <n v="2204"/>
    <s v="Oscar Ford"/>
    <s v="Delivery Truck"/>
    <s v="Home Office"/>
    <x v="1"/>
    <x v="1"/>
    <s v="Jumbo Drum"/>
    <s v="Metal Folding Chairs, Beige, 4/Carton"/>
    <n v="0.57999999999999996"/>
    <s v="United States"/>
    <x v="2"/>
    <s v="Minnesota"/>
    <s v="Burnsville"/>
    <n v="55337"/>
    <x v="128"/>
    <d v="2015-02-08T00:00:00"/>
    <n v="-157.56"/>
    <n v="5"/>
    <x v="1211"/>
    <n v="86051"/>
    <x v="1223"/>
  </r>
  <r>
    <n v="24434"/>
    <s v="Critical"/>
    <n v="0.04"/>
    <n v="296.18"/>
    <n v="154.12"/>
    <n v="2204"/>
    <s v="Oscar Ford"/>
    <s v="Delivery Truck"/>
    <s v="Consumer"/>
    <x v="1"/>
    <x v="11"/>
    <s v="Jumbo Box"/>
    <s v="Hon 94000 Series Round Tables"/>
    <n v="0.76"/>
    <s v="United States"/>
    <x v="2"/>
    <s v="Minnesota"/>
    <s v="Burnsville"/>
    <n v="55337"/>
    <x v="104"/>
    <d v="2015-02-11T00:00:00"/>
    <n v="-87.998040000000003"/>
    <n v="20"/>
    <x v="1212"/>
    <n v="86053"/>
    <x v="1224"/>
  </r>
  <r>
    <n v="18164"/>
    <s v="High"/>
    <n v="0.03"/>
    <n v="28.48"/>
    <n v="1.99"/>
    <n v="2206"/>
    <s v="Bobby Powell"/>
    <s v="Regular Air"/>
    <s v="Consumer"/>
    <x v="2"/>
    <x v="13"/>
    <s v="Small Pack"/>
    <s v="Memorex 4.7GB DVD+RW, 3/Pack"/>
    <n v="0.4"/>
    <s v="United States"/>
    <x v="2"/>
    <s v="Iowa"/>
    <s v="Fort Dodge"/>
    <n v="50501"/>
    <x v="99"/>
    <d v="2015-01-06T00:00:00"/>
    <n v="-35.290399999999998"/>
    <n v="2"/>
    <x v="1213"/>
    <n v="86258"/>
    <x v="1225"/>
  </r>
  <r>
    <n v="18165"/>
    <s v="High"/>
    <n v="0.01"/>
    <n v="205.99"/>
    <n v="5.99"/>
    <n v="2206"/>
    <s v="Bobby Powell"/>
    <s v="Regular Air"/>
    <s v="Consumer"/>
    <x v="2"/>
    <x v="5"/>
    <s v="Small Box"/>
    <n v="3285"/>
    <n v="0.59"/>
    <s v="United States"/>
    <x v="2"/>
    <s v="Iowa"/>
    <s v="Fort Dodge"/>
    <n v="50501"/>
    <x v="99"/>
    <d v="2015-01-07T00:00:00"/>
    <n v="-74.883600000000001"/>
    <n v="3"/>
    <x v="1214"/>
    <n v="86258"/>
    <x v="1226"/>
  </r>
  <r>
    <n v="23317"/>
    <s v="Low"/>
    <n v="0.06"/>
    <n v="6.98"/>
    <n v="1.6"/>
    <n v="2209"/>
    <s v="Sharon Thomas"/>
    <s v="Regular Air"/>
    <s v="Home Office"/>
    <x v="0"/>
    <x v="7"/>
    <s v="Wrap Bag"/>
    <s v="Adams Phone Message Book, Professional, 400 Message Capacity, 5 3/6” x 11”"/>
    <n v="0.38"/>
    <s v="United States"/>
    <x v="3"/>
    <s v="Georgia"/>
    <s v="College Park"/>
    <n v="30337"/>
    <x v="46"/>
    <d v="2015-01-29T00:00:00"/>
    <n v="-98.055999999999997"/>
    <n v="12"/>
    <x v="1215"/>
    <n v="88030"/>
    <x v="1227"/>
  </r>
  <r>
    <n v="19914"/>
    <s v="Not Specified"/>
    <n v="0.08"/>
    <n v="95.99"/>
    <n v="35"/>
    <n v="2211"/>
    <s v="Anita Hahn"/>
    <s v="Express Air"/>
    <s v="Home Office"/>
    <x v="0"/>
    <x v="10"/>
    <s v="Large Box"/>
    <s v="Safco Industrial Wire Shelving"/>
    <m/>
    <s v="United States"/>
    <x v="1"/>
    <s v="Maryland"/>
    <s v="Bowie"/>
    <n v="20715"/>
    <x v="167"/>
    <d v="2015-01-03T00:00:00"/>
    <n v="-425.20839999999998"/>
    <n v="2"/>
    <x v="1216"/>
    <n v="88028"/>
    <x v="1228"/>
  </r>
  <r>
    <n v="24756"/>
    <s v="High"/>
    <n v="0.09"/>
    <n v="199.99"/>
    <n v="24.49"/>
    <n v="2212"/>
    <s v="Stacy Chang"/>
    <s v="Express Air"/>
    <s v="Home Office"/>
    <x v="2"/>
    <x v="16"/>
    <s v="Large Box"/>
    <s v="Canon PC-428 Personal Copier"/>
    <n v="0.46"/>
    <s v="United States"/>
    <x v="1"/>
    <s v="Maryland"/>
    <s v="Catonsville"/>
    <n v="21228"/>
    <x v="47"/>
    <d v="2015-04-21T00:00:00"/>
    <n v="631.33000000000004"/>
    <n v="5"/>
    <x v="1217"/>
    <n v="88029"/>
    <x v="1229"/>
  </r>
  <r>
    <n v="23512"/>
    <s v="Low"/>
    <n v="7.0000000000000007E-2"/>
    <n v="3.28"/>
    <n v="3.97"/>
    <n v="2215"/>
    <s v="Christopher High"/>
    <s v="Regular Air"/>
    <s v="Corporate"/>
    <x v="0"/>
    <x v="0"/>
    <s v="Wrap Bag"/>
    <s v="Newell 337"/>
    <n v="0.56000000000000005"/>
    <s v="United States"/>
    <x v="1"/>
    <s v="Ohio"/>
    <s v="Massillon"/>
    <n v="44646"/>
    <x v="96"/>
    <d v="2015-06-23T00:00:00"/>
    <n v="-22.175999999999998"/>
    <n v="4"/>
    <x v="1218"/>
    <n v="90314"/>
    <x v="1182"/>
  </r>
  <r>
    <n v="23513"/>
    <s v="Low"/>
    <n v="0.02"/>
    <n v="256.99"/>
    <n v="11.25"/>
    <n v="2216"/>
    <s v="Clara Kaplan"/>
    <s v="Regular Air"/>
    <s v="Corporate"/>
    <x v="2"/>
    <x v="13"/>
    <s v="Small Box"/>
    <s v="Hayes Optima 56K V.90 Internal Voice Modem"/>
    <n v="0.51"/>
    <s v="United States"/>
    <x v="1"/>
    <s v="Ohio"/>
    <s v="Medina"/>
    <n v="44256"/>
    <x v="96"/>
    <d v="2015-06-30T00:00:00"/>
    <n v="-214.10400000000001"/>
    <n v="3"/>
    <x v="1219"/>
    <n v="90314"/>
    <x v="1230"/>
  </r>
  <r>
    <n v="23514"/>
    <s v="Low"/>
    <n v="0.01"/>
    <n v="6.48"/>
    <n v="5.14"/>
    <n v="2216"/>
    <s v="Clara Kaplan"/>
    <s v="Regular Air"/>
    <s v="Corporate"/>
    <x v="0"/>
    <x v="7"/>
    <s v="Small Box"/>
    <s v="Xerox 23"/>
    <n v="0.37"/>
    <s v="United States"/>
    <x v="1"/>
    <s v="Ohio"/>
    <s v="Medina"/>
    <n v="44256"/>
    <x v="96"/>
    <d v="2015-06-25T00:00:00"/>
    <n v="-26.936"/>
    <n v="10"/>
    <x v="1220"/>
    <n v="90314"/>
    <x v="1231"/>
  </r>
  <r>
    <n v="22712"/>
    <s v="Low"/>
    <n v="0.09"/>
    <n v="14.2"/>
    <n v="5.3"/>
    <n v="2220"/>
    <s v="Jennifer Stanton"/>
    <s v="Regular Air"/>
    <s v="Consumer"/>
    <x v="1"/>
    <x v="2"/>
    <s v="Wrap Bag"/>
    <s v="Coloredge Poster Frame"/>
    <n v="0.46"/>
    <s v="United States"/>
    <x v="3"/>
    <s v="Florida"/>
    <s v="Winter Garden"/>
    <n v="34787"/>
    <x v="136"/>
    <d v="2015-03-01T00:00:00"/>
    <n v="-324.73"/>
    <n v="4"/>
    <x v="1221"/>
    <n v="91036"/>
    <x v="1232"/>
  </r>
  <r>
    <n v="24113"/>
    <s v="Critical"/>
    <n v="0"/>
    <n v="100.89"/>
    <n v="42"/>
    <n v="2225"/>
    <s v="Sean McKenna"/>
    <s v="Delivery Truck"/>
    <s v="Small Business"/>
    <x v="1"/>
    <x v="1"/>
    <s v="Jumbo Drum"/>
    <s v="Office Star Flex Back Scooter Chair with Aluminum Finish Frame"/>
    <n v="0.61"/>
    <s v="United States"/>
    <x v="0"/>
    <s v="New Mexico"/>
    <s v="Hobbs"/>
    <n v="88240"/>
    <x v="54"/>
    <d v="2015-02-22T00:00:00"/>
    <n v="1500.12"/>
    <n v="15"/>
    <x v="1222"/>
    <n v="89970"/>
    <x v="1233"/>
  </r>
  <r>
    <n v="18820"/>
    <s v="Low"/>
    <n v="0.01"/>
    <n v="13.43"/>
    <n v="5.5"/>
    <n v="2240"/>
    <s v="Maurice Kelly"/>
    <s v="Express Air"/>
    <s v="Corporate"/>
    <x v="0"/>
    <x v="10"/>
    <s v="Small Box"/>
    <s v="Fellowes Personal Hanging Folder Files, Navy"/>
    <n v="0.56999999999999995"/>
    <s v="United States"/>
    <x v="3"/>
    <s v="Florida"/>
    <s v="Lakeland"/>
    <n v="33801"/>
    <x v="34"/>
    <d v="2015-04-13T00:00:00"/>
    <n v="-313.02179999999998"/>
    <n v="7"/>
    <x v="1223"/>
    <n v="89102"/>
    <x v="1234"/>
  </r>
  <r>
    <n v="24121"/>
    <s v="Low"/>
    <n v="0"/>
    <n v="2.08"/>
    <n v="5.33"/>
    <n v="2250"/>
    <s v="Alvin Hoover"/>
    <s v="Regular Air"/>
    <s v="Home Office"/>
    <x v="1"/>
    <x v="2"/>
    <s v="Small Box"/>
    <s v="Eldon® Wave Desk Accessories"/>
    <n v="0.43"/>
    <s v="United States"/>
    <x v="1"/>
    <s v="Pennsylvania"/>
    <s v="State College"/>
    <n v="16801"/>
    <x v="53"/>
    <d v="2015-04-20T00:00:00"/>
    <n v="-192.5532"/>
    <n v="22"/>
    <x v="1224"/>
    <n v="86699"/>
    <x v="1235"/>
  </r>
  <r>
    <n v="25440"/>
    <s v="Low"/>
    <n v="0.1"/>
    <n v="6.3"/>
    <n v="0.5"/>
    <n v="2254"/>
    <s v="Jeff Meadows"/>
    <s v="Regular Air"/>
    <s v="Corporate"/>
    <x v="0"/>
    <x v="9"/>
    <s v="Small Box"/>
    <s v="Avery 48"/>
    <n v="0.39"/>
    <s v="United States"/>
    <x v="3"/>
    <s v="Kentucky"/>
    <s v="Paducah"/>
    <n v="42003"/>
    <x v="39"/>
    <d v="2015-02-01T00:00:00"/>
    <n v="-464.28199999999998"/>
    <n v="12"/>
    <x v="1225"/>
    <n v="89278"/>
    <x v="1236"/>
  </r>
  <r>
    <n v="20639"/>
    <s v="High"/>
    <n v="0.1"/>
    <n v="48.91"/>
    <n v="5.97"/>
    <n v="2254"/>
    <s v="Jeff Meadows"/>
    <s v="Regular Air"/>
    <s v="Corporate"/>
    <x v="0"/>
    <x v="7"/>
    <s v="Small Box"/>
    <s v="Xerox 1917"/>
    <n v="0.38"/>
    <s v="United States"/>
    <x v="3"/>
    <s v="Kentucky"/>
    <s v="Paducah"/>
    <n v="42003"/>
    <x v="65"/>
    <d v="2015-04-30T00:00:00"/>
    <n v="156.74340000000001"/>
    <n v="14"/>
    <x v="1226"/>
    <n v="89279"/>
    <x v="1237"/>
  </r>
  <r>
    <n v="20640"/>
    <s v="High"/>
    <n v="0.08"/>
    <n v="5.98"/>
    <n v="5.46"/>
    <n v="2254"/>
    <s v="Jeff Meadows"/>
    <s v="Regular Air"/>
    <s v="Corporate"/>
    <x v="0"/>
    <x v="7"/>
    <s v="Small Box"/>
    <s v="Xerox 1983"/>
    <n v="0.36"/>
    <s v="United States"/>
    <x v="3"/>
    <s v="Kentucky"/>
    <s v="Paducah"/>
    <n v="42003"/>
    <x v="65"/>
    <d v="2015-04-28T00:00:00"/>
    <n v="110.11799999999999"/>
    <n v="13"/>
    <x v="1227"/>
    <n v="89279"/>
    <x v="1238"/>
  </r>
  <r>
    <n v="19054"/>
    <s v="Critical"/>
    <n v="7.0000000000000007E-2"/>
    <n v="60.97"/>
    <n v="4.5"/>
    <n v="2256"/>
    <s v="Lloyd Levin"/>
    <s v="Express Air"/>
    <s v="Corporate"/>
    <x v="0"/>
    <x v="15"/>
    <s v="Small Box"/>
    <s v="Tripp Lite Isotel 6 Outlet Surge Protector with Fax/Modem Protection"/>
    <n v="0.56000000000000005"/>
    <s v="United States"/>
    <x v="3"/>
    <s v="North Carolina"/>
    <s v="New Bern"/>
    <n v="28560"/>
    <x v="22"/>
    <d v="2015-01-04T00:00:00"/>
    <n v="-42.588000000000001"/>
    <n v="6"/>
    <x v="1228"/>
    <n v="87963"/>
    <x v="1239"/>
  </r>
  <r>
    <n v="18652"/>
    <s v="Medium"/>
    <n v="7.0000000000000007E-2"/>
    <n v="70.98"/>
    <n v="30"/>
    <n v="2256"/>
    <s v="Lloyd Levin"/>
    <s v="Delivery Truck"/>
    <s v="Corporate"/>
    <x v="1"/>
    <x v="1"/>
    <s v="Jumbo Drum"/>
    <s v="Novimex Turbo Task Chair"/>
    <n v="0.73"/>
    <s v="United States"/>
    <x v="3"/>
    <s v="North Carolina"/>
    <s v="New Bern"/>
    <n v="28560"/>
    <x v="120"/>
    <d v="2015-03-26T00:00:00"/>
    <n v="-222.95"/>
    <n v="20"/>
    <x v="1229"/>
    <n v="87964"/>
    <x v="1240"/>
  </r>
  <r>
    <n v="21937"/>
    <s v="High"/>
    <n v="0.06"/>
    <n v="6.68"/>
    <n v="6.93"/>
    <n v="2257"/>
    <s v="Bernard Thompson"/>
    <s v="Regular Air"/>
    <s v="Corporate"/>
    <x v="0"/>
    <x v="7"/>
    <s v="Small Box"/>
    <s v="HP Office Paper (20Lb. and 87 Bright)"/>
    <n v="0.37"/>
    <s v="United States"/>
    <x v="3"/>
    <s v="North Carolina"/>
    <s v="Raleigh"/>
    <n v="27604"/>
    <x v="20"/>
    <d v="2015-06-13T00:00:00"/>
    <n v="7.6245000000000003"/>
    <n v="14"/>
    <x v="1230"/>
    <n v="87965"/>
    <x v="1241"/>
  </r>
  <r>
    <n v="26361"/>
    <s v="Low"/>
    <n v="0.01"/>
    <n v="7.64"/>
    <n v="1.39"/>
    <n v="2258"/>
    <s v="Nicole Pope"/>
    <s v="Express Air"/>
    <s v="Corporate"/>
    <x v="0"/>
    <x v="4"/>
    <s v="Small Box"/>
    <s v="#10- 4 1/8&quot; x 9 1/2&quot; Security-Tint Envelopes"/>
    <n v="0.36"/>
    <s v="United States"/>
    <x v="3"/>
    <s v="North Carolina"/>
    <s v="Rocky Mount"/>
    <n v="27801"/>
    <x v="156"/>
    <d v="2015-03-13T00:00:00"/>
    <n v="-1676.6120000000001"/>
    <n v="9"/>
    <x v="1231"/>
    <n v="87962"/>
    <x v="1242"/>
  </r>
  <r>
    <n v="26362"/>
    <s v="Low"/>
    <n v="7.0000000000000007E-2"/>
    <n v="400.97"/>
    <n v="48.26"/>
    <n v="2258"/>
    <s v="Nicole Pope"/>
    <s v="Delivery Truck"/>
    <s v="Corporate"/>
    <x v="2"/>
    <x v="6"/>
    <s v="Jumbo Box"/>
    <s v="Hewlett-Packard Deskjet 1220Cse Color Inkjet Printer"/>
    <n v="0.36"/>
    <s v="United States"/>
    <x v="3"/>
    <s v="North Carolina"/>
    <s v="Rocky Mount"/>
    <n v="27801"/>
    <x v="156"/>
    <d v="2015-03-13T00:00:00"/>
    <n v="45.127800000000001"/>
    <n v="8"/>
    <x v="1232"/>
    <n v="87962"/>
    <x v="1243"/>
  </r>
  <r>
    <n v="20187"/>
    <s v="Critical"/>
    <n v="0.02"/>
    <n v="4.9800000000000004"/>
    <n v="0.49"/>
    <n v="2260"/>
    <s v="Geoffrey H Wong"/>
    <s v="Regular Air"/>
    <s v="Corporate"/>
    <x v="0"/>
    <x v="9"/>
    <s v="Small Box"/>
    <s v="Avery White Multi-Purpose Labels"/>
    <n v="0.39"/>
    <s v="United States"/>
    <x v="3"/>
    <s v="Georgia"/>
    <s v="Rome"/>
    <n v="30161"/>
    <x v="2"/>
    <d v="2015-02-16T00:00:00"/>
    <n v="-52.863999999999997"/>
    <n v="17"/>
    <x v="1233"/>
    <n v="89601"/>
    <x v="1244"/>
  </r>
  <r>
    <n v="20188"/>
    <s v="Critical"/>
    <n v="0.01"/>
    <n v="20.99"/>
    <n v="0.99"/>
    <n v="2260"/>
    <s v="Geoffrey H Wong"/>
    <s v="Regular Air"/>
    <s v="Corporate"/>
    <x v="2"/>
    <x v="5"/>
    <s v="Small Pack"/>
    <s v="Accessory15"/>
    <n v="0.83"/>
    <s v="United States"/>
    <x v="3"/>
    <s v="Georgia"/>
    <s v="Rome"/>
    <n v="30161"/>
    <x v="2"/>
    <d v="2015-02-16T00:00:00"/>
    <n v="45.378"/>
    <n v="9"/>
    <x v="1234"/>
    <n v="89601"/>
    <x v="1245"/>
  </r>
  <r>
    <n v="19569"/>
    <s v="High"/>
    <n v="0.08"/>
    <n v="4.9800000000000004"/>
    <n v="0.49"/>
    <n v="2260"/>
    <s v="Geoffrey H Wong"/>
    <s v="Regular Air"/>
    <s v="Corporate"/>
    <x v="0"/>
    <x v="9"/>
    <s v="Small Box"/>
    <s v="Avery White Multi-Purpose Labels"/>
    <n v="0.39"/>
    <s v="United States"/>
    <x v="3"/>
    <s v="Georgia"/>
    <s v="Rome"/>
    <n v="30161"/>
    <x v="109"/>
    <d v="2015-04-22T00:00:00"/>
    <n v="4949.9160000000002"/>
    <n v="1"/>
    <x v="1235"/>
    <n v="89602"/>
    <x v="1246"/>
  </r>
  <r>
    <n v="19570"/>
    <s v="High"/>
    <n v="0.09"/>
    <n v="119.99"/>
    <n v="14"/>
    <n v="2260"/>
    <s v="Geoffrey H Wong"/>
    <s v="Delivery Truck"/>
    <s v="Corporate"/>
    <x v="2"/>
    <x v="6"/>
    <s v="Jumbo Drum"/>
    <s v="Epson C82 Color Inkjet Printer"/>
    <n v="0.36"/>
    <s v="United States"/>
    <x v="3"/>
    <s v="Georgia"/>
    <s v="Rome"/>
    <n v="30161"/>
    <x v="109"/>
    <d v="2015-04-23T00:00:00"/>
    <n v="1055.604"/>
    <n v="4"/>
    <x v="1236"/>
    <n v="89602"/>
    <x v="1247"/>
  </r>
  <r>
    <n v="18142"/>
    <s v="Not Specified"/>
    <n v="0.09"/>
    <n v="207.48"/>
    <n v="0.99"/>
    <n v="2264"/>
    <s v="Helen Dickerson"/>
    <s v="Regular Air"/>
    <s v="Corporate"/>
    <x v="0"/>
    <x v="15"/>
    <s v="Small Box"/>
    <s v="Kensington 7 Outlet MasterPiece Power Center with Fax/Phone Line Protection"/>
    <n v="0.55000000000000004"/>
    <s v="United States"/>
    <x v="2"/>
    <s v="Missouri"/>
    <s v="Joplin"/>
    <n v="64804"/>
    <x v="161"/>
    <d v="2015-01-29T00:00:00"/>
    <n v="359.83"/>
    <n v="3"/>
    <x v="1237"/>
    <n v="86611"/>
    <x v="1248"/>
  </r>
  <r>
    <n v="19171"/>
    <s v="Critical"/>
    <n v="0.1"/>
    <n v="7.45"/>
    <n v="6.28"/>
    <n v="2265"/>
    <s v="James Davenport"/>
    <s v="Regular Air"/>
    <s v="Corporate"/>
    <x v="0"/>
    <x v="8"/>
    <s v="Small Box"/>
    <s v="Acco Four Pocket Poly Ring Binder with Label Holder, Smoke, 1&quot;"/>
    <n v="0.4"/>
    <s v="United States"/>
    <x v="2"/>
    <s v="Missouri"/>
    <s v="Kansas City"/>
    <n v="64130"/>
    <x v="134"/>
    <d v="2015-02-01T00:00:00"/>
    <n v="-69.873999999999995"/>
    <n v="8"/>
    <x v="1238"/>
    <n v="86612"/>
    <x v="1249"/>
  </r>
  <r>
    <n v="19172"/>
    <s v="Critical"/>
    <n v="0.01"/>
    <n v="6.48"/>
    <n v="7.86"/>
    <n v="2265"/>
    <s v="James Davenport"/>
    <s v="Regular Air"/>
    <s v="Corporate"/>
    <x v="0"/>
    <x v="7"/>
    <s v="Small Box"/>
    <s v="Xerox 213"/>
    <n v="0.37"/>
    <s v="United States"/>
    <x v="2"/>
    <s v="Missouri"/>
    <s v="Kansas City"/>
    <n v="64130"/>
    <x v="134"/>
    <d v="2015-01-31T00:00:00"/>
    <n v="-135.74"/>
    <n v="10"/>
    <x v="1239"/>
    <n v="86612"/>
    <x v="1250"/>
  </r>
  <r>
    <n v="25996"/>
    <s v="Critical"/>
    <n v="0.02"/>
    <n v="11.33"/>
    <n v="6.12"/>
    <n v="2266"/>
    <s v="Brandon Beach"/>
    <s v="Regular Air"/>
    <s v="Corporate"/>
    <x v="0"/>
    <x v="15"/>
    <s v="Medium Box"/>
    <s v="Holmes Replacement Filter for HEPA Air Cleaner, Medium Room"/>
    <n v="0.42"/>
    <s v="United States"/>
    <x v="2"/>
    <s v="Missouri"/>
    <s v="Kirkwood"/>
    <n v="63122"/>
    <x v="66"/>
    <d v="2015-05-28T00:00:00"/>
    <n v="-14.52"/>
    <n v="3"/>
    <x v="1240"/>
    <n v="86610"/>
    <x v="1251"/>
  </r>
  <r>
    <n v="25997"/>
    <s v="Critical"/>
    <n v="0.01"/>
    <n v="15.67"/>
    <n v="1.39"/>
    <n v="2266"/>
    <s v="Brandon Beach"/>
    <s v="Regular Air"/>
    <s v="Corporate"/>
    <x v="0"/>
    <x v="4"/>
    <s v="Small Box"/>
    <s v="#10 White Business Envelopes,4 1/8 x 9 1/2"/>
    <n v="0.38"/>
    <s v="United States"/>
    <x v="2"/>
    <s v="Missouri"/>
    <s v="Kirkwood"/>
    <n v="63122"/>
    <x v="66"/>
    <d v="2015-05-27T00:00:00"/>
    <n v="171.26490000000001"/>
    <n v="16"/>
    <x v="1241"/>
    <n v="86610"/>
    <x v="1252"/>
  </r>
  <r>
    <n v="19072"/>
    <s v="Low"/>
    <n v="0.08"/>
    <n v="259.70999999999998"/>
    <n v="66.67"/>
    <n v="2268"/>
    <s v="Carlos Adkins"/>
    <s v="Delivery Truck"/>
    <s v="Small Business"/>
    <x v="1"/>
    <x v="11"/>
    <s v="Jumbo Box"/>
    <s v="Bevis Round Bullnose 29&quot; High Table Top"/>
    <n v="0.61"/>
    <s v="United States"/>
    <x v="3"/>
    <s v="Florida"/>
    <s v="Land O Lakes"/>
    <n v="34639"/>
    <x v="26"/>
    <d v="2015-06-07T00:00:00"/>
    <n v="138.22200000000001"/>
    <n v="17"/>
    <x v="1242"/>
    <n v="89571"/>
    <x v="1253"/>
  </r>
  <r>
    <n v="23963"/>
    <s v="Low"/>
    <n v="0.01"/>
    <n v="20.48"/>
    <n v="6.32"/>
    <n v="2270"/>
    <s v="Kristine Holden"/>
    <s v="Regular Air"/>
    <s v="Small Business"/>
    <x v="0"/>
    <x v="15"/>
    <s v="Small Box"/>
    <s v="Kensington 6 Outlet Guardian Standard Surge Protector"/>
    <n v="0.57999999999999996"/>
    <s v="United States"/>
    <x v="3"/>
    <s v="South Carolina"/>
    <s v="Mauldin"/>
    <n v="29662"/>
    <x v="92"/>
    <d v="2015-02-08T00:00:00"/>
    <n v="711.24480000000005"/>
    <n v="18"/>
    <x v="1243"/>
    <n v="89572"/>
    <x v="1254"/>
  </r>
  <r>
    <n v="23964"/>
    <s v="Low"/>
    <n v="0.09"/>
    <n v="1.86"/>
    <n v="2.58"/>
    <n v="2270"/>
    <s v="Kristine Holden"/>
    <s v="Regular Air"/>
    <s v="Small Business"/>
    <x v="0"/>
    <x v="3"/>
    <s v="Wrap Bag"/>
    <s v="Super Bands, 12/Pack"/>
    <n v="0.82"/>
    <s v="United States"/>
    <x v="3"/>
    <s v="South Carolina"/>
    <s v="Mauldin"/>
    <n v="29662"/>
    <x v="92"/>
    <d v="2015-02-11T00:00:00"/>
    <n v="-1084.846963"/>
    <n v="12"/>
    <x v="1244"/>
    <n v="89572"/>
    <x v="1255"/>
  </r>
  <r>
    <n v="23965"/>
    <s v="Low"/>
    <n v="0.08"/>
    <n v="205.99"/>
    <n v="2.5"/>
    <n v="2270"/>
    <s v="Kristine Holden"/>
    <s v="Regular Air"/>
    <s v="Small Business"/>
    <x v="2"/>
    <x v="5"/>
    <s v="Small Box"/>
    <s v="V70"/>
    <n v="0.59"/>
    <s v="United States"/>
    <x v="3"/>
    <s v="South Carolina"/>
    <s v="Mauldin"/>
    <n v="29662"/>
    <x v="92"/>
    <d v="2015-02-11T00:00:00"/>
    <n v="-156.77199999999999"/>
    <n v="17"/>
    <x v="1245"/>
    <n v="89572"/>
    <x v="1256"/>
  </r>
  <r>
    <n v="19438"/>
    <s v="High"/>
    <n v="0.08"/>
    <n v="15.73"/>
    <n v="7.42"/>
    <n v="2272"/>
    <s v="Brett Ingram"/>
    <s v="Express Air"/>
    <s v="Corporate"/>
    <x v="0"/>
    <x v="12"/>
    <s v="Small Pack"/>
    <s v="Acme Galleria® Hot Forged Steel Scissors with Colored Handles"/>
    <n v="0.56000000000000005"/>
    <s v="United States"/>
    <x v="2"/>
    <s v="Texas"/>
    <s v="Harker Heights"/>
    <n v="76543"/>
    <x v="44"/>
    <d v="2015-03-18T00:00:00"/>
    <n v="-37.6"/>
    <n v="5"/>
    <x v="1246"/>
    <n v="90110"/>
    <x v="1257"/>
  </r>
  <r>
    <n v="23416"/>
    <s v="Low"/>
    <n v="0.04"/>
    <n v="120.98"/>
    <n v="3.99"/>
    <n v="2273"/>
    <s v="Debra Block"/>
    <s v="Regular Air"/>
    <s v="Corporate"/>
    <x v="0"/>
    <x v="15"/>
    <s v="Small Box"/>
    <s v="Belkin 325VA UPS Surge Protector, 6'"/>
    <n v="0.6"/>
    <s v="United States"/>
    <x v="2"/>
    <s v="Texas"/>
    <s v="Harlingen"/>
    <n v="78550"/>
    <x v="130"/>
    <d v="2015-05-05T00:00:00"/>
    <n v="1389.5771999999999"/>
    <n v="17"/>
    <x v="1247"/>
    <n v="90109"/>
    <x v="1258"/>
  </r>
  <r>
    <n v="23417"/>
    <s v="Low"/>
    <n v="0.02"/>
    <n v="55.99"/>
    <n v="5"/>
    <n v="2273"/>
    <s v="Debra Block"/>
    <s v="Regular Air"/>
    <s v="Corporate"/>
    <x v="2"/>
    <x v="5"/>
    <s v="Small Pack"/>
    <s v="Accessory36"/>
    <n v="0.83"/>
    <s v="United States"/>
    <x v="2"/>
    <s v="Texas"/>
    <s v="Harlingen"/>
    <n v="78550"/>
    <x v="130"/>
    <d v="2015-05-05T00:00:00"/>
    <n v="-222.816"/>
    <n v="4"/>
    <x v="1248"/>
    <n v="90109"/>
    <x v="1259"/>
  </r>
  <r>
    <n v="23418"/>
    <s v="Low"/>
    <n v="0.05"/>
    <n v="23.99"/>
    <n v="15.68"/>
    <n v="2274"/>
    <s v="Marlene Harrison"/>
    <s v="Delivery Truck"/>
    <s v="Corporate"/>
    <x v="1"/>
    <x v="2"/>
    <s v="Jumbo Drum"/>
    <s v="Westinghouse Floor Lamp with Metal Mesh Shade, Black"/>
    <n v="0.62"/>
    <s v="United States"/>
    <x v="2"/>
    <s v="Texas"/>
    <s v="Houston"/>
    <n v="77036"/>
    <x v="130"/>
    <d v="2015-05-09T00:00:00"/>
    <n v="-133.71"/>
    <n v="12"/>
    <x v="1249"/>
    <n v="90109"/>
    <x v="1260"/>
  </r>
  <r>
    <n v="24552"/>
    <s v="Not Specified"/>
    <n v="0.01"/>
    <n v="195.99"/>
    <n v="8.99"/>
    <n v="2276"/>
    <s v="Dennis Block Richardson"/>
    <s v="Regular Air"/>
    <s v="Consumer"/>
    <x v="2"/>
    <x v="5"/>
    <s v="Small Box"/>
    <s v="T28 WORLD"/>
    <n v="0.6"/>
    <s v="United States"/>
    <x v="1"/>
    <s v="New York"/>
    <s v="Niagara Falls"/>
    <n v="14304"/>
    <x v="133"/>
    <d v="2015-06-30T00:00:00"/>
    <n v="2653.7813999999998"/>
    <n v="22"/>
    <x v="1250"/>
    <n v="91502"/>
    <x v="1261"/>
  </r>
  <r>
    <n v="23572"/>
    <s v="Low"/>
    <n v="0.04"/>
    <n v="4.4800000000000004"/>
    <n v="2.5"/>
    <n v="2279"/>
    <s v="Lucille McGee"/>
    <s v="Express Air"/>
    <s v="Home Office"/>
    <x v="0"/>
    <x v="4"/>
    <s v="Small Box"/>
    <s v="Ampad #10 Peel &amp; Seel® Holiday Envelopes"/>
    <n v="0.37"/>
    <s v="United States"/>
    <x v="1"/>
    <s v="Pennsylvania"/>
    <s v="Greensburg"/>
    <n v="15601"/>
    <x v="33"/>
    <d v="2015-06-26T00:00:00"/>
    <n v="10.32"/>
    <n v="7"/>
    <x v="1251"/>
    <n v="85949"/>
    <x v="1262"/>
  </r>
  <r>
    <n v="19615"/>
    <s v="Not Specified"/>
    <n v="0.08"/>
    <n v="205.99"/>
    <n v="2.5"/>
    <n v="2281"/>
    <s v="Monica Harvey"/>
    <s v="Regular Air"/>
    <s v="Home Office"/>
    <x v="2"/>
    <x v="5"/>
    <s v="Small Box"/>
    <s v="V70"/>
    <n v="0.59"/>
    <s v="United States"/>
    <x v="2"/>
    <s v="Wisconsin"/>
    <s v="Eau Claire"/>
    <n v="54703"/>
    <x v="39"/>
    <d v="2015-01-28T00:00:00"/>
    <n v="997.38144"/>
    <n v="10"/>
    <x v="1252"/>
    <n v="85948"/>
    <x v="1263"/>
  </r>
  <r>
    <n v="21260"/>
    <s v="Medium"/>
    <n v="0.04"/>
    <n v="5.98"/>
    <n v="5.79"/>
    <n v="2282"/>
    <s v="Jimmy Waters"/>
    <s v="Regular Air"/>
    <s v="Home Office"/>
    <x v="0"/>
    <x v="7"/>
    <s v="Small Box"/>
    <s v="Xerox 1903"/>
    <n v="0.36"/>
    <s v="United States"/>
    <x v="2"/>
    <s v="Wisconsin"/>
    <s v="Fitchburg"/>
    <n v="53713"/>
    <x v="64"/>
    <d v="2015-02-07T00:00:00"/>
    <n v="-36.030799999999999"/>
    <n v="14"/>
    <x v="1253"/>
    <n v="85950"/>
    <x v="1264"/>
  </r>
  <r>
    <n v="26148"/>
    <s v="Medium"/>
    <n v="0.01"/>
    <n v="11.7"/>
    <n v="6.96"/>
    <n v="2283"/>
    <s v="Nancy Holden"/>
    <s v="Regular Air"/>
    <s v="Home Office"/>
    <x v="0"/>
    <x v="15"/>
    <s v="Medium Box"/>
    <s v="Harmony HEPA Quiet Air Purifiers"/>
    <n v="0.5"/>
    <s v="United States"/>
    <x v="2"/>
    <s v="Wisconsin"/>
    <s v="Franklin"/>
    <n v="53132"/>
    <x v="76"/>
    <d v="2015-01-26T00:00:00"/>
    <n v="-28.954000000000001"/>
    <n v="6"/>
    <x v="1254"/>
    <n v="85947"/>
    <x v="1265"/>
  </r>
  <r>
    <n v="19460"/>
    <s v="Medium"/>
    <n v="0.02"/>
    <n v="17.7"/>
    <n v="9.4700000000000006"/>
    <n v="2285"/>
    <s v="Arnold Floyd Blair"/>
    <s v="Express Air"/>
    <s v="Corporate"/>
    <x v="0"/>
    <x v="10"/>
    <s v="Small Box"/>
    <s v="Portfile® Personal File Boxes"/>
    <n v="0.59"/>
    <s v="United States"/>
    <x v="3"/>
    <s v="South Carolina"/>
    <s v="Rock Hill"/>
    <n v="29730"/>
    <x v="114"/>
    <d v="2015-03-15T00:00:00"/>
    <n v="-85.022000000000006"/>
    <n v="21"/>
    <x v="1255"/>
    <n v="90148"/>
    <x v="1266"/>
  </r>
  <r>
    <n v="21529"/>
    <s v="Medium"/>
    <n v="0"/>
    <n v="4.91"/>
    <n v="0.5"/>
    <n v="2286"/>
    <s v="Larry Langston"/>
    <s v="Regular Air"/>
    <s v="Corporate"/>
    <x v="0"/>
    <x v="9"/>
    <s v="Small Box"/>
    <s v="Avery 493"/>
    <n v="0.36"/>
    <s v="United States"/>
    <x v="3"/>
    <s v="South Carolina"/>
    <s v="Spartanburg"/>
    <n v="29301"/>
    <x v="128"/>
    <d v="2015-02-06T00:00:00"/>
    <n v="99.197999999999993"/>
    <n v="12"/>
    <x v="1256"/>
    <n v="90145"/>
    <x v="1267"/>
  </r>
  <r>
    <n v="21530"/>
    <s v="Medium"/>
    <n v="0.01"/>
    <n v="7.28"/>
    <n v="11.15"/>
    <n v="2286"/>
    <s v="Larry Langston"/>
    <s v="Regular Air"/>
    <s v="Corporate"/>
    <x v="0"/>
    <x v="7"/>
    <s v="Small Box"/>
    <s v="Array® Parchment Paper, Assorted Colors"/>
    <n v="0.37"/>
    <s v="United States"/>
    <x v="3"/>
    <s v="South Carolina"/>
    <s v="Spartanburg"/>
    <n v="29301"/>
    <x v="128"/>
    <d v="2015-02-05T00:00:00"/>
    <n v="136.03139999999999"/>
    <n v="6"/>
    <x v="1257"/>
    <n v="90145"/>
    <x v="1268"/>
  </r>
  <r>
    <n v="21531"/>
    <s v="Medium"/>
    <n v="0.1"/>
    <n v="6.68"/>
    <n v="6.93"/>
    <n v="2286"/>
    <s v="Larry Langston"/>
    <s v="Regular Air"/>
    <s v="Corporate"/>
    <x v="0"/>
    <x v="7"/>
    <s v="Small Box"/>
    <s v="HP Office Paper (20Lb. and 87 Bright)"/>
    <n v="0.37"/>
    <s v="United States"/>
    <x v="3"/>
    <s v="South Carolina"/>
    <s v="Spartanburg"/>
    <n v="29301"/>
    <x v="128"/>
    <d v="2015-02-07T00:00:00"/>
    <n v="-100.072"/>
    <n v="3"/>
    <x v="1258"/>
    <n v="90145"/>
    <x v="1269"/>
  </r>
  <r>
    <n v="25183"/>
    <s v="Not Specified"/>
    <n v="0.01"/>
    <n v="18.97"/>
    <n v="9.0299999999999994"/>
    <n v="2287"/>
    <s v="Samuel Newman"/>
    <s v="Regular Air"/>
    <s v="Corporate"/>
    <x v="0"/>
    <x v="7"/>
    <s v="Small Box"/>
    <s v="Computer Printout Paper with Letter-Trim Perforations"/>
    <n v="0.37"/>
    <s v="United States"/>
    <x v="3"/>
    <s v="South Carolina"/>
    <s v="Summerville"/>
    <n v="29483"/>
    <x v="78"/>
    <d v="2015-03-25T00:00:00"/>
    <n v="-12.0267"/>
    <n v="8"/>
    <x v="1259"/>
    <n v="90146"/>
    <x v="1270"/>
  </r>
  <r>
    <n v="25184"/>
    <s v="Not Specified"/>
    <n v="0.03"/>
    <n v="12.28"/>
    <n v="4.8600000000000003"/>
    <n v="2287"/>
    <s v="Samuel Newman"/>
    <s v="Regular Air"/>
    <s v="Corporate"/>
    <x v="0"/>
    <x v="7"/>
    <s v="Small Box"/>
    <s v="Xerox 1933"/>
    <n v="0.38"/>
    <s v="United States"/>
    <x v="3"/>
    <s v="South Carolina"/>
    <s v="Summerville"/>
    <n v="29483"/>
    <x v="78"/>
    <d v="2015-03-26T00:00:00"/>
    <n v="122.508"/>
    <n v="6"/>
    <x v="1260"/>
    <n v="90146"/>
    <x v="1271"/>
  </r>
  <r>
    <n v="25185"/>
    <s v="Not Specified"/>
    <n v="0.05"/>
    <n v="34.99"/>
    <n v="7.73"/>
    <n v="2287"/>
    <s v="Samuel Newman"/>
    <s v="Express Air"/>
    <s v="Corporate"/>
    <x v="0"/>
    <x v="0"/>
    <s v="Small Box"/>
    <s v="Hunt Boston® Vacuum Mount KS Pencil Sharpener"/>
    <n v="0.59"/>
    <s v="United States"/>
    <x v="3"/>
    <s v="South Carolina"/>
    <s v="Summerville"/>
    <n v="29483"/>
    <x v="78"/>
    <d v="2015-03-27T00:00:00"/>
    <n v="-12.0267"/>
    <n v="12"/>
    <x v="1261"/>
    <n v="90146"/>
    <x v="1272"/>
  </r>
  <r>
    <n v="24396"/>
    <s v="Low"/>
    <n v="0.1"/>
    <n v="54.1"/>
    <n v="19.989999999999998"/>
    <n v="2287"/>
    <s v="Samuel Newman"/>
    <s v="Regular Air"/>
    <s v="Corporate"/>
    <x v="0"/>
    <x v="10"/>
    <s v="Small Box"/>
    <s v="Desktop 3-Pocket Hot File®"/>
    <n v="0.59"/>
    <s v="United States"/>
    <x v="3"/>
    <s v="South Carolina"/>
    <s v="Summerville"/>
    <n v="29483"/>
    <x v="153"/>
    <d v="2015-02-24T00:00:00"/>
    <n v="34.067999999999998"/>
    <n v="9"/>
    <x v="1262"/>
    <n v="90147"/>
    <x v="1273"/>
  </r>
  <r>
    <n v="19243"/>
    <s v="Critical"/>
    <n v="0.01"/>
    <n v="7.59"/>
    <n v="4"/>
    <n v="2289"/>
    <s v="Ryan Herman"/>
    <s v="Regular Air"/>
    <s v="Home Office"/>
    <x v="1"/>
    <x v="2"/>
    <s v="Wrap Bag"/>
    <s v="Master Giant Foot® Doorstop, Safety Yellow"/>
    <n v="0.42"/>
    <s v="United States"/>
    <x v="2"/>
    <s v="Minnesota"/>
    <s v="Burnsville"/>
    <n v="55337"/>
    <x v="82"/>
    <d v="2015-05-04T00:00:00"/>
    <n v="2.97"/>
    <n v="17"/>
    <x v="1263"/>
    <n v="88165"/>
    <x v="1274"/>
  </r>
  <r>
    <n v="21334"/>
    <s v="Not Specified"/>
    <n v="0"/>
    <n v="42.98"/>
    <n v="4.62"/>
    <n v="2290"/>
    <s v="Glen Robertson"/>
    <s v="Regular Air"/>
    <s v="Home Office"/>
    <x v="0"/>
    <x v="15"/>
    <s v="Small Box"/>
    <s v="Belkin F9M820V08 8 Outlet Surge"/>
    <n v="0.56000000000000005"/>
    <s v="United States"/>
    <x v="2"/>
    <s v="Minnesota"/>
    <s v="Coon Rapids"/>
    <n v="55433"/>
    <x v="61"/>
    <d v="2015-01-08T00:00:00"/>
    <n v="385.30290000000002"/>
    <n v="12"/>
    <x v="1264"/>
    <n v="88163"/>
    <x v="1275"/>
  </r>
  <r>
    <n v="21335"/>
    <s v="Not Specified"/>
    <n v="0.03"/>
    <n v="21.78"/>
    <n v="5.94"/>
    <n v="2290"/>
    <s v="Glen Robertson"/>
    <s v="Regular Air"/>
    <s v="Home Office"/>
    <x v="0"/>
    <x v="15"/>
    <s v="Medium Box"/>
    <s v="Holmes HEPA Air Purifier"/>
    <n v="0.5"/>
    <s v="United States"/>
    <x v="2"/>
    <s v="Minnesota"/>
    <s v="Coon Rapids"/>
    <n v="55433"/>
    <x v="61"/>
    <d v="2015-01-08T00:00:00"/>
    <n v="187.2"/>
    <n v="13"/>
    <x v="1265"/>
    <n v="88163"/>
    <x v="1276"/>
  </r>
  <r>
    <n v="19723"/>
    <s v="Medium"/>
    <n v="7.0000000000000007E-2"/>
    <n v="80.98"/>
    <n v="7.18"/>
    <n v="2290"/>
    <s v="Glen Robertson"/>
    <s v="Regular Air"/>
    <s v="Corporate"/>
    <x v="2"/>
    <x v="13"/>
    <s v="Small Box"/>
    <s v="Logitech Cordless Navigator Duo"/>
    <n v="0.48"/>
    <s v="United States"/>
    <x v="2"/>
    <s v="Minnesota"/>
    <s v="Coon Rapids"/>
    <n v="55433"/>
    <x v="128"/>
    <d v="2015-02-06T00:00:00"/>
    <n v="779.47230000000002"/>
    <n v="15"/>
    <x v="1266"/>
    <n v="88164"/>
    <x v="1277"/>
  </r>
  <r>
    <n v="24673"/>
    <s v="Critical"/>
    <n v="7.0000000000000007E-2"/>
    <n v="270.98"/>
    <n v="50"/>
    <n v="2302"/>
    <s v="Beth Dolan"/>
    <s v="Delivery Truck"/>
    <s v="Corporate"/>
    <x v="1"/>
    <x v="1"/>
    <s v="Jumbo Drum"/>
    <s v="Global Enterprise Series Seating High-Back Swivel/Tilt Chairs"/>
    <n v="0.77"/>
    <s v="United States"/>
    <x v="3"/>
    <s v="Florida"/>
    <s v="Panama City"/>
    <n v="32404"/>
    <x v="143"/>
    <d v="2015-02-13T00:00:00"/>
    <n v="27.725999999999999"/>
    <n v="9"/>
    <x v="1267"/>
    <n v="87695"/>
    <x v="1278"/>
  </r>
  <r>
    <n v="23344"/>
    <s v="High"/>
    <n v="0.1"/>
    <n v="12.53"/>
    <n v="0.49"/>
    <n v="2302"/>
    <s v="Beth Dolan"/>
    <s v="Regular Air"/>
    <s v="Corporate"/>
    <x v="0"/>
    <x v="9"/>
    <s v="Small Box"/>
    <s v="Round Specialty Laser Printer Labels"/>
    <n v="0.38"/>
    <s v="United States"/>
    <x v="3"/>
    <s v="Florida"/>
    <s v="Panama City"/>
    <n v="32404"/>
    <x v="35"/>
    <d v="2015-01-04T00:00:00"/>
    <n v="244.464"/>
    <n v="8"/>
    <x v="1268"/>
    <n v="87696"/>
    <x v="1279"/>
  </r>
  <r>
    <n v="23345"/>
    <s v="High"/>
    <n v="0.1"/>
    <n v="146.34"/>
    <n v="43.75"/>
    <n v="2302"/>
    <s v="Beth Dolan"/>
    <s v="Delivery Truck"/>
    <s v="Corporate"/>
    <x v="1"/>
    <x v="11"/>
    <s v="Jumbo Box"/>
    <s v="Bevis Round Conference Table Top &amp; Single Column Base"/>
    <n v="0.64"/>
    <s v="United States"/>
    <x v="3"/>
    <s v="Florida"/>
    <s v="Panama City"/>
    <n v="32404"/>
    <x v="35"/>
    <d v="2015-01-04T00:00:00"/>
    <n v="-473.57799999999997"/>
    <n v="2"/>
    <x v="1269"/>
    <n v="87696"/>
    <x v="1280"/>
  </r>
  <r>
    <n v="6673"/>
    <s v="Critical"/>
    <n v="7.0000000000000007E-2"/>
    <n v="270.98"/>
    <n v="50"/>
    <n v="2303"/>
    <s v="Joe Baldwin"/>
    <s v="Delivery Truck"/>
    <s v="Corporate"/>
    <x v="1"/>
    <x v="1"/>
    <s v="Jumbo Drum"/>
    <s v="Global Enterprise Series Seating High-Back Swivel/Tilt Chairs"/>
    <n v="0.77"/>
    <s v="United States"/>
    <x v="1"/>
    <s v="New York"/>
    <s v="New York City"/>
    <n v="10011"/>
    <x v="143"/>
    <d v="2015-02-13T00:00:00"/>
    <n v="-96.05"/>
    <n v="36"/>
    <x v="1270"/>
    <n v="47493"/>
    <x v="1281"/>
  </r>
  <r>
    <n v="5345"/>
    <s v="High"/>
    <n v="0.1"/>
    <n v="146.34"/>
    <n v="43.75"/>
    <n v="2303"/>
    <s v="Joe Baldwin"/>
    <s v="Delivery Truck"/>
    <s v="Corporate"/>
    <x v="1"/>
    <x v="11"/>
    <s v="Jumbo Box"/>
    <s v="Bevis Round Conference Table Top &amp; Single Column Base"/>
    <n v="0.64"/>
    <s v="United States"/>
    <x v="1"/>
    <s v="New York"/>
    <s v="New York City"/>
    <n v="10011"/>
    <x v="35"/>
    <d v="2015-01-04T00:00:00"/>
    <n v="-270.85000000000002"/>
    <n v="6"/>
    <x v="1271"/>
    <n v="37987"/>
    <x v="1282"/>
  </r>
  <r>
    <n v="19934"/>
    <s v="High"/>
    <n v="0"/>
    <n v="90.48"/>
    <n v="19.989999999999998"/>
    <n v="2305"/>
    <s v="Pat Kinney"/>
    <s v="Regular Air"/>
    <s v="Small Business"/>
    <x v="0"/>
    <x v="4"/>
    <s v="Small Box"/>
    <s v="Tyvek® Side-Opening Peel &amp; Seel® Expanding Envelopes"/>
    <n v="0.4"/>
    <s v="United States"/>
    <x v="2"/>
    <s v="South Dakota"/>
    <s v="Watertown"/>
    <n v="57201"/>
    <x v="123"/>
    <d v="2015-06-24T00:00:00"/>
    <n v="800.25509999999997"/>
    <n v="12"/>
    <x v="1272"/>
    <n v="89869"/>
    <x v="1283"/>
  </r>
  <r>
    <n v="23313"/>
    <s v="Low"/>
    <n v="0.08"/>
    <n v="9.48"/>
    <n v="7.29"/>
    <n v="2308"/>
    <s v="Laurence Cummings"/>
    <s v="Regular Air"/>
    <s v="Small Business"/>
    <x v="1"/>
    <x v="2"/>
    <s v="Small Pack"/>
    <s v="DAX Two-Tone Rosewood/Black Document Frame, Desktop, 5 x 7"/>
    <n v="0.45"/>
    <s v="United States"/>
    <x v="3"/>
    <s v="Florida"/>
    <s v="Lehigh Acres"/>
    <n v="33971"/>
    <x v="120"/>
    <d v="2015-03-26T00:00:00"/>
    <n v="-50.4"/>
    <n v="2"/>
    <x v="1273"/>
    <n v="90557"/>
    <x v="1284"/>
  </r>
  <r>
    <n v="23314"/>
    <s v="Low"/>
    <n v="0.03"/>
    <n v="193.17"/>
    <n v="19.989999999999998"/>
    <n v="2308"/>
    <s v="Laurence Cummings"/>
    <s v="Regular Air"/>
    <s v="Small Business"/>
    <x v="0"/>
    <x v="10"/>
    <s v="Small Box"/>
    <s v="Fellowes Staxonsteel® Drawer Files"/>
    <n v="0.71"/>
    <s v="United States"/>
    <x v="3"/>
    <s v="Florida"/>
    <s v="Lehigh Acres"/>
    <n v="33971"/>
    <x v="120"/>
    <d v="2015-03-28T00:00:00"/>
    <n v="-348.75400000000002"/>
    <n v="8"/>
    <x v="1274"/>
    <n v="90557"/>
    <x v="1285"/>
  </r>
  <r>
    <n v="26048"/>
    <s v="High"/>
    <n v="0.08"/>
    <n v="68.81"/>
    <n v="60"/>
    <n v="2323"/>
    <s v="Emma Buckley"/>
    <s v="Delivery Truck"/>
    <s v="Small Business"/>
    <x v="0"/>
    <x v="15"/>
    <s v="Jumbo Drum"/>
    <s v="Holmes Replacement Filter for HEPA Air Cleaner, Very Large Room, HEPA Filter"/>
    <n v="0.41"/>
    <s v="United States"/>
    <x v="0"/>
    <s v="California"/>
    <s v="Coachella"/>
    <n v="92236"/>
    <x v="44"/>
    <d v="2015-03-17T00:00:00"/>
    <n v="-550.42999999999995"/>
    <n v="5"/>
    <x v="1275"/>
    <n v="88721"/>
    <x v="1286"/>
  </r>
  <r>
    <n v="26049"/>
    <s v="High"/>
    <n v="0.04"/>
    <n v="21.38"/>
    <n v="8.99"/>
    <n v="2323"/>
    <s v="Emma Buckley"/>
    <s v="Regular Air"/>
    <s v="Small Business"/>
    <x v="0"/>
    <x v="0"/>
    <s v="Small Pack"/>
    <s v="Boston 1730 StandUp Electric Pencil Sharpener"/>
    <n v="0.59"/>
    <s v="United States"/>
    <x v="0"/>
    <s v="California"/>
    <s v="Coachella"/>
    <n v="92236"/>
    <x v="44"/>
    <d v="2015-03-18T00:00:00"/>
    <n v="-52.12"/>
    <n v="4"/>
    <x v="1276"/>
    <n v="88721"/>
    <x v="1287"/>
  </r>
  <r>
    <n v="23053"/>
    <s v="Not Specified"/>
    <n v="0.06"/>
    <n v="4.9800000000000004"/>
    <n v="4.62"/>
    <n v="2323"/>
    <s v="Emma Buckley"/>
    <s v="Express Air"/>
    <s v="Small Business"/>
    <x v="2"/>
    <x v="13"/>
    <s v="Small Pack"/>
    <s v="Imation 3.5&quot;, DISKETTE 44766 HGHLD3.52HD/FM, 10/Pack"/>
    <n v="0.64"/>
    <s v="United States"/>
    <x v="0"/>
    <s v="California"/>
    <s v="Coachella"/>
    <n v="92236"/>
    <x v="117"/>
    <d v="2015-06-19T00:00:00"/>
    <n v="-27.004999999999999"/>
    <n v="7"/>
    <x v="1277"/>
    <n v="88722"/>
    <x v="1288"/>
  </r>
  <r>
    <n v="25456"/>
    <s v="Medium"/>
    <n v="0.06"/>
    <n v="28.53"/>
    <n v="1.49"/>
    <n v="2330"/>
    <s v="Kara Foster"/>
    <s v="Regular Air"/>
    <s v="Home Office"/>
    <x v="0"/>
    <x v="8"/>
    <s v="Small Box"/>
    <s v="Lock-Up Easel 'Spel-Binder'"/>
    <n v="0.38"/>
    <s v="United States"/>
    <x v="2"/>
    <s v="Iowa"/>
    <s v="Marion"/>
    <n v="52302"/>
    <x v="120"/>
    <d v="2015-03-27T00:00:00"/>
    <n v="74.638499999999993"/>
    <n v="5"/>
    <x v="1278"/>
    <n v="90964"/>
    <x v="1289"/>
  </r>
  <r>
    <n v="19441"/>
    <s v="High"/>
    <n v="0.06"/>
    <n v="180.98"/>
    <n v="26.2"/>
    <n v="2333"/>
    <s v="Megan Woods"/>
    <s v="Delivery Truck"/>
    <s v="Small Business"/>
    <x v="1"/>
    <x v="1"/>
    <s v="Jumbo Drum"/>
    <s v="Global Ergonomic Managers Chair"/>
    <n v="0.59"/>
    <s v="United States"/>
    <x v="2"/>
    <s v="Wisconsin"/>
    <s v="Green Bay"/>
    <n v="54302"/>
    <x v="96"/>
    <d v="2015-06-24T00:00:00"/>
    <n v="-122.235"/>
    <n v="1"/>
    <x v="1279"/>
    <n v="89611"/>
    <x v="1290"/>
  </r>
  <r>
    <n v="23721"/>
    <s v="Low"/>
    <n v="0.06"/>
    <n v="60.65"/>
    <n v="12.23"/>
    <n v="2334"/>
    <s v="Stephanie Hawkins"/>
    <s v="Regular Air"/>
    <s v="Consumer"/>
    <x v="1"/>
    <x v="2"/>
    <s v="Medium Box"/>
    <s v="Tenex Traditional Chairmats for Medium Pile Carpet, Standard Lip, 36&quot; x 48&quot;"/>
    <n v="0.64"/>
    <s v="United States"/>
    <x v="2"/>
    <s v="Wisconsin"/>
    <s v="Greenfield"/>
    <n v="53220"/>
    <x v="34"/>
    <d v="2015-04-08T00:00:00"/>
    <n v="427.00650000000002"/>
    <n v="10"/>
    <x v="1280"/>
    <n v="89608"/>
    <x v="1291"/>
  </r>
  <r>
    <n v="23693"/>
    <s v="Not Specified"/>
    <n v="0.05"/>
    <n v="14.81"/>
    <n v="13.32"/>
    <n v="2334"/>
    <s v="Stephanie Hawkins"/>
    <s v="Regular Air"/>
    <s v="Small Business"/>
    <x v="0"/>
    <x v="15"/>
    <s v="Small Box"/>
    <s v="Holmes Replacement Filter for HEPA Air Cleaner, Large Room"/>
    <n v="0.43"/>
    <s v="United States"/>
    <x v="2"/>
    <s v="Wisconsin"/>
    <s v="Greenfield"/>
    <n v="53220"/>
    <x v="37"/>
    <d v="2015-04-11T00:00:00"/>
    <n v="-190.49"/>
    <n v="8"/>
    <x v="1281"/>
    <n v="89609"/>
    <x v="1292"/>
  </r>
  <r>
    <n v="23694"/>
    <s v="Not Specified"/>
    <n v="0.08"/>
    <n v="2.78"/>
    <n v="1.25"/>
    <n v="2334"/>
    <s v="Stephanie Hawkins"/>
    <s v="Regular Air"/>
    <s v="Small Business"/>
    <x v="0"/>
    <x v="0"/>
    <s v="Wrap Bag"/>
    <s v="Newell 318"/>
    <n v="0.59"/>
    <s v="United States"/>
    <x v="2"/>
    <s v="Wisconsin"/>
    <s v="Greenfield"/>
    <n v="53220"/>
    <x v="37"/>
    <d v="2015-04-10T00:00:00"/>
    <n v="-8.77"/>
    <n v="7"/>
    <x v="1282"/>
    <n v="89609"/>
    <x v="1293"/>
  </r>
  <r>
    <n v="24952"/>
    <s v="Low"/>
    <n v="0.06"/>
    <n v="3.74"/>
    <n v="0.94"/>
    <n v="2334"/>
    <s v="Stephanie Hawkins"/>
    <s v="Regular Air"/>
    <s v="Home Office"/>
    <x v="0"/>
    <x v="3"/>
    <s v="Wrap Bag"/>
    <s v="Rubber Band Ball"/>
    <n v="0.83"/>
    <s v="United States"/>
    <x v="2"/>
    <s v="Wisconsin"/>
    <s v="Greenfield"/>
    <n v="53220"/>
    <x v="42"/>
    <d v="2015-06-09T00:00:00"/>
    <n v="-7.6849999999999996"/>
    <n v="12"/>
    <x v="1283"/>
    <n v="89610"/>
    <x v="1294"/>
  </r>
  <r>
    <n v="25241"/>
    <s v="Critical"/>
    <n v="0.06"/>
    <n v="2.08"/>
    <n v="5.33"/>
    <n v="2338"/>
    <s v="Lynn Hines"/>
    <s v="Regular Air"/>
    <s v="Home Office"/>
    <x v="1"/>
    <x v="2"/>
    <s v="Small Box"/>
    <s v="Eldon® Wave Desk Accessories"/>
    <n v="0.43"/>
    <s v="United States"/>
    <x v="1"/>
    <s v="Maryland"/>
    <s v="College Park"/>
    <n v="20740"/>
    <x v="107"/>
    <d v="2015-01-13T00:00:00"/>
    <n v="-82.559200000000004"/>
    <n v="4"/>
    <x v="1284"/>
    <n v="91480"/>
    <x v="1295"/>
  </r>
  <r>
    <n v="26137"/>
    <s v="High"/>
    <n v="0.1"/>
    <n v="6.75"/>
    <n v="2.99"/>
    <n v="2338"/>
    <s v="Lynn Hines"/>
    <s v="Regular Air"/>
    <s v="Home Office"/>
    <x v="0"/>
    <x v="8"/>
    <s v="Small Box"/>
    <s v="Wilson Jones DublLock® D-Ring Binders"/>
    <n v="0.35"/>
    <s v="United States"/>
    <x v="1"/>
    <s v="Maryland"/>
    <s v="College Park"/>
    <n v="20740"/>
    <x v="48"/>
    <d v="2015-03-29T00:00:00"/>
    <n v="18.147500000000001"/>
    <n v="15"/>
    <x v="1285"/>
    <n v="91481"/>
    <x v="1296"/>
  </r>
  <r>
    <n v="22526"/>
    <s v="Medium"/>
    <n v="0.05"/>
    <n v="11.58"/>
    <n v="6.97"/>
    <n v="2339"/>
    <s v="Gordon Boswell"/>
    <s v="Regular Air"/>
    <s v="Home Office"/>
    <x v="0"/>
    <x v="4"/>
    <s v="Small Box"/>
    <s v="Peel &amp; Seel® Recycled Catalog Envelopes, Brown"/>
    <n v="0.35"/>
    <s v="United States"/>
    <x v="2"/>
    <s v="Texas"/>
    <s v="Cloverleaf"/>
    <n v="77015"/>
    <x v="40"/>
    <d v="2015-05-28T00:00:00"/>
    <n v="2.806"/>
    <n v="6"/>
    <x v="1286"/>
    <n v="91482"/>
    <x v="1297"/>
  </r>
  <r>
    <n v="19052"/>
    <s v="Medium"/>
    <n v="7.0000000000000007E-2"/>
    <n v="200.98"/>
    <n v="23.76"/>
    <n v="2345"/>
    <s v="Colleen Marsh"/>
    <s v="Delivery Truck"/>
    <s v="Corporate"/>
    <x v="1"/>
    <x v="1"/>
    <s v="Jumbo Drum"/>
    <s v="Global Leather Highback Executive Chair with Pneumatic Height Adjustment, Black"/>
    <n v="0.57999999999999996"/>
    <s v="United States"/>
    <x v="3"/>
    <s v="Kentucky"/>
    <s v="Paducah"/>
    <n v="42003"/>
    <x v="88"/>
    <d v="2015-03-15T00:00:00"/>
    <n v="-132.42599999999999"/>
    <n v="9"/>
    <x v="1287"/>
    <n v="89504"/>
    <x v="1298"/>
  </r>
  <r>
    <n v="19053"/>
    <s v="Medium"/>
    <n v="0.02"/>
    <n v="179.29"/>
    <n v="29.21"/>
    <n v="2345"/>
    <s v="Colleen Marsh"/>
    <s v="Delivery Truck"/>
    <s v="Corporate"/>
    <x v="1"/>
    <x v="11"/>
    <s v="Jumbo Box"/>
    <s v="Bevis Round Conference Table Top, X-Base"/>
    <n v="0.76"/>
    <s v="United States"/>
    <x v="3"/>
    <s v="Kentucky"/>
    <s v="Paducah"/>
    <n v="42003"/>
    <x v="88"/>
    <d v="2015-03-14T00:00:00"/>
    <n v="-411.23599999999999"/>
    <n v="2"/>
    <x v="1288"/>
    <n v="89504"/>
    <x v="1299"/>
  </r>
  <r>
    <n v="20776"/>
    <s v="Low"/>
    <n v="0.03"/>
    <n v="297.64"/>
    <n v="14.7"/>
    <n v="2346"/>
    <s v="Sylvia Kumar"/>
    <s v="Delivery Truck"/>
    <s v="Corporate"/>
    <x v="2"/>
    <x v="6"/>
    <s v="Jumbo Drum"/>
    <s v="Panasonic KX-P3200 Dot Matrix Printer"/>
    <n v="0.56999999999999995"/>
    <s v="United States"/>
    <x v="3"/>
    <s v="Kentucky"/>
    <s v="Pleasure Ridge Park"/>
    <n v="40258"/>
    <x v="56"/>
    <d v="2015-01-15T00:00:00"/>
    <n v="-48.972000000000001"/>
    <n v="12"/>
    <x v="1289"/>
    <n v="89503"/>
    <x v="1300"/>
  </r>
  <r>
    <n v="21627"/>
    <s v="High"/>
    <n v="0.1"/>
    <n v="218.75"/>
    <n v="69.64"/>
    <n v="2346"/>
    <s v="Sylvia Kumar"/>
    <s v="Delivery Truck"/>
    <s v="Corporate"/>
    <x v="1"/>
    <x v="11"/>
    <s v="Jumbo Box"/>
    <s v="BoxOffice By Design Rectangular and Half-Moon Meeting Room Tables"/>
    <n v="0.77"/>
    <s v="United States"/>
    <x v="3"/>
    <s v="Kentucky"/>
    <s v="Pleasure Ridge Park"/>
    <n v="40258"/>
    <x v="135"/>
    <d v="2015-05-21T00:00:00"/>
    <n v="62.298000000000002"/>
    <n v="17"/>
    <x v="1290"/>
    <n v="89505"/>
    <x v="1301"/>
  </r>
  <r>
    <n v="18675"/>
    <s v="Critical"/>
    <n v="0.08"/>
    <n v="6.48"/>
    <n v="7.49"/>
    <n v="2351"/>
    <s v="Faye Silver"/>
    <s v="Regular Air"/>
    <s v="Corporate"/>
    <x v="0"/>
    <x v="7"/>
    <s v="Small Box"/>
    <s v="Xerox 220"/>
    <n v="0.37"/>
    <s v="United States"/>
    <x v="1"/>
    <s v="Maryland"/>
    <s v="Crofton"/>
    <n v="21114"/>
    <x v="25"/>
    <d v="2015-04-02T00:00:00"/>
    <n v="-119.32"/>
    <n v="13"/>
    <x v="1291"/>
    <n v="86163"/>
    <x v="1302"/>
  </r>
  <r>
    <n v="20904"/>
    <s v="Critical"/>
    <n v="0.06"/>
    <n v="59.76"/>
    <n v="9.7100000000000009"/>
    <n v="2352"/>
    <s v="Kerry Beach"/>
    <s v="Regular Air"/>
    <s v="Consumer"/>
    <x v="0"/>
    <x v="10"/>
    <s v="Small Box"/>
    <s v="Advantus 10-Drawer Portable Organizer, Chrome Metal Frame, Smoke Drawers"/>
    <n v="0.56999999999999995"/>
    <s v="United States"/>
    <x v="1"/>
    <s v="Maryland"/>
    <s v="Cumberland"/>
    <n v="21501"/>
    <x v="105"/>
    <d v="2015-06-23T00:00:00"/>
    <n v="756.67470000000003"/>
    <n v="18"/>
    <x v="1292"/>
    <n v="86165"/>
    <x v="1303"/>
  </r>
  <r>
    <n v="20905"/>
    <s v="Critical"/>
    <n v="7.0000000000000007E-2"/>
    <n v="195.99"/>
    <n v="4.2"/>
    <n v="2352"/>
    <s v="Kerry Beach"/>
    <s v="Regular Air"/>
    <s v="Consumer"/>
    <x v="2"/>
    <x v="5"/>
    <s v="Small Box"/>
    <s v="T65"/>
    <n v="0.56000000000000005"/>
    <s v="United States"/>
    <x v="1"/>
    <s v="Maryland"/>
    <s v="Cumberland"/>
    <n v="21501"/>
    <x v="105"/>
    <d v="2015-06-23T00:00:00"/>
    <n v="-222.34299999999999"/>
    <n v="4"/>
    <x v="1293"/>
    <n v="86165"/>
    <x v="1304"/>
  </r>
  <r>
    <n v="19270"/>
    <s v="Not Specified"/>
    <n v="0.09"/>
    <n v="71.37"/>
    <n v="69"/>
    <n v="2352"/>
    <s v="Kerry Beach"/>
    <s v="Regular Air"/>
    <s v="Home Office"/>
    <x v="1"/>
    <x v="11"/>
    <s v="Large Box"/>
    <s v="Lesro Sheffield Collection Coffee Table, End Table, Center Table, Corner Table"/>
    <n v="0.68"/>
    <s v="United States"/>
    <x v="1"/>
    <s v="Maryland"/>
    <s v="Cumberland"/>
    <n v="21501"/>
    <x v="96"/>
    <d v="2015-06-24T00:00:00"/>
    <n v="-1537.1356000000001"/>
    <n v="19"/>
    <x v="1294"/>
    <n v="86166"/>
    <x v="1305"/>
  </r>
  <r>
    <n v="25338"/>
    <s v="Critical"/>
    <n v="0.04"/>
    <n v="5.98"/>
    <n v="0.96"/>
    <n v="2353"/>
    <s v="Patrick Lowry"/>
    <s v="Regular Air"/>
    <s v="Corporate"/>
    <x v="0"/>
    <x v="0"/>
    <s v="Wrap Bag"/>
    <s v="Newell 315"/>
    <n v="0.6"/>
    <s v="United States"/>
    <x v="1"/>
    <s v="Maryland"/>
    <s v="Edgewood"/>
    <n v="21040"/>
    <x v="119"/>
    <d v="2015-04-30T00:00:00"/>
    <n v="52.697600000000001"/>
    <n v="22"/>
    <x v="1295"/>
    <n v="86164"/>
    <x v="1306"/>
  </r>
  <r>
    <n v="25339"/>
    <s v="Critical"/>
    <n v="0.01"/>
    <n v="20.99"/>
    <n v="0.99"/>
    <n v="2353"/>
    <s v="Patrick Lowry"/>
    <s v="Regular Air"/>
    <s v="Corporate"/>
    <x v="2"/>
    <x v="5"/>
    <s v="Wrap Bag"/>
    <s v="Accessory25"/>
    <n v="0.56999999999999995"/>
    <s v="United States"/>
    <x v="1"/>
    <s v="Maryland"/>
    <s v="Edgewood"/>
    <n v="21040"/>
    <x v="119"/>
    <d v="2015-04-30T00:00:00"/>
    <n v="-78.194159999999997"/>
    <n v="2"/>
    <x v="1296"/>
    <n v="86164"/>
    <x v="1307"/>
  </r>
  <r>
    <n v="22649"/>
    <s v="Not Specified"/>
    <n v="0.1"/>
    <n v="78.69"/>
    <n v="19.989999999999998"/>
    <n v="2355"/>
    <s v="Clyde Burnett"/>
    <s v="Regular Air"/>
    <s v="Consumer"/>
    <x v="1"/>
    <x v="2"/>
    <s v="Small Box"/>
    <s v="Howard Miller 12-3/4 Diameter Accuwave DS ™ Wall Clock"/>
    <n v="0.43"/>
    <s v="United States"/>
    <x v="0"/>
    <s v="California"/>
    <s v="Coachella"/>
    <n v="92236"/>
    <x v="2"/>
    <d v="2015-02-16T00:00:00"/>
    <n v="465.43950000000001"/>
    <n v="9"/>
    <x v="1297"/>
    <n v="91304"/>
    <x v="1308"/>
  </r>
  <r>
    <n v="21511"/>
    <s v="Medium"/>
    <n v="0.06"/>
    <n v="146.34"/>
    <n v="43.75"/>
    <n v="2355"/>
    <s v="Clyde Burnett"/>
    <s v="Delivery Truck"/>
    <s v="Consumer"/>
    <x v="1"/>
    <x v="11"/>
    <s v="Jumbo Box"/>
    <s v="Bevis Round Conference Table Top &amp; Single Column Base"/>
    <n v="0.65"/>
    <s v="United States"/>
    <x v="0"/>
    <s v="California"/>
    <s v="Coachella"/>
    <n v="92236"/>
    <x v="154"/>
    <d v="2015-06-18T00:00:00"/>
    <n v="-89.27"/>
    <n v="12"/>
    <x v="1298"/>
    <n v="91306"/>
    <x v="1309"/>
  </r>
  <r>
    <n v="24526"/>
    <s v="Medium"/>
    <n v="0"/>
    <n v="29.34"/>
    <n v="7.87"/>
    <n v="2356"/>
    <s v="Emma Bloom"/>
    <s v="Regular Air"/>
    <s v="Consumer"/>
    <x v="1"/>
    <x v="2"/>
    <s v="Small Box"/>
    <s v="Seth Thomas 14&quot; Putty-Colored Wall Clock"/>
    <n v="0.54"/>
    <s v="United States"/>
    <x v="0"/>
    <s v="Wyoming"/>
    <s v="Rock Springs"/>
    <n v="82901"/>
    <x v="24"/>
    <d v="2015-03-17T00:00:00"/>
    <n v="385.37"/>
    <n v="22"/>
    <x v="1299"/>
    <n v="91305"/>
    <x v="1310"/>
  </r>
  <r>
    <n v="20798"/>
    <s v="Low"/>
    <n v="0.1"/>
    <n v="205.99"/>
    <n v="8.99"/>
    <n v="2358"/>
    <s v="Danielle Baird"/>
    <s v="Regular Air"/>
    <s v="Corporate"/>
    <x v="2"/>
    <x v="5"/>
    <s v="Small Box"/>
    <s v="TimeportP7382"/>
    <n v="0.56000000000000005"/>
    <s v="United States"/>
    <x v="3"/>
    <s v="Florida"/>
    <s v="Fort Lauderdale"/>
    <n v="33311"/>
    <x v="30"/>
    <d v="2015-03-08T00:00:00"/>
    <n v="147"/>
    <n v="2"/>
    <x v="1300"/>
    <n v="88267"/>
    <x v="1311"/>
  </r>
  <r>
    <n v="18892"/>
    <s v="Critical"/>
    <n v="0.05"/>
    <n v="2.08"/>
    <n v="2.56"/>
    <n v="2358"/>
    <s v="Danielle Baird"/>
    <s v="Regular Air"/>
    <s v="Home Office"/>
    <x v="0"/>
    <x v="12"/>
    <s v="Small Pack"/>
    <s v="Kleencut® Forged Office Shears by Acme United Corporation"/>
    <n v="0.55000000000000004"/>
    <s v="United States"/>
    <x v="3"/>
    <s v="Florida"/>
    <s v="Fort Lauderdale"/>
    <n v="33311"/>
    <x v="79"/>
    <d v="2015-02-16T00:00:00"/>
    <n v="-1045.0160000000001"/>
    <n v="19"/>
    <x v="1301"/>
    <n v="88268"/>
    <x v="1312"/>
  </r>
  <r>
    <n v="21772"/>
    <s v="Critical"/>
    <n v="0"/>
    <n v="7.28"/>
    <n v="1.77"/>
    <n v="2359"/>
    <s v="Annie Horne"/>
    <s v="Regular Air"/>
    <s v="Home Office"/>
    <x v="0"/>
    <x v="7"/>
    <s v="Wrap Bag"/>
    <s v="Post-it® “Important Message” Note Pad, Neon Colors, 50 Sheets/Pad"/>
    <n v="0.37"/>
    <s v="United States"/>
    <x v="3"/>
    <s v="Florida"/>
    <s v="Fort Myers"/>
    <n v="33917"/>
    <x v="64"/>
    <d v="2015-02-05T00:00:00"/>
    <n v="167.16"/>
    <n v="7"/>
    <x v="1302"/>
    <n v="88265"/>
    <x v="1313"/>
  </r>
  <r>
    <n v="24890"/>
    <s v="High"/>
    <n v="0.06"/>
    <n v="8.33"/>
    <n v="1.99"/>
    <n v="2361"/>
    <s v="Vincent Daniel"/>
    <s v="Regular Air"/>
    <s v="Corporate"/>
    <x v="2"/>
    <x v="13"/>
    <s v="Small Pack"/>
    <s v="80 Minute Slim Jewel Case CD-R , 10/Pack - Staples"/>
    <n v="0.52"/>
    <s v="United States"/>
    <x v="3"/>
    <s v="Florida"/>
    <s v="Fruit Cove"/>
    <n v="32259"/>
    <x v="147"/>
    <d v="2015-02-26T00:00:00"/>
    <n v="-344.82"/>
    <n v="1"/>
    <x v="1303"/>
    <n v="88266"/>
    <x v="1314"/>
  </r>
  <r>
    <n v="19369"/>
    <s v="High"/>
    <n v="0"/>
    <n v="5.77"/>
    <n v="5.92"/>
    <n v="2363"/>
    <s v="Jacob Murray"/>
    <s v="Regular Air"/>
    <s v="Home Office"/>
    <x v="1"/>
    <x v="2"/>
    <s v="Medium Box"/>
    <s v="DAX Cubicle Frames - 8x10"/>
    <n v="0.55000000000000004"/>
    <s v="United States"/>
    <x v="1"/>
    <s v="Ohio"/>
    <s v="Medina"/>
    <n v="44256"/>
    <x v="86"/>
    <d v="2015-04-13T00:00:00"/>
    <n v="-61.5276"/>
    <n v="11"/>
    <x v="1304"/>
    <n v="90040"/>
    <x v="1315"/>
  </r>
  <r>
    <n v="21582"/>
    <s v="Low"/>
    <n v="7.0000000000000007E-2"/>
    <n v="5.98"/>
    <n v="5.79"/>
    <n v="2369"/>
    <s v="Mike G Hartman"/>
    <s v="Regular Air"/>
    <s v="Consumer"/>
    <x v="0"/>
    <x v="7"/>
    <s v="Small Box"/>
    <s v="Xerox 1903"/>
    <n v="0.36"/>
    <s v="United States"/>
    <x v="3"/>
    <s v="Florida"/>
    <s v="Pembroke Pines"/>
    <n v="33024"/>
    <x v="107"/>
    <d v="2015-01-15T00:00:00"/>
    <n v="-41.972700000000003"/>
    <n v="13"/>
    <x v="1305"/>
    <n v="90408"/>
    <x v="1316"/>
  </r>
  <r>
    <n v="21988"/>
    <s v="Medium"/>
    <n v="0.01"/>
    <n v="1.76"/>
    <n v="0.7"/>
    <n v="2372"/>
    <s v="Marvin Parrott"/>
    <s v="Regular Air"/>
    <s v="Corporate"/>
    <x v="0"/>
    <x v="0"/>
    <s v="Wrap Bag"/>
    <s v="Newell 310"/>
    <n v="0.56000000000000005"/>
    <s v="United States"/>
    <x v="2"/>
    <s v="Minnesota"/>
    <s v="Duluth"/>
    <n v="55803"/>
    <x v="24"/>
    <d v="2015-03-16T00:00:00"/>
    <n v="-1.56"/>
    <n v="4"/>
    <x v="1306"/>
    <n v="90714"/>
    <x v="1317"/>
  </r>
  <r>
    <n v="22827"/>
    <s v="High"/>
    <n v="0.05"/>
    <n v="3.28"/>
    <n v="3.97"/>
    <n v="2376"/>
    <s v="Debra Batchelor"/>
    <s v="Regular Air"/>
    <s v="Corporate"/>
    <x v="0"/>
    <x v="0"/>
    <s v="Wrap Bag"/>
    <s v="Newell 342"/>
    <n v="0.56000000000000005"/>
    <s v="United States"/>
    <x v="0"/>
    <s v="Idaho"/>
    <s v="Moscow"/>
    <n v="83843"/>
    <x v="93"/>
    <d v="2015-03-06T00:00:00"/>
    <n v="-100.24"/>
    <n v="18"/>
    <x v="1307"/>
    <n v="91321"/>
    <x v="1318"/>
  </r>
  <r>
    <n v="22828"/>
    <s v="High"/>
    <n v="0.03"/>
    <n v="6.98"/>
    <n v="9.69"/>
    <n v="2376"/>
    <s v="Debra Batchelor"/>
    <s v="Regular Air"/>
    <s v="Corporate"/>
    <x v="0"/>
    <x v="10"/>
    <s v="Small Box"/>
    <s v="Eldon Shelf Savers™ Cubes and Bins"/>
    <n v="0.83"/>
    <s v="United States"/>
    <x v="0"/>
    <s v="Idaho"/>
    <s v="Moscow"/>
    <n v="83843"/>
    <x v="93"/>
    <d v="2015-03-07T00:00:00"/>
    <n v="-262.62"/>
    <n v="15"/>
    <x v="1308"/>
    <n v="91321"/>
    <x v="1319"/>
  </r>
  <r>
    <n v="18151"/>
    <s v="Low"/>
    <n v="0.06"/>
    <n v="122.99"/>
    <n v="19.989999999999998"/>
    <n v="2379"/>
    <s v="Mildred Briggs"/>
    <s v="Regular Air"/>
    <s v="Small Business"/>
    <x v="0"/>
    <x v="8"/>
    <s v="Small Box"/>
    <s v="GBC Therma-A-Bind 250T Electric Binding System"/>
    <n v="0.37"/>
    <s v="United States"/>
    <x v="2"/>
    <s v="Michigan"/>
    <s v="Garden City"/>
    <n v="48135"/>
    <x v="130"/>
    <d v="2015-05-07T00:00:00"/>
    <n v="1019.7096"/>
    <n v="12"/>
    <x v="1309"/>
    <n v="86655"/>
    <x v="1320"/>
  </r>
  <r>
    <n v="19898"/>
    <s v="Not Specified"/>
    <n v="7.0000000000000007E-2"/>
    <n v="3.38"/>
    <n v="0.85"/>
    <n v="2380"/>
    <s v="Lisa Branch"/>
    <s v="Regular Air"/>
    <s v="Small Business"/>
    <x v="0"/>
    <x v="0"/>
    <s v="Wrap Bag"/>
    <s v="Avery Hi-Liter® Fluorescent Desk Style Markers"/>
    <n v="0.48"/>
    <s v="United States"/>
    <x v="2"/>
    <s v="Michigan"/>
    <s v="Grand Rapids"/>
    <n v="49505"/>
    <x v="138"/>
    <d v="2015-04-28T00:00:00"/>
    <n v="19.04"/>
    <n v="9"/>
    <x v="1310"/>
    <n v="86654"/>
    <x v="1321"/>
  </r>
  <r>
    <n v="18152"/>
    <s v="Low"/>
    <n v="0.08"/>
    <n v="68.81"/>
    <n v="60"/>
    <n v="2380"/>
    <s v="Lisa Branch"/>
    <s v="Delivery Truck"/>
    <s v="Small Business"/>
    <x v="0"/>
    <x v="15"/>
    <s v="Jumbo Drum"/>
    <s v="Holmes Replacement Filter for HEPA Air Cleaner, Very Large Room, HEPA Filter"/>
    <n v="0.41"/>
    <s v="United States"/>
    <x v="2"/>
    <s v="Michigan"/>
    <s v="Grand Rapids"/>
    <n v="49505"/>
    <x v="130"/>
    <d v="2015-05-07T00:00:00"/>
    <n v="-1069.72"/>
    <n v="17"/>
    <x v="1311"/>
    <n v="86655"/>
    <x v="1322"/>
  </r>
  <r>
    <n v="1898"/>
    <s v="Not Specified"/>
    <n v="7.0000000000000007E-2"/>
    <n v="3.38"/>
    <n v="0.85"/>
    <n v="2382"/>
    <s v="Geoffrey Saunders"/>
    <s v="Regular Air"/>
    <s v="Small Business"/>
    <x v="0"/>
    <x v="0"/>
    <s v="Wrap Bag"/>
    <s v="Avery Hi-Liter® Fluorescent Desk Style Markers"/>
    <n v="0.48"/>
    <s v="United States"/>
    <x v="1"/>
    <s v="New York"/>
    <s v="New York City"/>
    <n v="10024"/>
    <x v="138"/>
    <d v="2015-04-28T00:00:00"/>
    <n v="19.04"/>
    <n v="34"/>
    <x v="201"/>
    <n v="13606"/>
    <x v="1323"/>
  </r>
  <r>
    <n v="151"/>
    <s v="Low"/>
    <n v="0.06"/>
    <n v="122.99"/>
    <n v="19.989999999999998"/>
    <n v="2382"/>
    <s v="Geoffrey Saunders"/>
    <s v="Regular Air"/>
    <s v="Small Business"/>
    <x v="0"/>
    <x v="8"/>
    <s v="Small Box"/>
    <s v="GBC Therma-A-Bind 250T Electric Binding System"/>
    <n v="0.37"/>
    <s v="United States"/>
    <x v="1"/>
    <s v="New York"/>
    <s v="New York City"/>
    <n v="10024"/>
    <x v="130"/>
    <d v="2015-05-07T00:00:00"/>
    <n v="1408.1865"/>
    <n v="48"/>
    <x v="1312"/>
    <n v="962"/>
    <x v="1324"/>
  </r>
  <r>
    <n v="152"/>
    <s v="Low"/>
    <n v="0.08"/>
    <n v="68.81"/>
    <n v="60"/>
    <n v="2382"/>
    <s v="Geoffrey Saunders"/>
    <s v="Delivery Truck"/>
    <s v="Small Business"/>
    <x v="0"/>
    <x v="15"/>
    <s v="Jumbo Drum"/>
    <s v="Holmes Replacement Filter for HEPA Air Cleaner, Very Large Room, HEPA Filter"/>
    <n v="0.41"/>
    <s v="United States"/>
    <x v="1"/>
    <s v="New York"/>
    <s v="New York City"/>
    <n v="10024"/>
    <x v="130"/>
    <d v="2015-05-07T00:00:00"/>
    <n v="-1069.72"/>
    <n v="68"/>
    <x v="1313"/>
    <n v="962"/>
    <x v="1325"/>
  </r>
  <r>
    <n v="21171"/>
    <s v="Critical"/>
    <n v="0.1"/>
    <n v="130.97999999999999"/>
    <n v="30"/>
    <n v="2385"/>
    <s v="Janice Frye"/>
    <s v="Delivery Truck"/>
    <s v="Small Business"/>
    <x v="1"/>
    <x v="1"/>
    <s v="Jumbo Drum"/>
    <s v="Office Star - Contemporary Task Swivel chair with 2-way adjustable arms, Plum"/>
    <n v="0.78"/>
    <s v="United States"/>
    <x v="0"/>
    <s v="New Mexico"/>
    <s v="Las Cruces"/>
    <n v="88001"/>
    <x v="55"/>
    <d v="2015-05-24T00:00:00"/>
    <n v="2000.11"/>
    <n v="18"/>
    <x v="1314"/>
    <n v="89184"/>
    <x v="1326"/>
  </r>
  <r>
    <n v="23557"/>
    <s v="Not Specified"/>
    <n v="0.06"/>
    <n v="4.7699999999999996"/>
    <n v="2.39"/>
    <n v="2391"/>
    <s v="Jacob McNeill"/>
    <s v="Regular Air"/>
    <s v="Corporate"/>
    <x v="2"/>
    <x v="13"/>
    <s v="Small Pack"/>
    <s v="Imation Primaris 3.5&quot; 2HD Unformatted Diskettes, 10/Pack"/>
    <n v="0.72"/>
    <s v="United States"/>
    <x v="1"/>
    <s v="New York"/>
    <s v="Oceanside"/>
    <n v="11572"/>
    <x v="40"/>
    <d v="2015-05-26T00:00:00"/>
    <n v="-45.64"/>
    <n v="9"/>
    <x v="1315"/>
    <n v="91122"/>
    <x v="1327"/>
  </r>
  <r>
    <n v="23558"/>
    <s v="Not Specified"/>
    <n v="0.1"/>
    <n v="27.18"/>
    <n v="8.23"/>
    <n v="2391"/>
    <s v="Jacob McNeill"/>
    <s v="Regular Air"/>
    <s v="Corporate"/>
    <x v="0"/>
    <x v="4"/>
    <s v="Small Box"/>
    <s v="Tyvek ® Top-Opening Peel &amp; Seel Envelopes, Plain White"/>
    <n v="0.38"/>
    <s v="United States"/>
    <x v="1"/>
    <s v="New York"/>
    <s v="Oceanside"/>
    <n v="11572"/>
    <x v="40"/>
    <d v="2015-05-27T00:00:00"/>
    <n v="204.49"/>
    <n v="12"/>
    <x v="1316"/>
    <n v="91122"/>
    <x v="1328"/>
  </r>
  <r>
    <n v="21462"/>
    <s v="Not Specified"/>
    <n v="0"/>
    <n v="999.99"/>
    <n v="13.99"/>
    <n v="2391"/>
    <s v="Jacob McNeill"/>
    <s v="Regular Air"/>
    <s v="Corporate"/>
    <x v="2"/>
    <x v="6"/>
    <s v="Medium Box"/>
    <s v="Polycom Soundstation EX Audio-Conferencing Telephone, Black"/>
    <n v="0.36"/>
    <s v="United States"/>
    <x v="1"/>
    <s v="New York"/>
    <s v="Oceanside"/>
    <n v="11572"/>
    <x v="141"/>
    <d v="2015-06-06T00:00:00"/>
    <n v="-1455.9972"/>
    <n v="1"/>
    <x v="1317"/>
    <n v="91123"/>
    <x v="1329"/>
  </r>
  <r>
    <n v="21463"/>
    <s v="Not Specified"/>
    <n v="0.05"/>
    <n v="6.48"/>
    <n v="5.14"/>
    <n v="2391"/>
    <s v="Jacob McNeill"/>
    <s v="Express Air"/>
    <s v="Corporate"/>
    <x v="0"/>
    <x v="7"/>
    <s v="Small Box"/>
    <s v="Xerox 23"/>
    <n v="0.37"/>
    <s v="United States"/>
    <x v="1"/>
    <s v="New York"/>
    <s v="Oceanside"/>
    <n v="11572"/>
    <x v="141"/>
    <d v="2015-06-05T00:00:00"/>
    <n v="-22.56"/>
    <n v="13"/>
    <x v="1318"/>
    <n v="91123"/>
    <x v="1330"/>
  </r>
  <r>
    <n v="18277"/>
    <s v="Medium"/>
    <n v="0.02"/>
    <n v="6.48"/>
    <n v="7.91"/>
    <n v="2393"/>
    <s v="Debbie Dillon"/>
    <s v="Regular Air"/>
    <s v="Corporate"/>
    <x v="0"/>
    <x v="7"/>
    <s v="Small Box"/>
    <s v="Xerox 216"/>
    <n v="0.37"/>
    <s v="United States"/>
    <x v="3"/>
    <s v="Georgia"/>
    <s v="Roswell"/>
    <n v="30076"/>
    <x v="124"/>
    <d v="2015-05-31T00:00:00"/>
    <n v="-1191.5260000000001"/>
    <n v="2"/>
    <x v="1319"/>
    <n v="86950"/>
    <x v="1331"/>
  </r>
  <r>
    <n v="18197"/>
    <s v="High"/>
    <n v="0.06"/>
    <n v="105.29"/>
    <n v="10.119999999999999"/>
    <n v="2393"/>
    <s v="Debbie Dillon"/>
    <s v="Regular Air"/>
    <s v="Corporate"/>
    <x v="1"/>
    <x v="2"/>
    <s v="Large Box"/>
    <s v="Eldon Antistatic Chair Mats for Low to Medium Pile Carpets"/>
    <n v="0.79"/>
    <s v="United States"/>
    <x v="3"/>
    <s v="Georgia"/>
    <s v="Roswell"/>
    <n v="30076"/>
    <x v="148"/>
    <d v="2015-01-06T00:00:00"/>
    <n v="-45.01"/>
    <n v="12"/>
    <x v="1320"/>
    <n v="86951"/>
    <x v="1332"/>
  </r>
  <r>
    <n v="20197"/>
    <s v="Critical"/>
    <n v="0.01"/>
    <n v="11.7"/>
    <n v="5.63"/>
    <n v="2394"/>
    <s v="Tina Monroe"/>
    <s v="Regular Air"/>
    <s v="Corporate"/>
    <x v="0"/>
    <x v="8"/>
    <s v="Small Box"/>
    <s v="Fellowes Binding Cases"/>
    <n v="0.4"/>
    <s v="United States"/>
    <x v="3"/>
    <s v="Georgia"/>
    <s v="Sandy Springs"/>
    <n v="30328"/>
    <x v="90"/>
    <d v="2015-05-03T00:00:00"/>
    <n v="39.21"/>
    <n v="16"/>
    <x v="1321"/>
    <n v="86949"/>
    <x v="1333"/>
  </r>
  <r>
    <n v="20198"/>
    <s v="Critical"/>
    <n v="0.03"/>
    <n v="4.55"/>
    <n v="1.49"/>
    <n v="2394"/>
    <s v="Tina Monroe"/>
    <s v="Regular Air"/>
    <s v="Corporate"/>
    <x v="0"/>
    <x v="8"/>
    <s v="Small Box"/>
    <s v="Presstex Flexible Ring Binders"/>
    <n v="0.35"/>
    <s v="United States"/>
    <x v="3"/>
    <s v="Georgia"/>
    <s v="Sandy Springs"/>
    <n v="30328"/>
    <x v="90"/>
    <d v="2015-05-01T00:00:00"/>
    <n v="100.38"/>
    <n v="9"/>
    <x v="1322"/>
    <n v="86949"/>
    <x v="1334"/>
  </r>
  <r>
    <n v="24954"/>
    <s v="Not Specified"/>
    <n v="0.04"/>
    <n v="60.97"/>
    <n v="4.5"/>
    <n v="2395"/>
    <s v="Beverly Roberts"/>
    <s v="Regular Air"/>
    <s v="Corporate"/>
    <x v="0"/>
    <x v="15"/>
    <s v="Small Box"/>
    <s v="Tripp Lite Isotel 6 Outlet Surge Protector with Fax/Modem Protection"/>
    <n v="0.56000000000000005"/>
    <s v="United States"/>
    <x v="3"/>
    <s v="Georgia"/>
    <s v="Savannah"/>
    <n v="31401"/>
    <x v="165"/>
    <d v="2015-03-24T00:00:00"/>
    <n v="79.423199999999994"/>
    <n v="15"/>
    <x v="1323"/>
    <n v="86952"/>
    <x v="1335"/>
  </r>
  <r>
    <n v="22369"/>
    <s v="Not Specified"/>
    <n v="0.03"/>
    <n v="7.64"/>
    <n v="5.83"/>
    <n v="2398"/>
    <s v="Julian F Wolfe"/>
    <s v="Regular Air"/>
    <s v="Corporate"/>
    <x v="0"/>
    <x v="7"/>
    <s v="Wrap Bag"/>
    <s v="Rediform Wirebound &quot;Phone Memo&quot; Message Book, 11 x 5-3/4"/>
    <n v="0.36"/>
    <s v="United States"/>
    <x v="2"/>
    <s v="Illinois"/>
    <s v="Hanover Park"/>
    <n v="60103"/>
    <x v="152"/>
    <d v="2015-02-26T00:00:00"/>
    <n v="-15.090400000000001"/>
    <n v="12"/>
    <x v="1324"/>
    <n v="86373"/>
    <x v="1336"/>
  </r>
  <r>
    <n v="19001"/>
    <s v="Medium"/>
    <n v="0"/>
    <n v="65.989999999999995"/>
    <n v="3.99"/>
    <n v="2417"/>
    <s v="Ken H Frazier"/>
    <s v="Regular Air"/>
    <s v="Consumer"/>
    <x v="2"/>
    <x v="5"/>
    <s v="Small Box"/>
    <s v="StarTAC 7760"/>
    <n v="0.59"/>
    <s v="United States"/>
    <x v="3"/>
    <s v="Virginia"/>
    <s v="Oakton"/>
    <n v="22124"/>
    <x v="88"/>
    <d v="2015-03-15T00:00:00"/>
    <n v="-60.564"/>
    <n v="13"/>
    <x v="1325"/>
    <n v="86754"/>
    <x v="1337"/>
  </r>
  <r>
    <n v="20325"/>
    <s v="Critical"/>
    <n v="0.03"/>
    <n v="2.1"/>
    <n v="0.7"/>
    <n v="2418"/>
    <s v="Kyle Fink"/>
    <s v="Regular Air"/>
    <s v="Consumer"/>
    <x v="0"/>
    <x v="0"/>
    <s v="Wrap Bag"/>
    <s v="Sanford EarthWrite® Recycled Pencils, Medium Soft, #2"/>
    <n v="0.56999999999999995"/>
    <s v="United States"/>
    <x v="3"/>
    <s v="Virginia"/>
    <s v="Petersburg"/>
    <n v="23805"/>
    <x v="61"/>
    <d v="2015-01-07T00:00:00"/>
    <n v="-1473.9059999999999"/>
    <n v="4"/>
    <x v="1326"/>
    <n v="86750"/>
    <x v="1338"/>
  </r>
  <r>
    <n v="21724"/>
    <s v="High"/>
    <n v="0.1"/>
    <n v="599.99"/>
    <n v="24.49"/>
    <n v="2418"/>
    <s v="Kyle Fink"/>
    <s v="Regular Air"/>
    <s v="Consumer"/>
    <x v="2"/>
    <x v="16"/>
    <s v="Large Box"/>
    <s v="Canon PC1080F Personal Copier"/>
    <n v="0.5"/>
    <s v="United States"/>
    <x v="3"/>
    <s v="Virginia"/>
    <s v="Petersburg"/>
    <n v="23805"/>
    <x v="56"/>
    <d v="2015-01-11T00:00:00"/>
    <n v="-343.12599999999998"/>
    <n v="11"/>
    <x v="1327"/>
    <n v="86753"/>
    <x v="1339"/>
  </r>
  <r>
    <n v="21725"/>
    <s v="High"/>
    <n v="0.06"/>
    <n v="2.78"/>
    <n v="1.25"/>
    <n v="2418"/>
    <s v="Kyle Fink"/>
    <s v="Regular Air"/>
    <s v="Consumer"/>
    <x v="0"/>
    <x v="0"/>
    <s v="Wrap Bag"/>
    <s v="Newell 318"/>
    <n v="0.59"/>
    <s v="United States"/>
    <x v="3"/>
    <s v="Virginia"/>
    <s v="Petersburg"/>
    <n v="23805"/>
    <x v="56"/>
    <d v="2015-01-12T00:00:00"/>
    <n v="66.36"/>
    <n v="10"/>
    <x v="1328"/>
    <n v="86753"/>
    <x v="1340"/>
  </r>
  <r>
    <n v="22376"/>
    <s v="Not Specified"/>
    <n v="7.0000000000000007E-2"/>
    <n v="225.04"/>
    <n v="11.79"/>
    <n v="2419"/>
    <s v="Sandra Faulkner"/>
    <s v="Regular Air"/>
    <s v="Consumer"/>
    <x v="0"/>
    <x v="15"/>
    <s v="Medium Box"/>
    <s v="Holmes Harmony HEPA Air Purifier for 17 x 20 Room"/>
    <n v="0.42"/>
    <s v="United States"/>
    <x v="3"/>
    <s v="Virginia"/>
    <s v="Portsmouth"/>
    <n v="23701"/>
    <x v="173"/>
    <d v="2015-03-26T00:00:00"/>
    <n v="-162.91800000000001"/>
    <n v="5"/>
    <x v="1329"/>
    <n v="86751"/>
    <x v="1341"/>
  </r>
  <r>
    <n v="22377"/>
    <s v="Not Specified"/>
    <n v="0.03"/>
    <n v="7.84"/>
    <n v="4.71"/>
    <n v="2419"/>
    <s v="Sandra Faulkner"/>
    <s v="Regular Air"/>
    <s v="Consumer"/>
    <x v="0"/>
    <x v="8"/>
    <s v="Small Box"/>
    <s v="XtraLife® ClearVue™ Slant-D® Ring Binders by Cardinal"/>
    <n v="0.35"/>
    <s v="United States"/>
    <x v="3"/>
    <s v="Virginia"/>
    <s v="Portsmouth"/>
    <n v="23701"/>
    <x v="173"/>
    <d v="2015-03-29T00:00:00"/>
    <n v="859.71780000000001"/>
    <n v="7"/>
    <x v="1330"/>
    <n v="86751"/>
    <x v="1342"/>
  </r>
  <r>
    <n v="25271"/>
    <s v="High"/>
    <n v="0.04"/>
    <n v="9.11"/>
    <n v="2.15"/>
    <n v="2420"/>
    <s v="Wesley Cho"/>
    <s v="Regular Air"/>
    <s v="Consumer"/>
    <x v="0"/>
    <x v="7"/>
    <s v="Wrap Bag"/>
    <s v="Black Print Carbonless Snap-Off® Rapid Letter, 8 1/2&quot; x 7&quot;"/>
    <n v="0.4"/>
    <s v="United States"/>
    <x v="3"/>
    <s v="Virginia"/>
    <s v="Richmond"/>
    <n v="23223"/>
    <x v="166"/>
    <d v="2015-05-06T00:00:00"/>
    <n v="-23.071999999999999"/>
    <n v="11"/>
    <x v="1331"/>
    <n v="86752"/>
    <x v="1343"/>
  </r>
  <r>
    <n v="18802"/>
    <s v="Not Specified"/>
    <n v="0.05"/>
    <n v="150.97999999999999"/>
    <n v="43.71"/>
    <n v="2422"/>
    <s v="Arlene Wiggins Dalton"/>
    <s v="Delivery Truck"/>
    <s v="Home Office"/>
    <x v="1"/>
    <x v="1"/>
    <s v="Jumbo Drum"/>
    <s v="Global Airflow Leather Mesh Back Chair, Black"/>
    <n v="0.55000000000000004"/>
    <s v="United States"/>
    <x v="2"/>
    <s v="Texas"/>
    <s v="Huntsville"/>
    <n v="77340"/>
    <x v="84"/>
    <d v="2015-05-25T00:00:00"/>
    <n v="650.29999999999995"/>
    <n v="12"/>
    <x v="1332"/>
    <n v="89053"/>
    <x v="1344"/>
  </r>
  <r>
    <n v="19817"/>
    <s v="Medium"/>
    <n v="0.09"/>
    <n v="3.89"/>
    <n v="7.01"/>
    <n v="2422"/>
    <s v="Arlene Wiggins Dalton"/>
    <s v="Express Air"/>
    <s v="Home Office"/>
    <x v="0"/>
    <x v="8"/>
    <s v="Small Box"/>
    <s v="Avery Binder Labels"/>
    <n v="0.37"/>
    <s v="United States"/>
    <x v="2"/>
    <s v="Texas"/>
    <s v="Huntsville"/>
    <n v="77340"/>
    <x v="46"/>
    <d v="2015-01-24T00:00:00"/>
    <n v="-154.30699999999999"/>
    <n v="10"/>
    <x v="1333"/>
    <n v="89055"/>
    <x v="1345"/>
  </r>
  <r>
    <n v="25126"/>
    <s v="Low"/>
    <n v="0.04"/>
    <n v="100.98"/>
    <n v="7.18"/>
    <n v="2423"/>
    <s v="Nicholas Wallace"/>
    <s v="Regular Air"/>
    <s v="Home Office"/>
    <x v="2"/>
    <x v="13"/>
    <s v="Small Box"/>
    <s v="Logitech Cordless Elite Duo"/>
    <n v="0.4"/>
    <s v="United States"/>
    <x v="2"/>
    <s v="Texas"/>
    <s v="Hurst"/>
    <n v="76053"/>
    <x v="72"/>
    <d v="2015-01-26T00:00:00"/>
    <n v="269.94"/>
    <n v="4"/>
    <x v="1334"/>
    <n v="89054"/>
    <x v="1346"/>
  </r>
  <r>
    <n v="21761"/>
    <s v="High"/>
    <n v="0.08"/>
    <n v="30.93"/>
    <n v="3.92"/>
    <n v="2426"/>
    <s v="Dorothy Holt"/>
    <s v="Regular Air"/>
    <s v="Small Business"/>
    <x v="1"/>
    <x v="2"/>
    <s v="Small Pack"/>
    <s v="Advantus Employee of the Month Certificate Frame, 11 x 13-1/2"/>
    <n v="0.44"/>
    <s v="United States"/>
    <x v="2"/>
    <s v="Texas"/>
    <s v="Irving"/>
    <n v="75061"/>
    <x v="24"/>
    <d v="2015-03-16T00:00:00"/>
    <n v="63.059100000000001"/>
    <n v="3"/>
    <x v="1335"/>
    <n v="90859"/>
    <x v="1347"/>
  </r>
  <r>
    <n v="20496"/>
    <s v="Low"/>
    <n v="0.08"/>
    <n v="4.4800000000000004"/>
    <n v="49"/>
    <n v="2426"/>
    <s v="Dorothy Holt"/>
    <s v="Regular Air"/>
    <s v="Small Business"/>
    <x v="0"/>
    <x v="15"/>
    <s v="Large Box"/>
    <s v="Hoover Portapower™ Portable Vacuum"/>
    <n v="0.6"/>
    <s v="United States"/>
    <x v="2"/>
    <s v="Texas"/>
    <s v="Irving"/>
    <n v="75061"/>
    <x v="10"/>
    <d v="2015-05-02T00:00:00"/>
    <n v="139.58009999999999"/>
    <n v="37"/>
    <x v="1336"/>
    <n v="90861"/>
    <x v="1348"/>
  </r>
  <r>
    <n v="20497"/>
    <s v="Low"/>
    <n v="0"/>
    <n v="17.670000000000002"/>
    <n v="8.99"/>
    <n v="2426"/>
    <s v="Dorothy Holt"/>
    <s v="Regular Air"/>
    <s v="Small Business"/>
    <x v="1"/>
    <x v="2"/>
    <s v="Small Pack"/>
    <s v="Executive Impressions 12&quot; Wall Clock"/>
    <n v="0.47"/>
    <s v="United States"/>
    <x v="2"/>
    <s v="Texas"/>
    <s v="Irving"/>
    <n v="75061"/>
    <x v="10"/>
    <d v="2015-05-09T00:00:00"/>
    <n v="109.67"/>
    <n v="9"/>
    <x v="1337"/>
    <n v="90861"/>
    <x v="1349"/>
  </r>
  <r>
    <n v="23729"/>
    <s v="High"/>
    <n v="0.03"/>
    <n v="40.99"/>
    <n v="19.989999999999998"/>
    <n v="2427"/>
    <s v="John Merritt"/>
    <s v="Regular Air"/>
    <s v="Corporate"/>
    <x v="0"/>
    <x v="7"/>
    <s v="Small Box"/>
    <s v="White Dual Perf Computer Printout Paper, 2700 Sheets, 1 Part, Heavyweight, 20 lbs., 14 7/8 x 11"/>
    <n v="0.36"/>
    <s v="United States"/>
    <x v="2"/>
    <s v="Texas"/>
    <s v="Keller"/>
    <n v="76248"/>
    <x v="149"/>
    <d v="2015-02-18T00:00:00"/>
    <n v="395.30799999999999"/>
    <n v="21"/>
    <x v="1338"/>
    <n v="90860"/>
    <x v="1350"/>
  </r>
  <r>
    <n v="22562"/>
    <s v="Not Specified"/>
    <n v="0.1"/>
    <n v="14.28"/>
    <n v="2.99"/>
    <n v="2430"/>
    <s v="Kimberly Reilly"/>
    <s v="Regular Air"/>
    <s v="Home Office"/>
    <x v="0"/>
    <x v="8"/>
    <s v="Small Box"/>
    <s v="Avery Premier Heavy-Duty Binder with Round Locking Rings"/>
    <n v="0.39"/>
    <s v="United States"/>
    <x v="2"/>
    <s v="Texas"/>
    <s v="Killeen"/>
    <n v="76541"/>
    <x v="120"/>
    <d v="2015-03-25T00:00:00"/>
    <n v="104.9145"/>
    <n v="11"/>
    <x v="1339"/>
    <n v="91108"/>
    <x v="1351"/>
  </r>
  <r>
    <n v="22105"/>
    <s v="Not Specified"/>
    <n v="0.04"/>
    <n v="7.08"/>
    <n v="2.35"/>
    <n v="2430"/>
    <s v="Kimberly Reilly"/>
    <s v="Regular Air"/>
    <s v="Home Office"/>
    <x v="0"/>
    <x v="0"/>
    <s v="Wrap Bag"/>
    <s v="SANFORD Major Accent™ Highlighters"/>
    <n v="0.47"/>
    <s v="United States"/>
    <x v="2"/>
    <s v="Texas"/>
    <s v="Killeen"/>
    <n v="76541"/>
    <x v="98"/>
    <d v="2015-04-11T00:00:00"/>
    <n v="24.59"/>
    <n v="7"/>
    <x v="1340"/>
    <n v="91109"/>
    <x v="1352"/>
  </r>
  <r>
    <n v="20731"/>
    <s v="Low"/>
    <n v="0.03"/>
    <n v="140.99"/>
    <n v="4.2"/>
    <n v="2430"/>
    <s v="Kimberly Reilly"/>
    <s v="Regular Air"/>
    <s v="Home Office"/>
    <x v="2"/>
    <x v="5"/>
    <s v="Small Box"/>
    <n v="7160"/>
    <n v="0.59"/>
    <s v="United States"/>
    <x v="2"/>
    <s v="Texas"/>
    <s v="Killeen"/>
    <n v="76541"/>
    <x v="48"/>
    <d v="2015-04-06T00:00:00"/>
    <n v="-458.74400000000003"/>
    <n v="2"/>
    <x v="1341"/>
    <n v="91110"/>
    <x v="1353"/>
  </r>
  <r>
    <n v="3490"/>
    <s v="Not Specified"/>
    <n v="0.05"/>
    <n v="8.85"/>
    <n v="5.6"/>
    <n v="2431"/>
    <s v="Troy Cassidy"/>
    <s v="Regular Air"/>
    <s v="Consumer"/>
    <x v="0"/>
    <x v="8"/>
    <s v="Small Box"/>
    <s v="GBC Standard Plastic Binding Systems Combs"/>
    <n v="0.36"/>
    <s v="United States"/>
    <x v="0"/>
    <s v="California"/>
    <s v="Los Angeles"/>
    <n v="90004"/>
    <x v="69"/>
    <d v="2015-06-11T00:00:00"/>
    <n v="-9.1769999999999996"/>
    <n v="21"/>
    <x v="1342"/>
    <n v="24869"/>
    <x v="1354"/>
  </r>
  <r>
    <n v="819"/>
    <s v="High"/>
    <n v="7.0000000000000007E-2"/>
    <n v="155.06"/>
    <n v="7.07"/>
    <n v="2431"/>
    <s v="Troy Cassidy"/>
    <s v="Regular Air"/>
    <s v="Consumer"/>
    <x v="0"/>
    <x v="10"/>
    <s v="Small Box"/>
    <s v="Dual Level, Single-Width Filing Carts"/>
    <n v="0.59"/>
    <s v="United States"/>
    <x v="0"/>
    <s v="California"/>
    <s v="Los Angeles"/>
    <n v="90004"/>
    <x v="168"/>
    <d v="2015-05-19T00:00:00"/>
    <n v="-121.75"/>
    <n v="14"/>
    <x v="1343"/>
    <n v="5920"/>
    <x v="1355"/>
  </r>
  <r>
    <n v="18819"/>
    <s v="High"/>
    <n v="7.0000000000000007E-2"/>
    <n v="155.06"/>
    <n v="7.07"/>
    <n v="2432"/>
    <s v="Lindsay Tate"/>
    <s v="Regular Air"/>
    <s v="Consumer"/>
    <x v="0"/>
    <x v="10"/>
    <s v="Small Box"/>
    <s v="Dual Level, Single-Width Filing Carts"/>
    <n v="0.59"/>
    <s v="United States"/>
    <x v="2"/>
    <s v="Oklahoma"/>
    <s v="Midwest City"/>
    <n v="73110"/>
    <x v="168"/>
    <d v="2015-05-19T00:00:00"/>
    <n v="24.35"/>
    <n v="3"/>
    <x v="1344"/>
    <n v="89096"/>
    <x v="1356"/>
  </r>
  <r>
    <n v="20286"/>
    <s v="Not Specified"/>
    <n v="0.09"/>
    <n v="5.4"/>
    <n v="7.78"/>
    <n v="2432"/>
    <s v="Lindsay Tate"/>
    <s v="Express Air"/>
    <s v="Consumer"/>
    <x v="0"/>
    <x v="8"/>
    <s v="Small Box"/>
    <s v="3M Organizer Strips"/>
    <n v="0.37"/>
    <s v="United States"/>
    <x v="2"/>
    <s v="Oklahoma"/>
    <s v="Midwest City"/>
    <n v="73110"/>
    <x v="132"/>
    <d v="2015-06-08T00:00:00"/>
    <n v="-34.764499999999998"/>
    <n v="6"/>
    <x v="1345"/>
    <n v="89097"/>
    <x v="1357"/>
  </r>
  <r>
    <n v="21490"/>
    <s v="Not Specified"/>
    <n v="0.05"/>
    <n v="8.85"/>
    <n v="5.6"/>
    <n v="2433"/>
    <s v="Debra P May"/>
    <s v="Regular Air"/>
    <s v="Consumer"/>
    <x v="0"/>
    <x v="8"/>
    <s v="Small Box"/>
    <s v="GBC Standard Plastic Binding Systems Combs"/>
    <n v="0.36"/>
    <s v="United States"/>
    <x v="2"/>
    <s v="Oklahoma"/>
    <s v="Moore"/>
    <n v="73160"/>
    <x v="69"/>
    <d v="2015-06-11T00:00:00"/>
    <n v="-7.3415999999999997"/>
    <n v="5"/>
    <x v="1346"/>
    <n v="89095"/>
    <x v="1358"/>
  </r>
  <r>
    <n v="19566"/>
    <s v="Low"/>
    <n v="0.09"/>
    <n v="90.97"/>
    <n v="14"/>
    <n v="2437"/>
    <s v="Judith Shepherd"/>
    <s v="Delivery Truck"/>
    <s v="Home Office"/>
    <x v="2"/>
    <x v="6"/>
    <s v="Jumbo Drum"/>
    <s v="Lexmark Z54se Color Inkjet Printer"/>
    <n v="0.36"/>
    <s v="United States"/>
    <x v="2"/>
    <s v="Wisconsin"/>
    <s v="Muskego"/>
    <n v="53150"/>
    <x v="151"/>
    <d v="2015-03-03T00:00:00"/>
    <n v="35.29"/>
    <n v="3"/>
    <x v="1347"/>
    <n v="90301"/>
    <x v="1359"/>
  </r>
  <r>
    <n v="20157"/>
    <s v="Medium"/>
    <n v="0.02"/>
    <n v="63.94"/>
    <n v="14.48"/>
    <n v="2441"/>
    <s v="Kenneth Capps"/>
    <s v="Regular Air"/>
    <s v="Consumer"/>
    <x v="1"/>
    <x v="2"/>
    <s v="Small Box"/>
    <s v="Howard Miller 16&quot; Diameter Gallery Wall Clock"/>
    <n v="0.46"/>
    <s v="United States"/>
    <x v="3"/>
    <s v="Florida"/>
    <s v="Melbourne"/>
    <n v="32935"/>
    <x v="36"/>
    <d v="2015-04-04T00:00:00"/>
    <n v="-100.17"/>
    <n v="11"/>
    <x v="1348"/>
    <n v="89300"/>
    <x v="1360"/>
  </r>
  <r>
    <n v="20158"/>
    <s v="Medium"/>
    <n v="0.01"/>
    <n v="5.0199999999999996"/>
    <n v="5.14"/>
    <n v="2442"/>
    <s v="Natalie Aldridge"/>
    <s v="Regular Air"/>
    <s v="Consumer"/>
    <x v="2"/>
    <x v="13"/>
    <s v="Small Pack"/>
    <s v="Imation 3.5, DISKETTE 44766 HGHLD3.52HD/FM, 10/Pack"/>
    <n v="0.79"/>
    <s v="United States"/>
    <x v="3"/>
    <s v="Florida"/>
    <s v="Merritt Island"/>
    <n v="32953"/>
    <x v="36"/>
    <d v="2015-04-06T00:00:00"/>
    <n v="-3.948"/>
    <n v="5"/>
    <x v="1349"/>
    <n v="89300"/>
    <x v="1361"/>
  </r>
  <r>
    <n v="21084"/>
    <s v="High"/>
    <n v="0.05"/>
    <n v="58.1"/>
    <n v="1.49"/>
    <n v="2443"/>
    <s v="Danny Richmond"/>
    <s v="Regular Air"/>
    <s v="Corporate"/>
    <x v="0"/>
    <x v="8"/>
    <s v="Small Box"/>
    <s v="Avery Arch Ring Binders"/>
    <n v="0.38"/>
    <s v="United States"/>
    <x v="3"/>
    <s v="Florida"/>
    <s v="Miami"/>
    <n v="33142"/>
    <x v="174"/>
    <d v="2015-01-18T00:00:00"/>
    <n v="1633.9860000000001"/>
    <n v="13"/>
    <x v="1350"/>
    <n v="89299"/>
    <x v="1362"/>
  </r>
  <r>
    <n v="25304"/>
    <s v="Not Specified"/>
    <n v="0.06"/>
    <n v="2.2799999999999998"/>
    <n v="5.2"/>
    <n v="2443"/>
    <s v="Danny Richmond"/>
    <s v="Regular Air"/>
    <s v="Corporate"/>
    <x v="0"/>
    <x v="0"/>
    <s v="Wrap Bag"/>
    <s v="Binney &amp; Smith inkTank™ Erasable Pocket Highlighter, Chisel Tip, Yellow"/>
    <n v="0.41"/>
    <s v="United States"/>
    <x v="3"/>
    <s v="Florida"/>
    <s v="Miami"/>
    <n v="33142"/>
    <x v="144"/>
    <d v="2015-06-03T00:00:00"/>
    <n v="-2002.6314"/>
    <n v="13"/>
    <x v="1351"/>
    <n v="89301"/>
    <x v="1363"/>
  </r>
  <r>
    <n v="25742"/>
    <s v="High"/>
    <n v="0.09"/>
    <n v="6.48"/>
    <n v="7.03"/>
    <n v="2448"/>
    <s v="Melanie Morrow"/>
    <s v="Regular Air"/>
    <s v="Consumer"/>
    <x v="0"/>
    <x v="7"/>
    <s v="Small Box"/>
    <s v="Xerox 214"/>
    <n v="0.37"/>
    <s v="United States"/>
    <x v="2"/>
    <s v="Minnesota"/>
    <s v="Edina"/>
    <n v="55410"/>
    <x v="159"/>
    <d v="2015-07-01T00:00:00"/>
    <n v="-126.208"/>
    <n v="16"/>
    <x v="1352"/>
    <n v="87790"/>
    <x v="1364"/>
  </r>
  <r>
    <n v="20687"/>
    <s v="Not Specified"/>
    <n v="0.08"/>
    <n v="4.13"/>
    <n v="1.17"/>
    <n v="2450"/>
    <s v="Tonya Miller"/>
    <s v="Regular Air"/>
    <s v="Home Office"/>
    <x v="0"/>
    <x v="0"/>
    <s v="Wrap Bag"/>
    <s v="Newell 31"/>
    <n v="0.56999999999999995"/>
    <s v="United States"/>
    <x v="2"/>
    <s v="Wisconsin"/>
    <s v="Janesville"/>
    <n v="53545"/>
    <x v="94"/>
    <d v="2015-05-25T00:00:00"/>
    <n v="-5.54"/>
    <n v="1"/>
    <x v="1353"/>
    <n v="90322"/>
    <x v="1365"/>
  </r>
  <r>
    <n v="21198"/>
    <s v="Medium"/>
    <n v="0.06"/>
    <n v="3499.99"/>
    <n v="24.49"/>
    <n v="2454"/>
    <s v="Donna Braun"/>
    <s v="Express Air"/>
    <s v="Corporate"/>
    <x v="2"/>
    <x v="16"/>
    <s v="Large Box"/>
    <s v="Canon imageCLASS 2200 Advanced Copier"/>
    <n v="0.37"/>
    <s v="United States"/>
    <x v="3"/>
    <s v="Alabama"/>
    <s v="Hoover"/>
    <n v="35244"/>
    <x v="151"/>
    <d v="2015-03-04T00:00:00"/>
    <n v="-68.432000000000002"/>
    <n v="1"/>
    <x v="1354"/>
    <n v="89219"/>
    <x v="1366"/>
  </r>
  <r>
    <n v="25536"/>
    <s v="High"/>
    <n v="7.0000000000000007E-2"/>
    <n v="179.99"/>
    <n v="19.989999999999998"/>
    <n v="2456"/>
    <s v="Joan Beach"/>
    <s v="Regular Air"/>
    <s v="Home Office"/>
    <x v="2"/>
    <x v="13"/>
    <s v="Small Box"/>
    <s v="Motorola SB4200 Cable Modem"/>
    <n v="0.48"/>
    <s v="United States"/>
    <x v="3"/>
    <s v="Alabama"/>
    <s v="Mobile"/>
    <n v="36608"/>
    <x v="46"/>
    <d v="2015-01-23T00:00:00"/>
    <n v="733.28219999999999"/>
    <n v="7"/>
    <x v="1355"/>
    <n v="89218"/>
    <x v="1367"/>
  </r>
  <r>
    <n v="25537"/>
    <s v="High"/>
    <n v="0.02"/>
    <n v="92.23"/>
    <n v="39.61"/>
    <n v="2456"/>
    <s v="Joan Beach"/>
    <s v="Express Air"/>
    <s v="Home Office"/>
    <x v="1"/>
    <x v="2"/>
    <s v="Medium Box"/>
    <s v="Deflect-o RollaMat Studded, Beveled Mat for Medium Pile Carpeting"/>
    <n v="0.67"/>
    <s v="United States"/>
    <x v="3"/>
    <s v="Alabama"/>
    <s v="Mobile"/>
    <n v="36608"/>
    <x v="46"/>
    <d v="2015-01-23T00:00:00"/>
    <n v="-905.99040000000002"/>
    <n v="11"/>
    <x v="1356"/>
    <n v="89218"/>
    <x v="1368"/>
  </r>
  <r>
    <n v="25535"/>
    <s v="High"/>
    <n v="0.02"/>
    <n v="15.22"/>
    <n v="9.73"/>
    <n v="2457"/>
    <s v="Yvonne Collier"/>
    <s v="Regular Air"/>
    <s v="Home Office"/>
    <x v="0"/>
    <x v="8"/>
    <s v="Small Box"/>
    <s v="GBC Twin Loop™ Wire Binding Elements, 9/16&quot; Spine, Black"/>
    <n v="0.36"/>
    <s v="United States"/>
    <x v="2"/>
    <s v="Minnesota"/>
    <s v="Lino Lakes"/>
    <n v="55014"/>
    <x v="46"/>
    <d v="2015-01-22T00:00:00"/>
    <n v="-21.63242"/>
    <n v="9"/>
    <x v="1357"/>
    <n v="89218"/>
    <x v="1369"/>
  </r>
  <r>
    <n v="22321"/>
    <s v="High"/>
    <n v="0.03"/>
    <n v="6.48"/>
    <n v="8.73"/>
    <n v="2458"/>
    <s v="Troy Casey"/>
    <s v="Regular Air"/>
    <s v="Home Office"/>
    <x v="0"/>
    <x v="7"/>
    <s v="Small Box"/>
    <s v="Xerox 227"/>
    <n v="0.37"/>
    <s v="United States"/>
    <x v="2"/>
    <s v="Minnesota"/>
    <s v="Edina"/>
    <n v="55410"/>
    <x v="35"/>
    <d v="2015-01-05T00:00:00"/>
    <n v="-35.04"/>
    <n v="2"/>
    <x v="1358"/>
    <n v="91285"/>
    <x v="1370"/>
  </r>
  <r>
    <n v="21190"/>
    <s v="Medium"/>
    <n v="0.05"/>
    <n v="12.88"/>
    <n v="4.59"/>
    <n v="2458"/>
    <s v="Troy Casey"/>
    <s v="Regular Air"/>
    <s v="Home Office"/>
    <x v="0"/>
    <x v="12"/>
    <s v="Wrap Bag"/>
    <s v="Martin-Yale Premier Letter Opener"/>
    <n v="0.82"/>
    <s v="United States"/>
    <x v="2"/>
    <s v="Minnesota"/>
    <s v="Edina"/>
    <n v="55410"/>
    <x v="94"/>
    <d v="2015-05-25T00:00:00"/>
    <n v="5.98"/>
    <n v="3"/>
    <x v="1359"/>
    <n v="91286"/>
    <x v="1371"/>
  </r>
  <r>
    <n v="4321"/>
    <s v="High"/>
    <n v="0.03"/>
    <n v="6.48"/>
    <n v="8.73"/>
    <n v="2460"/>
    <s v="Lucille Gibbons"/>
    <s v="Regular Air"/>
    <s v="Home Office"/>
    <x v="0"/>
    <x v="7"/>
    <s v="Small Box"/>
    <s v="Xerox 227"/>
    <n v="0.37"/>
    <s v="United States"/>
    <x v="1"/>
    <s v="New York"/>
    <s v="New York City"/>
    <n v="10035"/>
    <x v="35"/>
    <d v="2015-01-05T00:00:00"/>
    <n v="-35.04"/>
    <n v="8"/>
    <x v="1360"/>
    <n v="30785"/>
    <x v="1372"/>
  </r>
  <r>
    <n v="4322"/>
    <s v="High"/>
    <n v="7.0000000000000007E-2"/>
    <n v="9.93"/>
    <n v="1.0900000000000001"/>
    <n v="2460"/>
    <s v="Lucille Gibbons"/>
    <s v="Regular Air"/>
    <s v="Home Office"/>
    <x v="0"/>
    <x v="0"/>
    <s v="Wrap Bag"/>
    <s v="Peel-Off® China Markers"/>
    <n v="0.43"/>
    <s v="United States"/>
    <x v="1"/>
    <s v="New York"/>
    <s v="New York City"/>
    <n v="10035"/>
    <x v="35"/>
    <d v="2015-01-06T00:00:00"/>
    <n v="149.53"/>
    <n v="46"/>
    <x v="1361"/>
    <n v="30785"/>
    <x v="1373"/>
  </r>
  <r>
    <n v="25859"/>
    <s v="High"/>
    <n v="0.09"/>
    <n v="1.74"/>
    <n v="4.08"/>
    <n v="2464"/>
    <s v="Joe George"/>
    <s v="Express Air"/>
    <s v="Consumer"/>
    <x v="1"/>
    <x v="2"/>
    <s v="Small Pack"/>
    <s v="Eldon Regeneration Recycled Desk Accessories, Smoke"/>
    <n v="0.53"/>
    <s v="United States"/>
    <x v="3"/>
    <s v="Louisiana"/>
    <s v="Bossier City"/>
    <n v="71111"/>
    <x v="171"/>
    <d v="2015-05-13T00:00:00"/>
    <n v="608.26199999999994"/>
    <n v="4"/>
    <x v="1362"/>
    <n v="88713"/>
    <x v="1374"/>
  </r>
  <r>
    <n v="25860"/>
    <s v="High"/>
    <n v="0.08"/>
    <n v="227.55"/>
    <n v="32.479999999999997"/>
    <n v="2464"/>
    <s v="Joe George"/>
    <s v="Delivery Truck"/>
    <s v="Consumer"/>
    <x v="1"/>
    <x v="11"/>
    <s v="Jumbo Box"/>
    <s v="Hon Rectangular Conference Tables"/>
    <n v="0.68"/>
    <s v="United States"/>
    <x v="3"/>
    <s v="Louisiana"/>
    <s v="Bossier City"/>
    <n v="71111"/>
    <x v="171"/>
    <d v="2015-05-11T00:00:00"/>
    <n v="-570.16959999999995"/>
    <n v="16"/>
    <x v="1363"/>
    <n v="88713"/>
    <x v="1375"/>
  </r>
  <r>
    <n v="25807"/>
    <s v="Not Specified"/>
    <n v="0.05"/>
    <n v="6.28"/>
    <n v="5.36"/>
    <n v="2464"/>
    <s v="Joe George"/>
    <s v="Regular Air"/>
    <s v="Consumer"/>
    <x v="0"/>
    <x v="8"/>
    <s v="Small Box"/>
    <s v="GBC Standard Plastic Binding Systems' Combs"/>
    <n v="0.4"/>
    <s v="United States"/>
    <x v="3"/>
    <s v="Louisiana"/>
    <s v="Bossier City"/>
    <n v="71111"/>
    <x v="13"/>
    <d v="2015-01-23T00:00:00"/>
    <n v="1.278"/>
    <n v="6"/>
    <x v="1364"/>
    <n v="88714"/>
    <x v="1376"/>
  </r>
  <r>
    <n v="25808"/>
    <s v="Not Specified"/>
    <n v="0.04"/>
    <n v="3.08"/>
    <n v="0.99"/>
    <n v="2464"/>
    <s v="Joe George"/>
    <s v="Regular Air"/>
    <s v="Consumer"/>
    <x v="0"/>
    <x v="9"/>
    <s v="Small Box"/>
    <s v="Avery 481"/>
    <n v="0.37"/>
    <s v="United States"/>
    <x v="3"/>
    <s v="Louisiana"/>
    <s v="Bossier City"/>
    <n v="71111"/>
    <x v="13"/>
    <d v="2015-01-21T00:00:00"/>
    <n v="424.29"/>
    <n v="14"/>
    <x v="1365"/>
    <n v="88714"/>
    <x v="1377"/>
  </r>
  <r>
    <n v="22580"/>
    <s v="Medium"/>
    <n v="0.04"/>
    <n v="2.08"/>
    <n v="1.49"/>
    <n v="2466"/>
    <s v="Gilbert Godfrey"/>
    <s v="Regular Air"/>
    <s v="Corporate"/>
    <x v="0"/>
    <x v="8"/>
    <s v="Small Box"/>
    <s v="Economy Binders"/>
    <n v="0.36"/>
    <s v="United States"/>
    <x v="2"/>
    <s v="Michigan"/>
    <s v="Sault Sainte Marie"/>
    <n v="49783"/>
    <x v="139"/>
    <d v="2015-02-28T00:00:00"/>
    <n v="-3.71956"/>
    <n v="7"/>
    <x v="1366"/>
    <n v="88136"/>
    <x v="1378"/>
  </r>
  <r>
    <n v="22582"/>
    <s v="Medium"/>
    <n v="0.02"/>
    <n v="53.98"/>
    <n v="5.5"/>
    <n v="2466"/>
    <s v="Gilbert Godfrey"/>
    <s v="Express Air"/>
    <s v="Corporate"/>
    <x v="2"/>
    <x v="13"/>
    <s v="Small Box"/>
    <s v="Nu-Form 106-Key Ergonomic Keyboard w/ Touchpad"/>
    <n v="0.62"/>
    <s v="United States"/>
    <x v="2"/>
    <s v="Michigan"/>
    <s v="Sault Sainte Marie"/>
    <n v="49783"/>
    <x v="139"/>
    <d v="2015-02-28T00:00:00"/>
    <n v="101.97199999999999"/>
    <n v="8"/>
    <x v="1367"/>
    <n v="88136"/>
    <x v="1379"/>
  </r>
  <r>
    <n v="22583"/>
    <s v="Medium"/>
    <n v="0.05"/>
    <n v="4.9800000000000004"/>
    <n v="5.0199999999999996"/>
    <n v="2466"/>
    <s v="Gilbert Godfrey"/>
    <s v="Regular Air"/>
    <s v="Corporate"/>
    <x v="0"/>
    <x v="7"/>
    <s v="Small Box"/>
    <s v="Xerox 1989"/>
    <n v="0.38"/>
    <s v="United States"/>
    <x v="2"/>
    <s v="Michigan"/>
    <s v="Sault Sainte Marie"/>
    <n v="49783"/>
    <x v="139"/>
    <d v="2015-02-27T00:00:00"/>
    <n v="-16.634799999999998"/>
    <n v="7"/>
    <x v="1368"/>
    <n v="88136"/>
    <x v="1380"/>
  </r>
  <r>
    <n v="19766"/>
    <s v="Critical"/>
    <n v="0.09"/>
    <n v="58.1"/>
    <n v="1.49"/>
    <n v="2468"/>
    <s v="Rhonda Stein"/>
    <s v="Express Air"/>
    <s v="Home Office"/>
    <x v="0"/>
    <x v="8"/>
    <s v="Small Box"/>
    <s v="Avery Arch Ring Binders"/>
    <n v="0.38"/>
    <s v="United States"/>
    <x v="3"/>
    <s v="North Carolina"/>
    <s v="Salisbury"/>
    <n v="28144"/>
    <x v="58"/>
    <d v="2015-04-29T00:00:00"/>
    <n v="765.75"/>
    <n v="3"/>
    <x v="1211"/>
    <n v="88135"/>
    <x v="1381"/>
  </r>
  <r>
    <n v="18684"/>
    <s v="Critical"/>
    <n v="0.04"/>
    <n v="65.989999999999995"/>
    <n v="8.99"/>
    <n v="2468"/>
    <s v="Rhonda Stein"/>
    <s v="Regular Air"/>
    <s v="Corporate"/>
    <x v="2"/>
    <x v="5"/>
    <s v="Small Box"/>
    <s v="i270"/>
    <n v="0.55000000000000004"/>
    <s v="United States"/>
    <x v="3"/>
    <s v="North Carolina"/>
    <s v="Salisbury"/>
    <n v="28144"/>
    <x v="114"/>
    <d v="2015-03-14T00:00:00"/>
    <n v="-335.041"/>
    <n v="13"/>
    <x v="1369"/>
    <n v="88137"/>
    <x v="1382"/>
  </r>
  <r>
    <n v="26057"/>
    <s v="Low"/>
    <n v="0.1"/>
    <n v="4.91"/>
    <n v="0.5"/>
    <n v="2472"/>
    <s v="Ricky Sanders"/>
    <s v="Express Air"/>
    <s v="Home Office"/>
    <x v="0"/>
    <x v="9"/>
    <s v="Small Box"/>
    <s v="Avery 493"/>
    <n v="0.36"/>
    <s v="United States"/>
    <x v="2"/>
    <s v="Illinois"/>
    <s v="Joliet"/>
    <n v="60432"/>
    <x v="54"/>
    <d v="2015-02-21T00:00:00"/>
    <n v="35.279699999999998"/>
    <n v="10"/>
    <x v="1370"/>
    <n v="86514"/>
    <x v="1383"/>
  </r>
  <r>
    <n v="24584"/>
    <s v="Critical"/>
    <n v="7.0000000000000007E-2"/>
    <n v="5.18"/>
    <n v="5.74"/>
    <n v="2481"/>
    <s v="Kelly Sawyer"/>
    <s v="Express Air"/>
    <s v="Corporate"/>
    <x v="0"/>
    <x v="8"/>
    <s v="Small Box"/>
    <s v="Wilson Jones Impact Binders"/>
    <n v="0.36"/>
    <s v="United States"/>
    <x v="3"/>
    <s v="Louisiana"/>
    <s v="Lafayette"/>
    <n v="70506"/>
    <x v="34"/>
    <d v="2015-04-08T00:00:00"/>
    <n v="-188.03399999999999"/>
    <n v="14"/>
    <x v="1371"/>
    <n v="91000"/>
    <x v="1384"/>
  </r>
  <r>
    <n v="24568"/>
    <s v="Medium"/>
    <n v="0.05"/>
    <n v="6.48"/>
    <n v="7.91"/>
    <n v="2484"/>
    <s v="Rhonda Bryant"/>
    <s v="Regular Air"/>
    <s v="Corporate"/>
    <x v="0"/>
    <x v="7"/>
    <s v="Small Box"/>
    <s v="Xerox 216"/>
    <n v="0.37"/>
    <s v="United States"/>
    <x v="3"/>
    <s v="Florida"/>
    <s v="Winter Haven"/>
    <n v="33881"/>
    <x v="114"/>
    <d v="2015-03-14T00:00:00"/>
    <n v="322.12200000000001"/>
    <n v="16"/>
    <x v="1372"/>
    <n v="88998"/>
    <x v="1385"/>
  </r>
  <r>
    <n v="24569"/>
    <s v="Medium"/>
    <n v="0.03"/>
    <n v="111.03"/>
    <n v="8.64"/>
    <n v="2484"/>
    <s v="Rhonda Bryant"/>
    <s v="Regular Air"/>
    <s v="Corporate"/>
    <x v="0"/>
    <x v="10"/>
    <s v="Small Box"/>
    <s v="Fellowes Recycled Storage Drawers"/>
    <n v="0.78"/>
    <s v="United States"/>
    <x v="3"/>
    <s v="Florida"/>
    <s v="Winter Haven"/>
    <n v="33881"/>
    <x v="114"/>
    <d v="2015-03-14T00:00:00"/>
    <n v="366.54"/>
    <n v="8"/>
    <x v="1373"/>
    <n v="88998"/>
    <x v="1386"/>
  </r>
  <r>
    <n v="22028"/>
    <s v="High"/>
    <n v="0.02"/>
    <n v="71.37"/>
    <n v="69"/>
    <n v="2486"/>
    <s v="Jack Horn"/>
    <s v="Regular Air"/>
    <s v="Small Business"/>
    <x v="1"/>
    <x v="11"/>
    <s v="Large Box"/>
    <s v="Lesro Sheffield Collection Coffee Table, End Table, Center Table, Corner Table"/>
    <n v="0.68"/>
    <s v="United States"/>
    <x v="3"/>
    <s v="Georgia"/>
    <s v="Statesboro"/>
    <n v="30458"/>
    <x v="92"/>
    <d v="2015-02-07T00:00:00"/>
    <n v="-439.90800000000002"/>
    <n v="4"/>
    <x v="1374"/>
    <n v="91414"/>
    <x v="1387"/>
  </r>
  <r>
    <n v="22029"/>
    <s v="High"/>
    <n v="0.03"/>
    <n v="205.99"/>
    <n v="8.99"/>
    <n v="2486"/>
    <s v="Jack Horn"/>
    <s v="Express Air"/>
    <s v="Small Business"/>
    <x v="2"/>
    <x v="5"/>
    <s v="Small Box"/>
    <s v="StarTAC 8000"/>
    <n v="0.6"/>
    <s v="United States"/>
    <x v="3"/>
    <s v="Georgia"/>
    <s v="Statesboro"/>
    <n v="30458"/>
    <x v="92"/>
    <d v="2015-02-08T00:00:00"/>
    <n v="1087.7159999999999"/>
    <n v="1"/>
    <x v="1375"/>
    <n v="91414"/>
    <x v="1388"/>
  </r>
  <r>
    <n v="23495"/>
    <s v="Low"/>
    <n v="0"/>
    <n v="180.98"/>
    <n v="30"/>
    <n v="2486"/>
    <s v="Jack Horn"/>
    <s v="Delivery Truck"/>
    <s v="Small Business"/>
    <x v="1"/>
    <x v="1"/>
    <s v="Jumbo Drum"/>
    <s v="Office Star - Ergonomic Mid Back Chair with 2-Way Adjustable Arms"/>
    <n v="0.69"/>
    <s v="United States"/>
    <x v="3"/>
    <s v="Georgia"/>
    <s v="Statesboro"/>
    <n v="30458"/>
    <x v="118"/>
    <d v="2015-02-05T00:00:00"/>
    <n v="9.2040000000000006"/>
    <n v="11"/>
    <x v="1376"/>
    <n v="91416"/>
    <x v="1389"/>
  </r>
  <r>
    <n v="23983"/>
    <s v="Not Specified"/>
    <n v="0.04"/>
    <n v="3.08"/>
    <n v="0.99"/>
    <n v="2487"/>
    <s v="Michelle Bryant Phillips"/>
    <s v="Regular Air"/>
    <s v="Small Business"/>
    <x v="0"/>
    <x v="9"/>
    <s v="Small Box"/>
    <s v="Avery 481"/>
    <n v="0.37"/>
    <s v="United States"/>
    <x v="3"/>
    <s v="Georgia"/>
    <s v="Tucker"/>
    <n v="30084"/>
    <x v="105"/>
    <d v="2015-06-21T00:00:00"/>
    <n v="257.08319999999998"/>
    <n v="14"/>
    <x v="1377"/>
    <n v="91415"/>
    <x v="1390"/>
  </r>
  <r>
    <n v="23984"/>
    <s v="Not Specified"/>
    <n v="0.1"/>
    <n v="2.78"/>
    <n v="1.25"/>
    <n v="2487"/>
    <s v="Michelle Bryant Phillips"/>
    <s v="Regular Air"/>
    <s v="Small Business"/>
    <x v="0"/>
    <x v="0"/>
    <s v="Wrap Bag"/>
    <s v="Newell 318"/>
    <n v="0.59"/>
    <s v="United States"/>
    <x v="3"/>
    <s v="Georgia"/>
    <s v="Tucker"/>
    <n v="30084"/>
    <x v="105"/>
    <d v="2015-06-21T00:00:00"/>
    <n v="0.78539999999999999"/>
    <n v="18"/>
    <x v="1378"/>
    <n v="91415"/>
    <x v="1391"/>
  </r>
  <r>
    <n v="24476"/>
    <s v="Not Specified"/>
    <n v="0.02"/>
    <n v="136.97999999999999"/>
    <n v="24.49"/>
    <n v="2487"/>
    <s v="Michelle Bryant Phillips"/>
    <s v="Express Air"/>
    <s v="Small Business"/>
    <x v="1"/>
    <x v="2"/>
    <s v="Large Box"/>
    <s v="3M Polarizing Task Lamp with Clamp Arm, Light Gray"/>
    <n v="0.59"/>
    <s v="United States"/>
    <x v="3"/>
    <s v="Georgia"/>
    <s v="Tucker"/>
    <n v="30084"/>
    <x v="42"/>
    <d v="2015-06-03T00:00:00"/>
    <n v="88.56"/>
    <n v="8"/>
    <x v="1379"/>
    <n v="91417"/>
    <x v="1392"/>
  </r>
  <r>
    <n v="20065"/>
    <s v="High"/>
    <n v="0.08"/>
    <n v="4.91"/>
    <n v="0.5"/>
    <n v="2488"/>
    <s v="Gordon Walker"/>
    <s v="Regular Air"/>
    <s v="Consumer"/>
    <x v="0"/>
    <x v="9"/>
    <s v="Small Box"/>
    <s v="Avery 493"/>
    <n v="0.36"/>
    <s v="United States"/>
    <x v="3"/>
    <s v="Arkansas"/>
    <s v="Cabot"/>
    <n v="72023"/>
    <x v="37"/>
    <d v="2015-04-09T00:00:00"/>
    <n v="12.726000000000001"/>
    <n v="9"/>
    <x v="1380"/>
    <n v="86887"/>
    <x v="1393"/>
  </r>
  <r>
    <n v="20066"/>
    <s v="High"/>
    <n v="0.02"/>
    <n v="28.15"/>
    <n v="6.17"/>
    <n v="2488"/>
    <s v="Gordon Walker"/>
    <s v="Regular Air"/>
    <s v="Consumer"/>
    <x v="0"/>
    <x v="0"/>
    <s v="Small Pack"/>
    <s v="Boston Model 1800 Electric Pencil Sharpener, Gray"/>
    <n v="0.55000000000000004"/>
    <s v="United States"/>
    <x v="3"/>
    <s v="Arkansas"/>
    <s v="Cabot"/>
    <n v="72023"/>
    <x v="37"/>
    <d v="2015-04-10T00:00:00"/>
    <n v="160.8066"/>
    <n v="11"/>
    <x v="1381"/>
    <n v="86887"/>
    <x v="1394"/>
  </r>
  <r>
    <n v="20602"/>
    <s v="High"/>
    <n v="0.01"/>
    <n v="2036.48"/>
    <n v="14.7"/>
    <n v="2489"/>
    <s v="Craig Liu"/>
    <s v="Delivery Truck"/>
    <s v="Consumer"/>
    <x v="2"/>
    <x v="6"/>
    <s v="Jumbo Drum"/>
    <s v="Lexmark 4227 Plus Dot Matrix Printer"/>
    <n v="0.55000000000000004"/>
    <s v="United States"/>
    <x v="0"/>
    <s v="California"/>
    <s v="Concord"/>
    <n v="94521"/>
    <x v="143"/>
    <d v="2015-02-13T00:00:00"/>
    <n v="-1596.7457999999999"/>
    <n v="2"/>
    <x v="1382"/>
    <n v="86883"/>
    <x v="1395"/>
  </r>
  <r>
    <n v="21212"/>
    <s v="Medium"/>
    <n v="0.04"/>
    <n v="419.19"/>
    <n v="19.989999999999998"/>
    <n v="2489"/>
    <s v="Craig Liu"/>
    <s v="Regular Air"/>
    <s v="Home Office"/>
    <x v="0"/>
    <x v="10"/>
    <s v="Small Box"/>
    <s v="Smead Adjustable Mobile File Trolley with Lockable Top"/>
    <n v="0.57999999999999996"/>
    <s v="United States"/>
    <x v="0"/>
    <s v="California"/>
    <s v="Concord"/>
    <n v="94521"/>
    <x v="138"/>
    <d v="2015-04-27T00:00:00"/>
    <n v="1388.3559"/>
    <n v="5"/>
    <x v="1383"/>
    <n v="86885"/>
    <x v="1396"/>
  </r>
  <r>
    <n v="21338"/>
    <s v="Not Specified"/>
    <n v="7.0000000000000007E-2"/>
    <n v="65.989999999999995"/>
    <n v="8.8000000000000007"/>
    <n v="2489"/>
    <s v="Craig Liu"/>
    <s v="Regular Air"/>
    <s v="Home Office"/>
    <x v="2"/>
    <x v="5"/>
    <s v="Small Box"/>
    <n v="6120"/>
    <n v="0.57999999999999996"/>
    <s v="United States"/>
    <x v="0"/>
    <s v="California"/>
    <s v="Concord"/>
    <n v="94521"/>
    <x v="38"/>
    <d v="2015-01-12T00:00:00"/>
    <n v="109.836"/>
    <n v="9"/>
    <x v="1384"/>
    <n v="86886"/>
    <x v="1397"/>
  </r>
  <r>
    <n v="24856"/>
    <s v="Critical"/>
    <n v="0.09"/>
    <n v="348.21"/>
    <n v="40.19"/>
    <n v="2490"/>
    <s v="Pauline Finch"/>
    <s v="Delivery Truck"/>
    <s v="Home Office"/>
    <x v="1"/>
    <x v="11"/>
    <s v="Jumbo Box"/>
    <s v="Bretford CR4500 Series Slim Rectangular Table"/>
    <n v="0.62"/>
    <s v="United States"/>
    <x v="0"/>
    <s v="California"/>
    <s v="Costa Mesa"/>
    <n v="92627"/>
    <x v="79"/>
    <d v="2015-02-16T00:00:00"/>
    <n v="-93.85"/>
    <n v="2"/>
    <x v="1385"/>
    <n v="86884"/>
    <x v="1398"/>
  </r>
  <r>
    <n v="21339"/>
    <s v="Not Specified"/>
    <n v="0"/>
    <n v="10.01"/>
    <n v="1.99"/>
    <n v="2490"/>
    <s v="Pauline Finch"/>
    <s v="Express Air"/>
    <s v="Home Office"/>
    <x v="2"/>
    <x v="13"/>
    <s v="Small Pack"/>
    <s v="TDK 4.7GB DVD-R"/>
    <n v="0.41"/>
    <s v="United States"/>
    <x v="0"/>
    <s v="California"/>
    <s v="Costa Mesa"/>
    <n v="92627"/>
    <x v="38"/>
    <d v="2015-01-14T00:00:00"/>
    <n v="82.703400000000002"/>
    <n v="11"/>
    <x v="1386"/>
    <n v="86886"/>
    <x v="1399"/>
  </r>
  <r>
    <n v="6856"/>
    <s v="Critical"/>
    <n v="0.09"/>
    <n v="348.21"/>
    <n v="40.19"/>
    <n v="2491"/>
    <s v="Sean N Boyer"/>
    <s v="Delivery Truck"/>
    <s v="Home Office"/>
    <x v="1"/>
    <x v="11"/>
    <s v="Jumbo Box"/>
    <s v="Bretford CR4500 Series Slim Rectangular Table"/>
    <n v="0.62"/>
    <s v="United States"/>
    <x v="0"/>
    <s v="California"/>
    <s v="Los Angeles"/>
    <n v="90045"/>
    <x v="79"/>
    <d v="2015-02-16T00:00:00"/>
    <n v="-93.85"/>
    <n v="8"/>
    <x v="1387"/>
    <n v="48836"/>
    <x v="1400"/>
  </r>
  <r>
    <n v="1617"/>
    <s v="Low"/>
    <n v="0.06"/>
    <n v="4.28"/>
    <n v="0.94"/>
    <n v="2491"/>
    <s v="Sean N Boyer"/>
    <s v="Regular Air"/>
    <s v="Consumer"/>
    <x v="0"/>
    <x v="0"/>
    <s v="Wrap Bag"/>
    <s v="Newell 336"/>
    <n v="0.56000000000000005"/>
    <s v="United States"/>
    <x v="0"/>
    <s v="California"/>
    <s v="Los Angeles"/>
    <n v="90045"/>
    <x v="138"/>
    <d v="2015-04-28T00:00:00"/>
    <n v="0.37"/>
    <n v="9"/>
    <x v="1388"/>
    <n v="11712"/>
    <x v="1401"/>
  </r>
  <r>
    <n v="3212"/>
    <s v="Medium"/>
    <n v="0.04"/>
    <n v="419.19"/>
    <n v="19.989999999999998"/>
    <n v="2491"/>
    <s v="Sean N Boyer"/>
    <s v="Regular Air"/>
    <s v="Home Office"/>
    <x v="0"/>
    <x v="10"/>
    <s v="Small Box"/>
    <s v="Smead Adjustable Mobile File Trolley with Lockable Top"/>
    <n v="0.57999999999999996"/>
    <s v="United States"/>
    <x v="0"/>
    <s v="California"/>
    <s v="Los Angeles"/>
    <n v="90045"/>
    <x v="138"/>
    <d v="2015-04-27T00:00:00"/>
    <n v="1947.67"/>
    <n v="20"/>
    <x v="1389"/>
    <n v="23042"/>
    <x v="1402"/>
  </r>
  <r>
    <n v="3338"/>
    <s v="Not Specified"/>
    <n v="7.0000000000000007E-2"/>
    <n v="65.989999999999995"/>
    <n v="8.8000000000000007"/>
    <n v="2491"/>
    <s v="Sean N Boyer"/>
    <s v="Regular Air"/>
    <s v="Home Office"/>
    <x v="2"/>
    <x v="5"/>
    <s v="Small Box"/>
    <n v="6120"/>
    <n v="0.57999999999999996"/>
    <s v="United States"/>
    <x v="0"/>
    <s v="California"/>
    <s v="Los Angeles"/>
    <n v="90045"/>
    <x v="38"/>
    <d v="2015-01-12T00:00:00"/>
    <n v="109.836"/>
    <n v="37"/>
    <x v="1390"/>
    <n v="23877"/>
    <x v="1403"/>
  </r>
  <r>
    <n v="3339"/>
    <s v="Not Specified"/>
    <n v="0"/>
    <n v="10.01"/>
    <n v="1.99"/>
    <n v="2491"/>
    <s v="Sean N Boyer"/>
    <s v="Express Air"/>
    <s v="Home Office"/>
    <x v="2"/>
    <x v="13"/>
    <s v="Small Pack"/>
    <s v="TDK 4.7GB DVD-R"/>
    <n v="0.41"/>
    <s v="United States"/>
    <x v="0"/>
    <s v="California"/>
    <s v="Los Angeles"/>
    <n v="90045"/>
    <x v="38"/>
    <d v="2015-01-14T00:00:00"/>
    <n v="128.03"/>
    <n v="42"/>
    <x v="1391"/>
    <n v="23877"/>
    <x v="1404"/>
  </r>
  <r>
    <n v="2065"/>
    <s v="High"/>
    <n v="0.08"/>
    <n v="4.91"/>
    <n v="0.5"/>
    <n v="2491"/>
    <s v="Sean N Boyer"/>
    <s v="Regular Air"/>
    <s v="Consumer"/>
    <x v="0"/>
    <x v="9"/>
    <s v="Small Box"/>
    <s v="Avery 493"/>
    <n v="0.36"/>
    <s v="United States"/>
    <x v="0"/>
    <s v="California"/>
    <s v="Los Angeles"/>
    <n v="90045"/>
    <x v="37"/>
    <d v="2015-04-09T00:00:00"/>
    <n v="31.751999999999999"/>
    <n v="36"/>
    <x v="1392"/>
    <n v="14785"/>
    <x v="1405"/>
  </r>
  <r>
    <n v="2066"/>
    <s v="High"/>
    <n v="0.02"/>
    <n v="28.15"/>
    <n v="6.17"/>
    <n v="2491"/>
    <s v="Sean N Boyer"/>
    <s v="Regular Air"/>
    <s v="Consumer"/>
    <x v="0"/>
    <x v="0"/>
    <s v="Small Pack"/>
    <s v="Boston Model 1800 Electric Pencil Sharpener, Gray"/>
    <n v="0.55000000000000004"/>
    <s v="United States"/>
    <x v="0"/>
    <s v="California"/>
    <s v="Los Angeles"/>
    <n v="90045"/>
    <x v="37"/>
    <d v="2015-04-10T00:00:00"/>
    <n v="117.208"/>
    <n v="45"/>
    <x v="1393"/>
    <n v="14785"/>
    <x v="1406"/>
  </r>
  <r>
    <n v="19617"/>
    <s v="Low"/>
    <n v="0.06"/>
    <n v="4.28"/>
    <n v="0.94"/>
    <n v="2495"/>
    <s v="Maria Block"/>
    <s v="Regular Air"/>
    <s v="Consumer"/>
    <x v="0"/>
    <x v="0"/>
    <s v="Wrap Bag"/>
    <s v="Newell 336"/>
    <n v="0.56000000000000005"/>
    <s v="United States"/>
    <x v="0"/>
    <s v="Wyoming"/>
    <s v="Rock Springs"/>
    <n v="82901"/>
    <x v="138"/>
    <d v="2015-04-28T00:00:00"/>
    <n v="0.37"/>
    <n v="2"/>
    <x v="1394"/>
    <n v="86885"/>
    <x v="1407"/>
  </r>
  <r>
    <n v="2296"/>
    <s v="Not Specified"/>
    <n v="0.09"/>
    <n v="355.98"/>
    <n v="58.92"/>
    <n v="2498"/>
    <s v="Arlene Long"/>
    <s v="Delivery Truck"/>
    <s v="Corporate"/>
    <x v="1"/>
    <x v="1"/>
    <s v="Jumbo Drum"/>
    <s v="Hon 4700 Series Mobuis™ Mid-Back Task Chairs with Adjustable Arms"/>
    <n v="0.64"/>
    <s v="United States"/>
    <x v="0"/>
    <s v="California"/>
    <s v="San Diego"/>
    <n v="92024"/>
    <x v="29"/>
    <d v="2015-02-20T00:00:00"/>
    <n v="1240.25"/>
    <n v="30"/>
    <x v="1395"/>
    <n v="16547"/>
    <x v="1408"/>
  </r>
  <r>
    <n v="2297"/>
    <s v="Not Specified"/>
    <n v="0.04"/>
    <n v="218.75"/>
    <n v="69.64"/>
    <n v="2498"/>
    <s v="Arlene Long"/>
    <s v="Delivery Truck"/>
    <s v="Corporate"/>
    <x v="1"/>
    <x v="11"/>
    <s v="Jumbo Box"/>
    <s v="BoxOffice By Design Rectangular and Half-Moon Meeting Room Tables"/>
    <n v="0.77"/>
    <s v="United States"/>
    <x v="0"/>
    <s v="California"/>
    <s v="San Diego"/>
    <n v="92024"/>
    <x v="29"/>
    <d v="2015-02-18T00:00:00"/>
    <n v="-533.23199999999997"/>
    <n v="8"/>
    <x v="1396"/>
    <n v="16547"/>
    <x v="1409"/>
  </r>
  <r>
    <n v="7628"/>
    <s v="Medium"/>
    <n v="0.09"/>
    <n v="6.28"/>
    <n v="5.41"/>
    <n v="2498"/>
    <s v="Arlene Long"/>
    <s v="Regular Air"/>
    <s v="Small Business"/>
    <x v="1"/>
    <x v="2"/>
    <s v="Small Box"/>
    <s v="Eldon® 200 Class™ Desk Accessories"/>
    <n v="0.53"/>
    <s v="United States"/>
    <x v="0"/>
    <s v="California"/>
    <s v="San Diego"/>
    <n v="92024"/>
    <x v="23"/>
    <d v="2015-02-04T00:00:00"/>
    <n v="-61.59"/>
    <n v="56"/>
    <x v="1397"/>
    <n v="54567"/>
    <x v="1410"/>
  </r>
  <r>
    <n v="2768"/>
    <s v="Not Specified"/>
    <n v="0.08"/>
    <n v="1.68"/>
    <n v="1.57"/>
    <n v="2498"/>
    <s v="Arlene Long"/>
    <s v="Regular Air"/>
    <s v="Small Business"/>
    <x v="0"/>
    <x v="0"/>
    <s v="Wrap Bag"/>
    <s v="Newell 323"/>
    <n v="0.59"/>
    <s v="United States"/>
    <x v="0"/>
    <s v="California"/>
    <s v="San Diego"/>
    <n v="92024"/>
    <x v="64"/>
    <d v="2015-02-06T00:00:00"/>
    <n v="-46.25"/>
    <n v="88"/>
    <x v="1398"/>
    <n v="20007"/>
    <x v="1411"/>
  </r>
  <r>
    <n v="20296"/>
    <s v="Not Specified"/>
    <n v="0.09"/>
    <n v="355.98"/>
    <n v="58.92"/>
    <n v="2499"/>
    <s v="Geoffrey Koch"/>
    <s v="Delivery Truck"/>
    <s v="Corporate"/>
    <x v="1"/>
    <x v="1"/>
    <s v="Jumbo Drum"/>
    <s v="Hon 4700 Series Mobuis™ Mid-Back Task Chairs with Adjustable Arms"/>
    <n v="0.64"/>
    <s v="United States"/>
    <x v="2"/>
    <s v="Illinois"/>
    <s v="Kankakee"/>
    <n v="60901"/>
    <x v="29"/>
    <d v="2015-02-20T00:00:00"/>
    <n v="1240.25"/>
    <n v="8"/>
    <x v="1399"/>
    <n v="88319"/>
    <x v="1412"/>
  </r>
  <r>
    <n v="25628"/>
    <s v="Medium"/>
    <n v="0.09"/>
    <n v="6.28"/>
    <n v="5.41"/>
    <n v="2500"/>
    <s v="Kevin Smith"/>
    <s v="Regular Air"/>
    <s v="Small Business"/>
    <x v="1"/>
    <x v="2"/>
    <s v="Small Box"/>
    <s v="Eldon® 200 Class™ Desk Accessories"/>
    <n v="0.53"/>
    <s v="United States"/>
    <x v="2"/>
    <s v="Illinois"/>
    <s v="Lake In The Hills"/>
    <n v="60102"/>
    <x v="23"/>
    <d v="2015-02-04T00:00:00"/>
    <n v="-32.026800000000001"/>
    <n v="14"/>
    <x v="1400"/>
    <n v="88320"/>
    <x v="1413"/>
  </r>
  <r>
    <n v="24899"/>
    <s v="High"/>
    <n v="0.1"/>
    <n v="24.92"/>
    <n v="12.98"/>
    <n v="2502"/>
    <s v="Toni Owens Poe"/>
    <s v="Regular Air"/>
    <s v="Home Office"/>
    <x v="0"/>
    <x v="8"/>
    <s v="Small Box"/>
    <s v="GBC Standard Therm-A-Bind Covers"/>
    <n v="0.39"/>
    <s v="United States"/>
    <x v="2"/>
    <s v="Indiana"/>
    <s v="Munster"/>
    <n v="46321"/>
    <x v="91"/>
    <d v="2015-03-19T00:00:00"/>
    <n v="-45.816000000000003"/>
    <n v="3"/>
    <x v="1401"/>
    <n v="91310"/>
    <x v="1414"/>
  </r>
  <r>
    <n v="24901"/>
    <s v="High"/>
    <n v="0"/>
    <n v="12.28"/>
    <n v="6.35"/>
    <n v="2502"/>
    <s v="Toni Owens Poe"/>
    <s v="Express Air"/>
    <s v="Home Office"/>
    <x v="0"/>
    <x v="7"/>
    <s v="Small Box"/>
    <s v="Staples Premium Bright 1-Part Blank Computer Paper"/>
    <n v="0.38"/>
    <s v="United States"/>
    <x v="2"/>
    <s v="Indiana"/>
    <s v="Munster"/>
    <n v="46321"/>
    <x v="91"/>
    <d v="2015-03-20T00:00:00"/>
    <n v="30.63"/>
    <n v="7"/>
    <x v="1402"/>
    <n v="91310"/>
    <x v="1415"/>
  </r>
  <r>
    <n v="18219"/>
    <s v="Medium"/>
    <n v="0.02"/>
    <n v="6.48"/>
    <n v="8.74"/>
    <n v="2506"/>
    <s v="Alfred Harmon"/>
    <s v="Regular Air"/>
    <s v="Home Office"/>
    <x v="0"/>
    <x v="7"/>
    <s v="Small Box"/>
    <s v="Xerox 1984"/>
    <n v="0.36"/>
    <s v="United States"/>
    <x v="1"/>
    <s v="Connecticut"/>
    <s v="Cheshire"/>
    <n v="6408"/>
    <x v="75"/>
    <d v="2015-06-07T00:00:00"/>
    <n v="-6.835"/>
    <n v="1"/>
    <x v="1403"/>
    <n v="87033"/>
    <x v="1416"/>
  </r>
  <r>
    <n v="18217"/>
    <s v="Medium"/>
    <n v="0.06"/>
    <n v="699.99"/>
    <n v="24.49"/>
    <n v="2507"/>
    <s v="Jeanette Davies"/>
    <s v="Express Air"/>
    <s v="Home Office"/>
    <x v="2"/>
    <x v="16"/>
    <s v="Large Box"/>
    <s v="Canon PC1060 Personal Laser Copier"/>
    <n v="0.41"/>
    <s v="United States"/>
    <x v="1"/>
    <s v="Maine"/>
    <s v="Bangor"/>
    <n v="4401"/>
    <x v="75"/>
    <d v="2015-06-07T00:00:00"/>
    <n v="7024.2069000000001"/>
    <n v="15"/>
    <x v="1404"/>
    <n v="87033"/>
    <x v="1417"/>
  </r>
  <r>
    <n v="23265"/>
    <s v="Low"/>
    <n v="0.02"/>
    <n v="5.81"/>
    <n v="8.49"/>
    <n v="2508"/>
    <s v="Pauline Brooks"/>
    <s v="Regular Air"/>
    <s v="Home Office"/>
    <x v="0"/>
    <x v="8"/>
    <s v="Small Box"/>
    <s v="Fellowes Black Plastic Comb Bindings"/>
    <n v="0.39"/>
    <s v="United States"/>
    <x v="1"/>
    <s v="Maine"/>
    <s v="Sanford"/>
    <n v="4073"/>
    <x v="176"/>
    <d v="2015-01-12T00:00:00"/>
    <n v="-137.494"/>
    <n v="7"/>
    <x v="1405"/>
    <n v="87031"/>
    <x v="1418"/>
  </r>
  <r>
    <n v="21918"/>
    <s v="Medium"/>
    <n v="0.05"/>
    <n v="30.98"/>
    <n v="9.18"/>
    <n v="2509"/>
    <s v="Sidney Larson"/>
    <s v="Regular Air"/>
    <s v="Home Office"/>
    <x v="0"/>
    <x v="7"/>
    <s v="Small Box"/>
    <s v="Xerox 1951"/>
    <n v="0.4"/>
    <s v="United States"/>
    <x v="1"/>
    <s v="Maine"/>
    <s v="South Portland"/>
    <n v="4106"/>
    <x v="130"/>
    <d v="2015-05-05T00:00:00"/>
    <n v="308.67"/>
    <n v="15"/>
    <x v="1406"/>
    <n v="87029"/>
    <x v="1419"/>
  </r>
  <r>
    <n v="21102"/>
    <s v="Not Specified"/>
    <n v="0.04"/>
    <n v="6.48"/>
    <n v="9.5399999999999991"/>
    <n v="2512"/>
    <s v="Frances Holt"/>
    <s v="Regular Air"/>
    <s v="Home Office"/>
    <x v="0"/>
    <x v="7"/>
    <s v="Small Box"/>
    <s v="Xerox 1905"/>
    <n v="0.37"/>
    <s v="United States"/>
    <x v="1"/>
    <s v="Massachusetts"/>
    <s v="Cambridge"/>
    <n v="2138"/>
    <x v="15"/>
    <d v="2015-06-17T00:00:00"/>
    <n v="-223.94399999999999"/>
    <n v="19"/>
    <x v="1407"/>
    <n v="87030"/>
    <x v="1420"/>
  </r>
  <r>
    <n v="18220"/>
    <s v="Medium"/>
    <n v="0.02"/>
    <n v="17.149999999999999"/>
    <n v="4.96"/>
    <n v="2516"/>
    <s v="Leo E Underwood"/>
    <s v="Regular Air"/>
    <s v="Home Office"/>
    <x v="0"/>
    <x v="10"/>
    <s v="Small Box"/>
    <s v="Advantus Rolling Storage Box"/>
    <n v="0.57999999999999996"/>
    <s v="United States"/>
    <x v="1"/>
    <s v="New Jersey"/>
    <s v="Englewood"/>
    <n v="7631"/>
    <x v="75"/>
    <d v="2015-06-07T00:00:00"/>
    <n v="36.494999999999997"/>
    <n v="11"/>
    <x v="1408"/>
    <n v="87033"/>
    <x v="1421"/>
  </r>
  <r>
    <n v="18221"/>
    <s v="Medium"/>
    <n v="7.0000000000000007E-2"/>
    <n v="30.98"/>
    <n v="8.74"/>
    <n v="2520"/>
    <s v="Sandy Mueller"/>
    <s v="Regular Air"/>
    <s v="Home Office"/>
    <x v="0"/>
    <x v="7"/>
    <s v="Small Box"/>
    <s v="Xerox 1979"/>
    <n v="0.4"/>
    <s v="United States"/>
    <x v="1"/>
    <s v="Rhode Island"/>
    <s v="Providence"/>
    <n v="2908"/>
    <x v="75"/>
    <d v="2015-06-06T00:00:00"/>
    <n v="255.76920000000001"/>
    <n v="12"/>
    <x v="1409"/>
    <n v="87033"/>
    <x v="1422"/>
  </r>
  <r>
    <n v="25463"/>
    <s v="Medium"/>
    <n v="0"/>
    <n v="175.99"/>
    <n v="4.99"/>
    <n v="2521"/>
    <s v="Shawn Meyer"/>
    <s v="Regular Air"/>
    <s v="Home Office"/>
    <x v="2"/>
    <x v="5"/>
    <s v="Small Box"/>
    <n v="5165"/>
    <n v="0.59"/>
    <s v="United States"/>
    <x v="2"/>
    <s v="Texas"/>
    <s v="Corsicana"/>
    <n v="75109"/>
    <x v="29"/>
    <d v="2015-02-21T00:00:00"/>
    <n v="1656.6555000000001"/>
    <n v="15"/>
    <x v="1410"/>
    <n v="87032"/>
    <x v="1423"/>
  </r>
  <r>
    <n v="18218"/>
    <s v="Medium"/>
    <n v="0.04"/>
    <n v="1360.14"/>
    <n v="14.7"/>
    <n v="2522"/>
    <s v="Harriet Wooten"/>
    <s v="Delivery Truck"/>
    <s v="Home Office"/>
    <x v="2"/>
    <x v="6"/>
    <s v="Jumbo Drum"/>
    <s v="Okidata ML395C Color Dot Matrix Printer"/>
    <n v="0.59"/>
    <s v="United States"/>
    <x v="1"/>
    <s v="Vermont"/>
    <s v="Burlington"/>
    <n v="5401"/>
    <x v="75"/>
    <d v="2015-06-08T00:00:00"/>
    <n v="2639.01"/>
    <n v="6"/>
    <x v="1411"/>
    <n v="87033"/>
    <x v="1424"/>
  </r>
  <r>
    <n v="18866"/>
    <s v="Critical"/>
    <n v="0.01"/>
    <n v="2.16"/>
    <n v="6.05"/>
    <n v="2526"/>
    <s v="Derek Sweeney"/>
    <s v="Regular Air"/>
    <s v="Corporate"/>
    <x v="0"/>
    <x v="8"/>
    <s v="Small Box"/>
    <s v="Peel &amp; Stick Add-On Corner Pockets"/>
    <n v="0.37"/>
    <s v="United States"/>
    <x v="3"/>
    <s v="Louisiana"/>
    <s v="Lafayette"/>
    <n v="70506"/>
    <x v="94"/>
    <d v="2015-05-25T00:00:00"/>
    <n v="395.76"/>
    <n v="24"/>
    <x v="1412"/>
    <n v="87208"/>
    <x v="1425"/>
  </r>
  <r>
    <n v="18867"/>
    <s v="Critical"/>
    <n v="7.0000000000000007E-2"/>
    <n v="21.38"/>
    <n v="8.99"/>
    <n v="2527"/>
    <s v="Gretchen Orr"/>
    <s v="Regular Air"/>
    <s v="Corporate"/>
    <x v="0"/>
    <x v="0"/>
    <s v="Small Pack"/>
    <s v="Boston 1730 StandUp Electric Pencil Sharpener"/>
    <n v="0.59"/>
    <s v="United States"/>
    <x v="3"/>
    <s v="Louisiana"/>
    <s v="Lake Charles"/>
    <n v="70601"/>
    <x v="94"/>
    <d v="2015-05-25T00:00:00"/>
    <n v="-39.396000000000001"/>
    <n v="3"/>
    <x v="1413"/>
    <n v="87208"/>
    <x v="1426"/>
  </r>
  <r>
    <n v="20254"/>
    <s v="High"/>
    <n v="0.04"/>
    <n v="40.98"/>
    <n v="6.5"/>
    <n v="2530"/>
    <s v="Janet Zhang"/>
    <s v="Regular Air"/>
    <s v="Small Business"/>
    <x v="2"/>
    <x v="13"/>
    <s v="Small Box"/>
    <s v="Targus USB Numeric Keypad"/>
    <n v="0.74"/>
    <s v="United States"/>
    <x v="0"/>
    <s v="California"/>
    <s v="Apple Valley"/>
    <n v="92307"/>
    <x v="48"/>
    <d v="2015-03-30T00:00:00"/>
    <n v="-89.5"/>
    <n v="7"/>
    <x v="1414"/>
    <n v="87451"/>
    <x v="1427"/>
  </r>
  <r>
    <n v="23782"/>
    <s v="Medium"/>
    <n v="0.08"/>
    <n v="4"/>
    <n v="1.3"/>
    <n v="2531"/>
    <s v="Rick Houston"/>
    <s v="Regular Air"/>
    <s v="Small Business"/>
    <x v="0"/>
    <x v="7"/>
    <s v="Wrap Bag"/>
    <s v="EcoTones® Memo Sheets"/>
    <n v="0.37"/>
    <s v="United States"/>
    <x v="0"/>
    <s v="California"/>
    <s v="Atascadero"/>
    <n v="93422"/>
    <x v="10"/>
    <d v="2015-05-04T00:00:00"/>
    <n v="28.4"/>
    <n v="14"/>
    <x v="1415"/>
    <n v="87452"/>
    <x v="1428"/>
  </r>
  <r>
    <n v="20255"/>
    <s v="High"/>
    <n v="0.05"/>
    <n v="35.99"/>
    <n v="3.3"/>
    <n v="2534"/>
    <s v="Mitchell Goldberg"/>
    <s v="Regular Air"/>
    <s v="Small Business"/>
    <x v="2"/>
    <x v="5"/>
    <s v="Small Pack"/>
    <s v="Accessory9"/>
    <n v="0.39"/>
    <s v="United States"/>
    <x v="1"/>
    <s v="Maine"/>
    <s v="Bangor"/>
    <n v="4401"/>
    <x v="48"/>
    <d v="2015-03-31T00:00:00"/>
    <n v="103.2723"/>
    <n v="5"/>
    <x v="1416"/>
    <n v="87451"/>
    <x v="1429"/>
  </r>
  <r>
    <n v="22839"/>
    <s v="Not Specified"/>
    <n v="0.08"/>
    <n v="12.53"/>
    <n v="0.5"/>
    <n v="2539"/>
    <s v="Max Hubbard"/>
    <s v="Regular Air"/>
    <s v="Home Office"/>
    <x v="0"/>
    <x v="9"/>
    <s v="Small Box"/>
    <s v="Avery 485"/>
    <n v="0.38"/>
    <s v="United States"/>
    <x v="3"/>
    <s v="Florida"/>
    <s v="Winter Park"/>
    <n v="32789"/>
    <x v="74"/>
    <d v="2015-04-08T00:00:00"/>
    <n v="215.71799999999999"/>
    <n v="5"/>
    <x v="1417"/>
    <n v="91017"/>
    <x v="1430"/>
  </r>
  <r>
    <n v="22840"/>
    <s v="Not Specified"/>
    <n v="0.02"/>
    <n v="178.47"/>
    <n v="19.989999999999998"/>
    <n v="2540"/>
    <s v="Helen Ferguson"/>
    <s v="Regular Air"/>
    <s v="Home Office"/>
    <x v="0"/>
    <x v="10"/>
    <s v="Small Box"/>
    <s v="Hot File® 7-Pocket, Floor Stand"/>
    <n v="0.55000000000000004"/>
    <s v="United States"/>
    <x v="3"/>
    <s v="Florida"/>
    <s v="Winter Springs"/>
    <n v="32708"/>
    <x v="74"/>
    <d v="2015-04-08T00:00:00"/>
    <n v="106.98480000000001"/>
    <n v="1"/>
    <x v="1418"/>
    <n v="91017"/>
    <x v="1431"/>
  </r>
  <r>
    <n v="19031"/>
    <s v="Medium"/>
    <n v="0.05"/>
    <n v="15.68"/>
    <n v="3.73"/>
    <n v="2543"/>
    <s v="Josephine Dalton"/>
    <s v="Regular Air"/>
    <s v="Small Business"/>
    <x v="1"/>
    <x v="2"/>
    <s v="Small Pack"/>
    <s v="Artistic Insta-Plaque"/>
    <n v="0.46"/>
    <s v="United States"/>
    <x v="3"/>
    <s v="Virginia"/>
    <s v="Richmond"/>
    <n v="23223"/>
    <x v="164"/>
    <d v="2015-06-12T00:00:00"/>
    <n v="3.54"/>
    <n v="17"/>
    <x v="1419"/>
    <n v="87917"/>
    <x v="1432"/>
  </r>
  <r>
    <n v="19032"/>
    <s v="Medium"/>
    <n v="0.02"/>
    <n v="195.99"/>
    <n v="4.2"/>
    <n v="2543"/>
    <s v="Josephine Dalton"/>
    <s v="Regular Air"/>
    <s v="Small Business"/>
    <x v="2"/>
    <x v="5"/>
    <s v="Small Box"/>
    <s v="T65"/>
    <n v="0.56000000000000005"/>
    <s v="United States"/>
    <x v="3"/>
    <s v="Virginia"/>
    <s v="Richmond"/>
    <n v="23223"/>
    <x v="164"/>
    <d v="2015-06-12T00:00:00"/>
    <n v="40.283999999999999"/>
    <n v="19"/>
    <x v="1420"/>
    <n v="87917"/>
    <x v="1433"/>
  </r>
  <r>
    <n v="19902"/>
    <s v="Medium"/>
    <n v="0.01"/>
    <n v="99.99"/>
    <n v="19.989999999999998"/>
    <n v="2545"/>
    <s v="Rick Ellis"/>
    <s v="Express Air"/>
    <s v="Home Office"/>
    <x v="2"/>
    <x v="6"/>
    <s v="Small Box"/>
    <s v="AT&amp;T 2230 Dual Handset Phone With Caller ID/Call Waiting"/>
    <n v="0.52"/>
    <s v="United States"/>
    <x v="3"/>
    <s v="Virginia"/>
    <s v="Springfield"/>
    <n v="22153"/>
    <x v="17"/>
    <d v="2015-03-12T00:00:00"/>
    <n v="90.024000000000001"/>
    <n v="2"/>
    <x v="1421"/>
    <n v="87915"/>
    <x v="1434"/>
  </r>
  <r>
    <n v="25460"/>
    <s v="Low"/>
    <n v="7.0000000000000007E-2"/>
    <n v="6.48"/>
    <n v="9.5399999999999991"/>
    <n v="2547"/>
    <s v="Edna Freeman"/>
    <s v="Regular Air"/>
    <s v="Small Business"/>
    <x v="0"/>
    <x v="7"/>
    <s v="Small Box"/>
    <s v="Xerox 1905"/>
    <n v="0.37"/>
    <s v="United States"/>
    <x v="3"/>
    <s v="Virginia"/>
    <s v="Virginia Beach"/>
    <n v="23464"/>
    <x v="47"/>
    <d v="2015-04-19T00:00:00"/>
    <n v="2.2320000000000002"/>
    <n v="1"/>
    <x v="1422"/>
    <n v="87916"/>
    <x v="1435"/>
  </r>
  <r>
    <n v="6525"/>
    <s v="Low"/>
    <n v="0"/>
    <n v="35.99"/>
    <n v="0.99"/>
    <n v="2548"/>
    <s v="Wayne Bass"/>
    <s v="Regular Air"/>
    <s v="Small Business"/>
    <x v="2"/>
    <x v="5"/>
    <s v="Small Pack"/>
    <s v="Accessory31"/>
    <n v="0.35"/>
    <s v="United States"/>
    <x v="0"/>
    <s v="California"/>
    <s v="Los Angeles"/>
    <n v="90068"/>
    <x v="36"/>
    <d v="2015-04-11T00:00:00"/>
    <n v="840.05100000000004"/>
    <n v="46"/>
    <x v="1423"/>
    <n v="46436"/>
    <x v="1436"/>
  </r>
  <r>
    <n v="5777"/>
    <s v="Low"/>
    <n v="0.05"/>
    <n v="30.98"/>
    <n v="9.18"/>
    <n v="2548"/>
    <s v="Wayne Bass"/>
    <s v="Express Air"/>
    <s v="Small Business"/>
    <x v="0"/>
    <x v="7"/>
    <s v="Small Box"/>
    <s v="Xerox 1951"/>
    <n v="0.4"/>
    <s v="United States"/>
    <x v="0"/>
    <s v="California"/>
    <s v="Los Angeles"/>
    <n v="90068"/>
    <x v="109"/>
    <d v="2015-04-21T00:00:00"/>
    <n v="61.47"/>
    <n v="12"/>
    <x v="1424"/>
    <n v="40997"/>
    <x v="1437"/>
  </r>
  <r>
    <n v="5778"/>
    <s v="Low"/>
    <n v="0.05"/>
    <n v="22.99"/>
    <n v="8.99"/>
    <n v="2548"/>
    <s v="Wayne Bass"/>
    <s v="Regular Air"/>
    <s v="Small Business"/>
    <x v="0"/>
    <x v="0"/>
    <s v="Small Pack"/>
    <s v="Boston KS Multi-Size Manual Pencil Sharpener"/>
    <n v="0.56999999999999995"/>
    <s v="United States"/>
    <x v="0"/>
    <s v="California"/>
    <s v="Los Angeles"/>
    <n v="90068"/>
    <x v="109"/>
    <d v="2015-04-28T00:00:00"/>
    <n v="18.27"/>
    <n v="37"/>
    <x v="1425"/>
    <n v="40997"/>
    <x v="1438"/>
  </r>
  <r>
    <n v="5780"/>
    <s v="Low"/>
    <n v="0.04"/>
    <n v="212.6"/>
    <n v="110.2"/>
    <n v="2548"/>
    <s v="Wayne Bass"/>
    <s v="Delivery Truck"/>
    <s v="Small Business"/>
    <x v="1"/>
    <x v="11"/>
    <s v="Jumbo Box"/>
    <s v="Bush Advantage Collection® Round Conference Table"/>
    <n v="0.73"/>
    <s v="United States"/>
    <x v="0"/>
    <s v="California"/>
    <s v="Los Angeles"/>
    <n v="90068"/>
    <x v="109"/>
    <d v="2015-04-25T00:00:00"/>
    <n v="-513.79042000000004"/>
    <n v="33"/>
    <x v="1426"/>
    <n v="40997"/>
    <x v="1439"/>
  </r>
  <r>
    <n v="4204"/>
    <s v="Not Specified"/>
    <n v="0.09"/>
    <n v="5.98"/>
    <n v="1.67"/>
    <n v="2548"/>
    <s v="Wayne Bass"/>
    <s v="Regular Air"/>
    <s v="Small Business"/>
    <x v="0"/>
    <x v="0"/>
    <s v="Wrap Bag"/>
    <s v="Dixon Ticonderoga® Erasable Colored Pencil Set, 12-Color"/>
    <n v="0.51"/>
    <s v="United States"/>
    <x v="0"/>
    <s v="California"/>
    <s v="Los Angeles"/>
    <n v="90068"/>
    <x v="141"/>
    <d v="2015-06-07T00:00:00"/>
    <n v="23.87"/>
    <n v="81"/>
    <x v="1427"/>
    <n v="29889"/>
    <x v="1440"/>
  </r>
  <r>
    <n v="23777"/>
    <s v="Low"/>
    <n v="0.05"/>
    <n v="30.98"/>
    <n v="9.18"/>
    <n v="2549"/>
    <s v="Martha Bowers"/>
    <s v="Express Air"/>
    <s v="Small Business"/>
    <x v="0"/>
    <x v="7"/>
    <s v="Small Box"/>
    <s v="Xerox 1951"/>
    <n v="0.4"/>
    <s v="United States"/>
    <x v="1"/>
    <s v="Ohio"/>
    <s v="Whitehall"/>
    <n v="43213"/>
    <x v="109"/>
    <d v="2015-04-21T00:00:00"/>
    <n v="61.47"/>
    <n v="3"/>
    <x v="1428"/>
    <n v="88657"/>
    <x v="1441"/>
  </r>
  <r>
    <n v="23778"/>
    <s v="Low"/>
    <n v="0.05"/>
    <n v="22.99"/>
    <n v="8.99"/>
    <n v="2549"/>
    <s v="Martha Bowers"/>
    <s v="Regular Air"/>
    <s v="Small Business"/>
    <x v="0"/>
    <x v="0"/>
    <s v="Small Pack"/>
    <s v="Boston KS Multi-Size Manual Pencil Sharpener"/>
    <n v="0.56999999999999995"/>
    <s v="United States"/>
    <x v="1"/>
    <s v="Ohio"/>
    <s v="Whitehall"/>
    <n v="43213"/>
    <x v="109"/>
    <d v="2015-04-28T00:00:00"/>
    <n v="18.27"/>
    <n v="9"/>
    <x v="1429"/>
    <n v="88657"/>
    <x v="1442"/>
  </r>
  <r>
    <n v="23780"/>
    <s v="Low"/>
    <n v="0.04"/>
    <n v="212.6"/>
    <n v="110.2"/>
    <n v="2549"/>
    <s v="Martha Bowers"/>
    <s v="Delivery Truck"/>
    <s v="Small Business"/>
    <x v="1"/>
    <x v="11"/>
    <s v="Jumbo Box"/>
    <s v="Bush Advantage Collection® Round Conference Table"/>
    <n v="0.73"/>
    <s v="United States"/>
    <x v="1"/>
    <s v="Ohio"/>
    <s v="Whitehall"/>
    <n v="43213"/>
    <x v="109"/>
    <d v="2015-04-25T00:00:00"/>
    <n v="-513.79042000000004"/>
    <n v="8"/>
    <x v="1430"/>
    <n v="88657"/>
    <x v="1443"/>
  </r>
  <r>
    <n v="22204"/>
    <s v="Not Specified"/>
    <n v="0.09"/>
    <n v="5.98"/>
    <n v="1.67"/>
    <n v="2549"/>
    <s v="Martha Bowers"/>
    <s v="Regular Air"/>
    <s v="Small Business"/>
    <x v="0"/>
    <x v="0"/>
    <s v="Wrap Bag"/>
    <s v="Dixon Ticonderoga® Erasable Colored Pencil Set, 12-Color"/>
    <n v="0.51"/>
    <s v="United States"/>
    <x v="1"/>
    <s v="Ohio"/>
    <s v="Whitehall"/>
    <n v="43213"/>
    <x v="141"/>
    <d v="2015-06-07T00:00:00"/>
    <n v="35.805"/>
    <n v="20"/>
    <x v="1431"/>
    <n v="88658"/>
    <x v="1444"/>
  </r>
  <r>
    <n v="24525"/>
    <s v="Low"/>
    <n v="0"/>
    <n v="35.99"/>
    <n v="0.99"/>
    <n v="2551"/>
    <s v="Joan Bowers"/>
    <s v="Regular Air"/>
    <s v="Small Business"/>
    <x v="2"/>
    <x v="5"/>
    <s v="Small Pack"/>
    <s v="Accessory31"/>
    <n v="0.35"/>
    <s v="United States"/>
    <x v="1"/>
    <s v="Pennsylvania"/>
    <s v="York"/>
    <n v="17403"/>
    <x v="36"/>
    <d v="2015-04-11T00:00:00"/>
    <n v="265.96050000000002"/>
    <n v="12"/>
    <x v="1432"/>
    <n v="88656"/>
    <x v="1445"/>
  </r>
  <r>
    <n v="18130"/>
    <s v="Medium"/>
    <n v="0.03"/>
    <n v="12.53"/>
    <n v="7.17"/>
    <n v="2553"/>
    <s v="Virginia McNeill"/>
    <s v="Regular Air"/>
    <s v="Home Office"/>
    <x v="0"/>
    <x v="8"/>
    <s v="Small Box"/>
    <s v="GBC ProClick Spines for 32-Hole Punch"/>
    <n v="0.38"/>
    <s v="United States"/>
    <x v="2"/>
    <s v="Wisconsin"/>
    <s v="Kenosha"/>
    <n v="53142"/>
    <x v="6"/>
    <d v="2015-02-13T00:00:00"/>
    <n v="-20.320499999999999"/>
    <n v="1"/>
    <x v="1191"/>
    <n v="86528"/>
    <x v="1446"/>
  </r>
  <r>
    <n v="23666"/>
    <s v="Low"/>
    <n v="0.1"/>
    <n v="2.6"/>
    <n v="2.4"/>
    <n v="2555"/>
    <s v="Karl Knowles"/>
    <s v="Regular Air"/>
    <s v="Home Office"/>
    <x v="0"/>
    <x v="0"/>
    <s v="Wrap Bag"/>
    <s v="12 Colored Short Pencils"/>
    <n v="0.57999999999999996"/>
    <s v="United States"/>
    <x v="2"/>
    <s v="Wisconsin"/>
    <s v="Madison"/>
    <n v="53711"/>
    <x v="85"/>
    <d v="2015-01-14T00:00:00"/>
    <n v="-88.04"/>
    <n v="12"/>
    <x v="1433"/>
    <n v="86527"/>
    <x v="1447"/>
  </r>
  <r>
    <n v="23583"/>
    <s v="Critical"/>
    <n v="0"/>
    <n v="12.97"/>
    <n v="1.49"/>
    <n v="2555"/>
    <s v="Karl Knowles"/>
    <s v="Regular Air"/>
    <s v="Home Office"/>
    <x v="0"/>
    <x v="8"/>
    <s v="Small Box"/>
    <s v="Mead 1st Gear 2&quot; Zipper Binder, Asst. Colors"/>
    <n v="0.35"/>
    <s v="United States"/>
    <x v="2"/>
    <s v="Wisconsin"/>
    <s v="Madison"/>
    <n v="53711"/>
    <x v="23"/>
    <d v="2015-02-03T00:00:00"/>
    <n v="180.23490000000001"/>
    <n v="19"/>
    <x v="1434"/>
    <n v="86529"/>
    <x v="1448"/>
  </r>
  <r>
    <n v="23584"/>
    <s v="Critical"/>
    <n v="0.06"/>
    <n v="4.91"/>
    <n v="0.5"/>
    <n v="2555"/>
    <s v="Karl Knowles"/>
    <s v="Regular Air"/>
    <s v="Home Office"/>
    <x v="0"/>
    <x v="9"/>
    <s v="Small Box"/>
    <s v="Avery 508"/>
    <n v="0.36"/>
    <s v="United States"/>
    <x v="2"/>
    <s v="Wisconsin"/>
    <s v="Madison"/>
    <n v="53711"/>
    <x v="23"/>
    <d v="2015-02-02T00:00:00"/>
    <n v="29.525099999999998"/>
    <n v="9"/>
    <x v="1435"/>
    <n v="86529"/>
    <x v="1449"/>
  </r>
  <r>
    <n v="19840"/>
    <s v="Not Specified"/>
    <n v="0.03"/>
    <n v="160.97999999999999"/>
    <n v="30"/>
    <n v="2561"/>
    <s v="Laurie Moon"/>
    <s v="Delivery Truck"/>
    <s v="Consumer"/>
    <x v="1"/>
    <x v="1"/>
    <s v="Jumbo Drum"/>
    <s v="Office Star - Mid Back Dual function Ergonomic High Back Chair with 2-Way Adjustable Arms"/>
    <n v="0.62"/>
    <s v="United States"/>
    <x v="1"/>
    <s v="New York"/>
    <s v="Ossining"/>
    <n v="10562"/>
    <x v="27"/>
    <d v="2015-03-25T00:00:00"/>
    <n v="1261.4718"/>
    <n v="11"/>
    <x v="1436"/>
    <n v="86465"/>
    <x v="1450"/>
  </r>
  <r>
    <n v="23161"/>
    <s v="Not Specified"/>
    <n v="7.0000000000000007E-2"/>
    <n v="3.98"/>
    <n v="5.26"/>
    <n v="2561"/>
    <s v="Laurie Moon"/>
    <s v="Regular Air"/>
    <s v="Consumer"/>
    <x v="0"/>
    <x v="8"/>
    <s v="Small Box"/>
    <s v="Ibico Presentation Index for Binding Systems"/>
    <n v="0.38"/>
    <s v="United States"/>
    <x v="1"/>
    <s v="New York"/>
    <s v="Ossining"/>
    <n v="10562"/>
    <x v="4"/>
    <d v="2015-04-10T00:00:00"/>
    <n v="-59.963760000000001"/>
    <n v="7"/>
    <x v="1437"/>
    <n v="86466"/>
    <x v="1451"/>
  </r>
  <r>
    <n v="23162"/>
    <s v="Not Specified"/>
    <n v="7.0000000000000007E-2"/>
    <n v="12.22"/>
    <n v="2.85"/>
    <n v="2561"/>
    <s v="Laurie Moon"/>
    <s v="Regular Air"/>
    <s v="Consumer"/>
    <x v="1"/>
    <x v="2"/>
    <s v="Small Pack"/>
    <s v="Aluminum Document Frame"/>
    <n v="0.55000000000000004"/>
    <s v="United States"/>
    <x v="1"/>
    <s v="New York"/>
    <s v="Ossining"/>
    <n v="10562"/>
    <x v="4"/>
    <d v="2015-04-08T00:00:00"/>
    <n v="89.4148"/>
    <n v="12"/>
    <x v="1438"/>
    <n v="86466"/>
    <x v="1452"/>
  </r>
  <r>
    <n v="22374"/>
    <s v="Not Specified"/>
    <n v="0.08"/>
    <n v="4.55"/>
    <n v="1.49"/>
    <n v="2563"/>
    <s v="Karen Warren"/>
    <s v="Regular Air"/>
    <s v="Home Office"/>
    <x v="0"/>
    <x v="8"/>
    <s v="Small Box"/>
    <s v="Presstex Flexible Ring Binders"/>
    <n v="0.35"/>
    <s v="United States"/>
    <x v="2"/>
    <s v="Minnesota"/>
    <s v="Fridley"/>
    <n v="55432"/>
    <x v="4"/>
    <d v="2015-04-09T00:00:00"/>
    <n v="27.0273"/>
    <n v="9"/>
    <x v="1439"/>
    <n v="91447"/>
    <x v="1453"/>
  </r>
  <r>
    <n v="25095"/>
    <s v="Critical"/>
    <n v="0"/>
    <n v="4.37"/>
    <n v="5.15"/>
    <n v="2570"/>
    <s v="Yvonne Stephens"/>
    <s v="Regular Air"/>
    <s v="Consumer"/>
    <x v="0"/>
    <x v="15"/>
    <s v="Small Box"/>
    <s v="Eureka Sanitaire ® Multi-Pro Heavy-Duty Upright, Disposable Bags"/>
    <n v="0.59"/>
    <s v="United States"/>
    <x v="0"/>
    <s v="California"/>
    <s v="Davis"/>
    <n v="95616"/>
    <x v="177"/>
    <d v="2015-04-27T00:00:00"/>
    <n v="-150.2604"/>
    <n v="19"/>
    <x v="1440"/>
    <n v="90327"/>
    <x v="1454"/>
  </r>
  <r>
    <n v="25096"/>
    <s v="Critical"/>
    <n v="0.01"/>
    <n v="500.98"/>
    <n v="56"/>
    <n v="2570"/>
    <s v="Yvonne Stephens"/>
    <s v="Delivery Truck"/>
    <s v="Consumer"/>
    <x v="1"/>
    <x v="1"/>
    <s v="Jumbo Drum"/>
    <s v="Global Troy™ Executive Leather Low-Back Tilter"/>
    <n v="0.6"/>
    <s v="United States"/>
    <x v="0"/>
    <s v="California"/>
    <s v="Davis"/>
    <n v="95616"/>
    <x v="177"/>
    <d v="2015-04-26T00:00:00"/>
    <n v="4899.1288000000004"/>
    <n v="14"/>
    <x v="1441"/>
    <n v="90327"/>
    <x v="1455"/>
  </r>
  <r>
    <n v="25097"/>
    <s v="Critical"/>
    <n v="0.02"/>
    <n v="12.58"/>
    <n v="5.16"/>
    <n v="2570"/>
    <s v="Yvonne Stephens"/>
    <s v="Regular Air"/>
    <s v="Consumer"/>
    <x v="1"/>
    <x v="2"/>
    <s v="Small Box"/>
    <s v="DAX Copper Panel Document Frame, 5 x 7 Size"/>
    <n v="0.43"/>
    <s v="United States"/>
    <x v="0"/>
    <s v="California"/>
    <s v="Davis"/>
    <n v="95616"/>
    <x v="177"/>
    <d v="2015-04-25T00:00:00"/>
    <n v="44.712000000000003"/>
    <n v="18"/>
    <x v="1442"/>
    <n v="90327"/>
    <x v="1456"/>
  </r>
  <r>
    <n v="25098"/>
    <s v="Critical"/>
    <n v="0.1"/>
    <n v="7.7"/>
    <n v="3.68"/>
    <n v="2570"/>
    <s v="Yvonne Stephens"/>
    <s v="Regular Air"/>
    <s v="Consumer"/>
    <x v="1"/>
    <x v="2"/>
    <s v="Wrap Bag"/>
    <s v="Deflect-O® Glasstique™ Clear Desk Accessories"/>
    <n v="0.52"/>
    <s v="United States"/>
    <x v="0"/>
    <s v="California"/>
    <s v="Davis"/>
    <n v="95616"/>
    <x v="177"/>
    <d v="2015-04-26T00:00:00"/>
    <n v="-22.626000000000001"/>
    <n v="7"/>
    <x v="1443"/>
    <n v="90327"/>
    <x v="1457"/>
  </r>
  <r>
    <n v="7096"/>
    <s v="Critical"/>
    <n v="0.01"/>
    <n v="500.98"/>
    <n v="56"/>
    <n v="2571"/>
    <s v="Rosemary O'Brien"/>
    <s v="Delivery Truck"/>
    <s v="Consumer"/>
    <x v="1"/>
    <x v="1"/>
    <s v="Jumbo Drum"/>
    <s v="Global Troy™ Executive Leather Low-Back Tilter"/>
    <n v="0.6"/>
    <s v="United States"/>
    <x v="1"/>
    <s v="New York"/>
    <s v="New York City"/>
    <n v="10165"/>
    <x v="177"/>
    <d v="2015-04-26T00:00:00"/>
    <n v="4260.1120000000001"/>
    <n v="56"/>
    <x v="1444"/>
    <n v="50656"/>
    <x v="1458"/>
  </r>
  <r>
    <n v="7098"/>
    <s v="Critical"/>
    <n v="0.1"/>
    <n v="7.7"/>
    <n v="3.68"/>
    <n v="2571"/>
    <s v="Rosemary O'Brien"/>
    <s v="Regular Air"/>
    <s v="Consumer"/>
    <x v="1"/>
    <x v="2"/>
    <s v="Wrap Bag"/>
    <s v="Deflect-O® Glasstique™ Clear Desk Accessories"/>
    <n v="0.52"/>
    <s v="United States"/>
    <x v="1"/>
    <s v="New York"/>
    <s v="New York City"/>
    <n v="10165"/>
    <x v="177"/>
    <d v="2015-04-26T00:00:00"/>
    <n v="-25.14"/>
    <n v="27"/>
    <x v="1445"/>
    <n v="50656"/>
    <x v="1459"/>
  </r>
  <r>
    <n v="20938"/>
    <s v="Low"/>
    <n v="0.04"/>
    <n v="8.6"/>
    <n v="6.19"/>
    <n v="2578"/>
    <s v="Kent Gill"/>
    <s v="Regular Air"/>
    <s v="Home Office"/>
    <x v="0"/>
    <x v="8"/>
    <s v="Small Box"/>
    <s v="Avery Printable Repositionable Plastic Tabs"/>
    <n v="0.38"/>
    <s v="United States"/>
    <x v="3"/>
    <s v="Alabama"/>
    <s v="Opelika"/>
    <n v="36801"/>
    <x v="10"/>
    <d v="2015-05-04T00:00:00"/>
    <n v="309.71159999999998"/>
    <n v="5"/>
    <x v="1446"/>
    <n v="88298"/>
    <x v="1460"/>
  </r>
  <r>
    <n v="20939"/>
    <s v="Low"/>
    <n v="0.01"/>
    <n v="3.58"/>
    <n v="1.63"/>
    <n v="2578"/>
    <s v="Kent Gill"/>
    <s v="Regular Air"/>
    <s v="Home Office"/>
    <x v="0"/>
    <x v="3"/>
    <s v="Wrap Bag"/>
    <s v="OIC Colored Binder Clips, Assorted Sizes"/>
    <n v="0.36"/>
    <s v="United States"/>
    <x v="3"/>
    <s v="Alabama"/>
    <s v="Opelika"/>
    <n v="36801"/>
    <x v="10"/>
    <d v="2015-05-06T00:00:00"/>
    <n v="-128.85599999999999"/>
    <n v="26"/>
    <x v="1447"/>
    <n v="88298"/>
    <x v="1461"/>
  </r>
  <r>
    <n v="20940"/>
    <s v="Low"/>
    <n v="0.08"/>
    <n v="105.49"/>
    <n v="41.64"/>
    <n v="2578"/>
    <s v="Kent Gill"/>
    <s v="Delivery Truck"/>
    <s v="Home Office"/>
    <x v="1"/>
    <x v="11"/>
    <s v="Jumbo Box"/>
    <s v="Balt Solid Wood Rectangular Table"/>
    <n v="0.75"/>
    <s v="United States"/>
    <x v="3"/>
    <s v="Alabama"/>
    <s v="Opelika"/>
    <n v="36801"/>
    <x v="10"/>
    <d v="2015-05-09T00:00:00"/>
    <n v="-36.945999999999998"/>
    <n v="34"/>
    <x v="1448"/>
    <n v="88298"/>
    <x v="1462"/>
  </r>
  <r>
    <n v="23705"/>
    <s v="High"/>
    <n v="0.09"/>
    <n v="212.6"/>
    <n v="52.2"/>
    <n v="2579"/>
    <s v="Marshall Sutherland"/>
    <s v="Delivery Truck"/>
    <s v="Home Office"/>
    <x v="1"/>
    <x v="11"/>
    <s v="Jumbo Box"/>
    <s v="Bush Advantage Collection® Round Conference Table"/>
    <n v="0.64"/>
    <s v="United States"/>
    <x v="3"/>
    <s v="Alabama"/>
    <s v="Phenix City"/>
    <n v="36869"/>
    <x v="35"/>
    <d v="2015-01-04T00:00:00"/>
    <n v="-274.49799999999999"/>
    <n v="1"/>
    <x v="1449"/>
    <n v="88296"/>
    <x v="1463"/>
  </r>
  <r>
    <n v="22508"/>
    <s v="Medium"/>
    <n v="7.0000000000000007E-2"/>
    <n v="1.76"/>
    <n v="4.8600000000000003"/>
    <n v="2579"/>
    <s v="Marshall Sutherland"/>
    <s v="Regular Air"/>
    <s v="Home Office"/>
    <x v="1"/>
    <x v="2"/>
    <s v="Small Box"/>
    <s v="Regeneration Desk Collection"/>
    <n v="0.41"/>
    <s v="United States"/>
    <x v="3"/>
    <s v="Alabama"/>
    <s v="Phenix City"/>
    <n v="36869"/>
    <x v="60"/>
    <d v="2015-01-17T00:00:00"/>
    <n v="0.58799999999999997"/>
    <n v="15"/>
    <x v="1450"/>
    <n v="88297"/>
    <x v="1464"/>
  </r>
  <r>
    <n v="19123"/>
    <s v="Medium"/>
    <n v="0.04"/>
    <n v="510.14"/>
    <n v="14.7"/>
    <n v="2583"/>
    <s v="Wendy Pridgen Pearce"/>
    <s v="Delivery Truck"/>
    <s v="Home Office"/>
    <x v="2"/>
    <x v="6"/>
    <s v="Jumbo Drum"/>
    <s v="Okidata ML520 Series Dot Matrix Printers"/>
    <n v="0.56000000000000005"/>
    <s v="United States"/>
    <x v="2"/>
    <s v="Michigan"/>
    <s v="Holland"/>
    <n v="49423"/>
    <x v="31"/>
    <d v="2015-06-09T00:00:00"/>
    <n v="-251.40389999999999"/>
    <n v="3"/>
    <x v="1451"/>
    <n v="89657"/>
    <x v="1465"/>
  </r>
  <r>
    <n v="19124"/>
    <s v="Medium"/>
    <n v="0"/>
    <n v="4.76"/>
    <n v="3.01"/>
    <n v="2583"/>
    <s v="Wendy Pridgen Pearce"/>
    <s v="Regular Air"/>
    <s v="Home Office"/>
    <x v="0"/>
    <x v="7"/>
    <s v="Wrap Bag"/>
    <s v="TOPS Voice Message Log Book, Flash Format"/>
    <n v="0.36"/>
    <s v="United States"/>
    <x v="2"/>
    <s v="Michigan"/>
    <s v="Holland"/>
    <n v="49423"/>
    <x v="31"/>
    <d v="2015-06-09T00:00:00"/>
    <n v="-2.3450000000000002"/>
    <n v="23"/>
    <x v="1452"/>
    <n v="89657"/>
    <x v="1466"/>
  </r>
  <r>
    <n v="19134"/>
    <s v="Critical"/>
    <n v="0.04"/>
    <n v="6.3"/>
    <n v="0.5"/>
    <n v="2584"/>
    <s v="Seth Matthews"/>
    <s v="Regular Air"/>
    <s v="Home Office"/>
    <x v="0"/>
    <x v="9"/>
    <s v="Small Box"/>
    <s v="Avery 48"/>
    <n v="0.39"/>
    <s v="United States"/>
    <x v="2"/>
    <s v="Michigan"/>
    <s v="Inkster"/>
    <n v="48141"/>
    <x v="62"/>
    <d v="2015-06-11T00:00:00"/>
    <n v="67.606200000000001"/>
    <n v="15"/>
    <x v="1453"/>
    <n v="89658"/>
    <x v="1467"/>
  </r>
  <r>
    <n v="20976"/>
    <s v="Medium"/>
    <n v="0.01"/>
    <n v="6.48"/>
    <n v="6.57"/>
    <n v="2587"/>
    <s v="Eugene H Walsh"/>
    <s v="Express Air"/>
    <s v="Home Office"/>
    <x v="0"/>
    <x v="7"/>
    <s v="Small Box"/>
    <s v="Xerox 20"/>
    <n v="0.37"/>
    <s v="United States"/>
    <x v="2"/>
    <s v="Wisconsin"/>
    <s v="Manitowoc"/>
    <n v="54220"/>
    <x v="136"/>
    <d v="2015-02-28T00:00:00"/>
    <n v="-46.5244"/>
    <n v="18"/>
    <x v="1454"/>
    <n v="91166"/>
    <x v="1468"/>
  </r>
  <r>
    <n v="20810"/>
    <s v="Not Specified"/>
    <n v="0.02"/>
    <n v="22.72"/>
    <n v="8.99"/>
    <n v="2587"/>
    <s v="Eugene H Walsh"/>
    <s v="Regular Air"/>
    <s v="Home Office"/>
    <x v="1"/>
    <x v="2"/>
    <s v="Small Pack"/>
    <s v="Executive Impressions 14&quot; Two-Color Numerals Wall Clock"/>
    <n v="0.44"/>
    <s v="United States"/>
    <x v="2"/>
    <s v="Wisconsin"/>
    <s v="Manitowoc"/>
    <n v="54220"/>
    <x v="175"/>
    <d v="2015-06-26T00:00:00"/>
    <n v="200.0172"/>
    <n v="12"/>
    <x v="1455"/>
    <n v="91167"/>
    <x v="1469"/>
  </r>
  <r>
    <n v="22275"/>
    <s v="Low"/>
    <n v="0.02"/>
    <n v="419.19"/>
    <n v="19.989999999999998"/>
    <n v="2593"/>
    <s v="Anne Schultz"/>
    <s v="Regular Air"/>
    <s v="Corporate"/>
    <x v="0"/>
    <x v="10"/>
    <s v="Small Box"/>
    <s v="Smead Adjustable Mobile File Trolley with Lockable Top"/>
    <n v="0.57999999999999996"/>
    <s v="United States"/>
    <x v="3"/>
    <s v="Georgia"/>
    <s v="Athens"/>
    <n v="30605"/>
    <x v="89"/>
    <d v="2015-04-17T00:00:00"/>
    <n v="-39.606000000000002"/>
    <n v="10"/>
    <x v="1456"/>
    <n v="87772"/>
    <x v="1470"/>
  </r>
  <r>
    <n v="23765"/>
    <s v="Low"/>
    <n v="0.01"/>
    <n v="85.99"/>
    <n v="0.99"/>
    <n v="2593"/>
    <s v="Anne Schultz"/>
    <s v="Regular Air"/>
    <s v="Corporate"/>
    <x v="2"/>
    <x v="5"/>
    <s v="Wrap Bag"/>
    <s v="Accessory4"/>
    <n v="0.85"/>
    <s v="United States"/>
    <x v="3"/>
    <s v="Georgia"/>
    <s v="Athens"/>
    <n v="30605"/>
    <x v="14"/>
    <d v="2015-03-17T00:00:00"/>
    <n v="311.73"/>
    <n v="2"/>
    <x v="1457"/>
    <n v="87773"/>
    <x v="1471"/>
  </r>
  <r>
    <n v="19859"/>
    <s v="Low"/>
    <n v="0.05"/>
    <n v="5.74"/>
    <n v="5.3"/>
    <n v="2601"/>
    <s v="Malcolm French"/>
    <s v="Regular Air"/>
    <s v="Corporate"/>
    <x v="0"/>
    <x v="12"/>
    <s v="Small Pack"/>
    <s v="Acme Kleencut® Forged Steel Scissors"/>
    <n v="0.55000000000000004"/>
    <s v="United States"/>
    <x v="1"/>
    <s v="New Hampshire"/>
    <s v="Merrimack"/>
    <n v="3054"/>
    <x v="68"/>
    <d v="2015-03-26T00:00:00"/>
    <n v="-50.75"/>
    <n v="7"/>
    <x v="1458"/>
    <n v="87382"/>
    <x v="1472"/>
  </r>
  <r>
    <n v="20849"/>
    <s v="Critical"/>
    <n v="7.0000000000000007E-2"/>
    <n v="200.99"/>
    <n v="4.2"/>
    <n v="2603"/>
    <s v="Penny Leach"/>
    <s v="Regular Air"/>
    <s v="Corporate"/>
    <x v="2"/>
    <x v="5"/>
    <s v="Small Box"/>
    <s v="2160i"/>
    <n v="0.59"/>
    <s v="United States"/>
    <x v="1"/>
    <s v="New Jersey"/>
    <s v="Hackensack"/>
    <n v="7601"/>
    <x v="121"/>
    <d v="2015-04-06T00:00:00"/>
    <n v="2225.0761200000002"/>
    <n v="22"/>
    <x v="1459"/>
    <n v="87383"/>
    <x v="1473"/>
  </r>
  <r>
    <n v="20850"/>
    <s v="Critical"/>
    <n v="0.01"/>
    <n v="297.48"/>
    <n v="18.059999999999999"/>
    <n v="2604"/>
    <s v="Gina Curry"/>
    <s v="Delivery Truck"/>
    <s v="Corporate"/>
    <x v="2"/>
    <x v="6"/>
    <s v="Jumbo Drum"/>
    <s v="Panasonic KX-P3200 Dot Matrix Printer"/>
    <n v="0.6"/>
    <s v="United States"/>
    <x v="1"/>
    <s v="New Jersey"/>
    <s v="Iselin"/>
    <n v="8830"/>
    <x v="121"/>
    <d v="2015-04-06T00:00:00"/>
    <n v="-338.18083200000001"/>
    <n v="3"/>
    <x v="1460"/>
    <n v="87383"/>
    <x v="1474"/>
  </r>
  <r>
    <n v="18046"/>
    <s v="High"/>
    <n v="0.09"/>
    <n v="5.4"/>
    <n v="7.78"/>
    <n v="2610"/>
    <s v="Tommy Lutz"/>
    <s v="Regular Air"/>
    <s v="Corporate"/>
    <x v="0"/>
    <x v="8"/>
    <s v="Small Box"/>
    <s v="3M Organizer Strips"/>
    <n v="0.37"/>
    <s v="United States"/>
    <x v="0"/>
    <s v="California"/>
    <s v="Davis"/>
    <n v="95616"/>
    <x v="41"/>
    <d v="2015-05-17T00:00:00"/>
    <n v="-136.25200000000001"/>
    <n v="9"/>
    <x v="1461"/>
    <n v="86118"/>
    <x v="1475"/>
  </r>
  <r>
    <n v="19971"/>
    <s v="Low"/>
    <n v="0.02"/>
    <n v="50.98"/>
    <n v="13.66"/>
    <n v="2613"/>
    <s v="Anthony Stanley"/>
    <s v="Express Air"/>
    <s v="Corporate"/>
    <x v="0"/>
    <x v="15"/>
    <s v="Small Box"/>
    <s v="Eureka The Boss® Cordless Rechargeable Stick Vac"/>
    <n v="0.57999999999999996"/>
    <s v="United States"/>
    <x v="1"/>
    <s v="New Jersey"/>
    <s v="Fords"/>
    <n v="8863"/>
    <x v="76"/>
    <d v="2015-01-24T00:00:00"/>
    <n v="-25.76"/>
    <n v="1"/>
    <x v="1462"/>
    <n v="86119"/>
    <x v="1476"/>
  </r>
  <r>
    <n v="25962"/>
    <s v="Critical"/>
    <n v="0"/>
    <n v="2.6"/>
    <n v="2.4"/>
    <n v="2616"/>
    <s v="Laurence Hull"/>
    <s v="Regular Air"/>
    <s v="Corporate"/>
    <x v="0"/>
    <x v="0"/>
    <s v="Wrap Bag"/>
    <s v="12 Colored Short Pencils"/>
    <n v="0.57999999999999996"/>
    <s v="United States"/>
    <x v="2"/>
    <s v="Michigan"/>
    <s v="Portage"/>
    <n v="49002"/>
    <x v="140"/>
    <d v="2015-03-13T00:00:00"/>
    <n v="-45.21"/>
    <n v="16"/>
    <x v="1283"/>
    <n v="91495"/>
    <x v="1477"/>
  </r>
  <r>
    <n v="25478"/>
    <s v="Not Specified"/>
    <n v="0.1"/>
    <n v="3.25"/>
    <n v="49"/>
    <n v="2617"/>
    <s v="Gerald Crabtree"/>
    <s v="Regular Air"/>
    <s v="Corporate"/>
    <x v="0"/>
    <x v="15"/>
    <s v="Large Box"/>
    <s v="Bravo II™ Megaboss® 12-Amp Hard Body Upright, Replacement Belts, 2 Belts per Pack"/>
    <n v="0.56000000000000005"/>
    <s v="United States"/>
    <x v="2"/>
    <s v="South Dakota"/>
    <s v="Aberdeen"/>
    <n v="57401"/>
    <x v="150"/>
    <d v="2015-06-28T00:00:00"/>
    <n v="-286.245"/>
    <n v="6"/>
    <x v="1463"/>
    <n v="91496"/>
    <x v="1478"/>
  </r>
  <r>
    <n v="6585"/>
    <s v="Medium"/>
    <n v="0.1"/>
    <n v="7.64"/>
    <n v="1.39"/>
    <n v="2618"/>
    <s v="Amy Hamrick Melvin"/>
    <s v="Regular Air"/>
    <s v="Corporate"/>
    <x v="0"/>
    <x v="4"/>
    <s v="Small Box"/>
    <s v="Security-Tint Envelopes"/>
    <n v="0.36"/>
    <s v="United States"/>
    <x v="1"/>
    <s v="New York"/>
    <s v="New York City"/>
    <n v="10004"/>
    <x v="60"/>
    <d v="2015-01-19T00:00:00"/>
    <n v="16.12"/>
    <n v="18"/>
    <x v="1464"/>
    <n v="46884"/>
    <x v="1479"/>
  </r>
  <r>
    <n v="6586"/>
    <s v="Medium"/>
    <n v="0"/>
    <n v="125.99"/>
    <n v="2.5"/>
    <n v="2618"/>
    <s v="Amy Hamrick Melvin"/>
    <s v="Regular Air"/>
    <s v="Corporate"/>
    <x v="2"/>
    <x v="5"/>
    <s v="Small Box"/>
    <n v="6162"/>
    <n v="0.59"/>
    <s v="United States"/>
    <x v="1"/>
    <s v="New York"/>
    <s v="New York City"/>
    <n v="10004"/>
    <x v="60"/>
    <d v="2015-01-19T00:00:00"/>
    <n v="-815.9008"/>
    <n v="3"/>
    <x v="1465"/>
    <n v="46884"/>
    <x v="1480"/>
  </r>
  <r>
    <n v="6587"/>
    <s v="Medium"/>
    <n v="0.1"/>
    <n v="11.55"/>
    <n v="2.36"/>
    <n v="2618"/>
    <s v="Amy Hamrick Melvin"/>
    <s v="Regular Air"/>
    <s v="Corporate"/>
    <x v="0"/>
    <x v="0"/>
    <s v="Wrap Bag"/>
    <s v="Newell 309"/>
    <n v="0.55000000000000004"/>
    <s v="United States"/>
    <x v="1"/>
    <s v="New York"/>
    <s v="New York City"/>
    <n v="10004"/>
    <x v="60"/>
    <d v="2015-01-18T00:00:00"/>
    <n v="15.808"/>
    <n v="25"/>
    <x v="1466"/>
    <n v="46884"/>
    <x v="1481"/>
  </r>
  <r>
    <n v="4788"/>
    <s v="High"/>
    <n v="0.05"/>
    <n v="4.84"/>
    <n v="0.71"/>
    <n v="2618"/>
    <s v="Amy Hamrick Melvin"/>
    <s v="Express Air"/>
    <s v="Corporate"/>
    <x v="0"/>
    <x v="0"/>
    <s v="Wrap Bag"/>
    <s v="*Staples* Highlighting Markers"/>
    <n v="0.52"/>
    <s v="United States"/>
    <x v="1"/>
    <s v="New York"/>
    <s v="New York City"/>
    <n v="10004"/>
    <x v="165"/>
    <d v="2015-03-23T00:00:00"/>
    <n v="29.17"/>
    <n v="20"/>
    <x v="1467"/>
    <n v="34017"/>
    <x v="1482"/>
  </r>
  <r>
    <n v="4789"/>
    <s v="High"/>
    <n v="0.01"/>
    <n v="14.98"/>
    <n v="7.69"/>
    <n v="2618"/>
    <s v="Amy Hamrick Melvin"/>
    <s v="Regular Air"/>
    <s v="Corporate"/>
    <x v="0"/>
    <x v="10"/>
    <s v="Small Box"/>
    <s v="Super Decoflex Portable Personal File"/>
    <n v="0.56999999999999995"/>
    <s v="United States"/>
    <x v="1"/>
    <s v="New York"/>
    <s v="New York City"/>
    <n v="10004"/>
    <x v="165"/>
    <d v="2015-03-25T00:00:00"/>
    <n v="-48.97"/>
    <n v="28"/>
    <x v="1468"/>
    <n v="34017"/>
    <x v="1483"/>
  </r>
  <r>
    <n v="7452"/>
    <s v="Critical"/>
    <n v="0.1"/>
    <n v="20.27"/>
    <n v="3.99"/>
    <n v="2618"/>
    <s v="Amy Hamrick Melvin"/>
    <s v="Regular Air"/>
    <s v="Corporate"/>
    <x v="0"/>
    <x v="15"/>
    <s v="Small Box"/>
    <s v="Fellowes Mighty 8 Compact Surge Protector"/>
    <n v="0.56999999999999995"/>
    <s v="United States"/>
    <x v="1"/>
    <s v="New York"/>
    <s v="New York City"/>
    <n v="10004"/>
    <x v="165"/>
    <d v="2015-03-24T00:00:00"/>
    <n v="84.05"/>
    <n v="53"/>
    <x v="1469"/>
    <n v="53153"/>
    <x v="1484"/>
  </r>
  <r>
    <n v="22788"/>
    <s v="High"/>
    <n v="0.05"/>
    <n v="4.84"/>
    <n v="0.71"/>
    <n v="2619"/>
    <s v="Brandon E Shepherd"/>
    <s v="Express Air"/>
    <s v="Corporate"/>
    <x v="0"/>
    <x v="0"/>
    <s v="Wrap Bag"/>
    <s v="*Staples* Highlighting Markers"/>
    <n v="0.52"/>
    <s v="United States"/>
    <x v="2"/>
    <s v="South Dakota"/>
    <s v="Sioux Falls"/>
    <n v="57103"/>
    <x v="165"/>
    <d v="2015-03-23T00:00:00"/>
    <n v="17.836500000000001"/>
    <n v="5"/>
    <x v="1470"/>
    <n v="88014"/>
    <x v="1485"/>
  </r>
  <r>
    <n v="18461"/>
    <s v="Not Specified"/>
    <n v="0.1"/>
    <n v="30.98"/>
    <n v="8.99"/>
    <n v="2619"/>
    <s v="Brandon E Shepherd"/>
    <s v="Regular Air"/>
    <s v="Corporate"/>
    <x v="0"/>
    <x v="0"/>
    <s v="Small Pack"/>
    <s v="Boston School Pro Electric Pencil Sharpener, 1670"/>
    <n v="0.57999999999999996"/>
    <s v="United States"/>
    <x v="2"/>
    <s v="South Dakota"/>
    <s v="Sioux Falls"/>
    <n v="57103"/>
    <x v="170"/>
    <d v="2015-02-11T00:00:00"/>
    <n v="-20.222799999999999"/>
    <n v="4"/>
    <x v="1471"/>
    <n v="88015"/>
    <x v="1486"/>
  </r>
  <r>
    <n v="25452"/>
    <s v="Critical"/>
    <n v="0.1"/>
    <n v="20.27"/>
    <n v="3.99"/>
    <n v="2620"/>
    <s v="Phyllis Little"/>
    <s v="Regular Air"/>
    <s v="Corporate"/>
    <x v="0"/>
    <x v="15"/>
    <s v="Small Box"/>
    <s v="Fellowes Mighty 8 Compact Surge Protector"/>
    <n v="0.56999999999999995"/>
    <s v="United States"/>
    <x v="3"/>
    <s v="Tennessee"/>
    <s v="Bartlett"/>
    <n v="38134"/>
    <x v="165"/>
    <d v="2015-03-24T00:00:00"/>
    <n v="381.61799999999999"/>
    <n v="13"/>
    <x v="1472"/>
    <n v="88017"/>
    <x v="1487"/>
  </r>
  <r>
    <n v="26296"/>
    <s v="High"/>
    <n v="0.03"/>
    <n v="40.97"/>
    <n v="8.99"/>
    <n v="2621"/>
    <s v="Robyn Hayes"/>
    <s v="Express Air"/>
    <s v="Corporate"/>
    <x v="0"/>
    <x v="0"/>
    <s v="Small Pack"/>
    <s v="Sanford 52201 APSCO Electric Pencil Sharpener"/>
    <n v="0.59"/>
    <s v="United States"/>
    <x v="3"/>
    <s v="Tennessee"/>
    <s v="Brentwood"/>
    <n v="37027"/>
    <x v="91"/>
    <d v="2015-03-20T00:00:00"/>
    <n v="-177.05799999999999"/>
    <n v="5"/>
    <x v="1473"/>
    <n v="88016"/>
    <x v="1488"/>
  </r>
  <r>
    <n v="26032"/>
    <s v="High"/>
    <n v="0.1"/>
    <n v="41.94"/>
    <n v="2.99"/>
    <n v="2626"/>
    <s v="Lillian Fischer"/>
    <s v="Regular Air"/>
    <s v="Consumer"/>
    <x v="0"/>
    <x v="8"/>
    <s v="Small Box"/>
    <s v="Avery Trapezoid Extra Heavy Duty 4&quot; Binders"/>
    <n v="0.35"/>
    <s v="United States"/>
    <x v="0"/>
    <s v="California"/>
    <s v="Menlo Park"/>
    <n v="94025"/>
    <x v="131"/>
    <d v="2015-02-08T00:00:00"/>
    <n v="164.08199999999999"/>
    <n v="6"/>
    <x v="1474"/>
    <n v="90927"/>
    <x v="1489"/>
  </r>
  <r>
    <n v="18623"/>
    <s v="Medium"/>
    <n v="0.02"/>
    <n v="30.53"/>
    <n v="19.989999999999998"/>
    <n v="2628"/>
    <s v="Danielle P Rao"/>
    <s v="Express Air"/>
    <s v="Corporate"/>
    <x v="0"/>
    <x v="9"/>
    <s v="Small Box"/>
    <s v="Avery 4027 File Folder Labels for Dot Matrix Printers, 5000 Labels per Box, White"/>
    <n v="0.39"/>
    <s v="United States"/>
    <x v="2"/>
    <s v="Oklahoma"/>
    <s v="Moore"/>
    <n v="73160"/>
    <x v="60"/>
    <d v="2015-01-19T00:00:00"/>
    <n v="-54.63"/>
    <n v="14"/>
    <x v="1475"/>
    <n v="85916"/>
    <x v="1490"/>
  </r>
  <r>
    <n v="21981"/>
    <s v="Critical"/>
    <n v="0.01"/>
    <n v="194.3"/>
    <n v="11.54"/>
    <n v="2630"/>
    <s v="Betsy Puckett"/>
    <s v="Regular Air"/>
    <s v="Small Business"/>
    <x v="1"/>
    <x v="2"/>
    <s v="Large Box"/>
    <s v="Electrix Halogen Magnifier Lamp"/>
    <n v="0.59"/>
    <s v="United States"/>
    <x v="2"/>
    <s v="Oklahoma"/>
    <s v="Norman"/>
    <n v="73071"/>
    <x v="99"/>
    <d v="2015-01-07T00:00:00"/>
    <n v="690.17939999999999"/>
    <n v="5"/>
    <x v="1476"/>
    <n v="85914"/>
    <x v="1491"/>
  </r>
  <r>
    <n v="21982"/>
    <s v="Critical"/>
    <n v="0.02"/>
    <n v="209.84"/>
    <n v="21.21"/>
    <n v="2630"/>
    <s v="Betsy Puckett"/>
    <s v="Regular Air"/>
    <s v="Small Business"/>
    <x v="1"/>
    <x v="2"/>
    <s v="Large Box"/>
    <s v="Luxo Professional Fluorescent Magnifier Lamp with Clamp-Mount Base"/>
    <n v="0.59"/>
    <s v="United States"/>
    <x v="2"/>
    <s v="Oklahoma"/>
    <s v="Norman"/>
    <n v="73071"/>
    <x v="99"/>
    <d v="2015-01-06T00:00:00"/>
    <n v="1507.6431"/>
    <n v="10"/>
    <x v="1477"/>
    <n v="85914"/>
    <x v="1492"/>
  </r>
  <r>
    <n v="21983"/>
    <s v="Critical"/>
    <n v="0"/>
    <n v="145.44999999999999"/>
    <n v="17.850000000000001"/>
    <n v="2630"/>
    <s v="Betsy Puckett"/>
    <s v="Delivery Truck"/>
    <s v="Small Business"/>
    <x v="2"/>
    <x v="6"/>
    <s v="Jumbo Drum"/>
    <s v="Panasonic KX-P1150 Dot Matrix Printer"/>
    <n v="0.56000000000000005"/>
    <s v="United States"/>
    <x v="2"/>
    <s v="Oklahoma"/>
    <s v="Norman"/>
    <n v="73071"/>
    <x v="99"/>
    <d v="2015-01-07T00:00:00"/>
    <n v="801.74680000000001"/>
    <n v="8"/>
    <x v="1478"/>
    <n v="85914"/>
    <x v="1493"/>
  </r>
  <r>
    <n v="22540"/>
    <s v="High"/>
    <n v="7.0000000000000007E-2"/>
    <n v="65.989999999999995"/>
    <n v="5.99"/>
    <n v="2630"/>
    <s v="Betsy Puckett"/>
    <s v="Regular Air"/>
    <s v="Small Business"/>
    <x v="2"/>
    <x v="5"/>
    <s v="Small Box"/>
    <s v="i1000"/>
    <n v="0.57999999999999996"/>
    <s v="United States"/>
    <x v="2"/>
    <s v="Oklahoma"/>
    <s v="Norman"/>
    <n v="73071"/>
    <x v="0"/>
    <d v="2015-01-08T00:00:00"/>
    <n v="-139.18256"/>
    <n v="3"/>
    <x v="1479"/>
    <n v="85915"/>
    <x v="1494"/>
  </r>
  <r>
    <n v="25594"/>
    <s v="Low"/>
    <n v="0.05"/>
    <n v="100.97"/>
    <n v="7.18"/>
    <n v="2638"/>
    <s v="Alicia Wood Shah"/>
    <s v="Express Air"/>
    <s v="Consumer"/>
    <x v="2"/>
    <x v="13"/>
    <s v="Small Box"/>
    <s v="Gyration Ultra Cordless Optical Suite"/>
    <n v="0.46"/>
    <s v="United States"/>
    <x v="0"/>
    <s v="Idaho"/>
    <s v="Boise"/>
    <n v="83704"/>
    <x v="178"/>
    <d v="2015-06-08T00:00:00"/>
    <n v="881.46810000000005"/>
    <n v="13"/>
    <x v="1480"/>
    <n v="90951"/>
    <x v="1495"/>
  </r>
  <r>
    <n v="21041"/>
    <s v="Not Specified"/>
    <n v="0.05"/>
    <n v="4.9800000000000004"/>
    <n v="0.49"/>
    <n v="2639"/>
    <s v="Marianne Connor"/>
    <s v="Regular Air"/>
    <s v="Consumer"/>
    <x v="0"/>
    <x v="9"/>
    <s v="Small Box"/>
    <s v="Avery White Multi-Purpose Labels"/>
    <n v="0.39"/>
    <s v="United States"/>
    <x v="0"/>
    <s v="New Mexico"/>
    <s v="Roswell"/>
    <n v="88201"/>
    <x v="91"/>
    <d v="2015-03-19T00:00:00"/>
    <n v="3.84"/>
    <n v="3"/>
    <x v="1481"/>
    <n v="90952"/>
    <x v="1496"/>
  </r>
  <r>
    <n v="22438"/>
    <s v="Low"/>
    <n v="0.1"/>
    <n v="10.98"/>
    <n v="3.99"/>
    <n v="2647"/>
    <s v="Teresa Bishop"/>
    <s v="Regular Air"/>
    <s v="Corporate"/>
    <x v="0"/>
    <x v="15"/>
    <s v="Small Box"/>
    <s v="Staples Surge Protector 6 outlet"/>
    <n v="0.57999999999999996"/>
    <s v="United States"/>
    <x v="0"/>
    <s v="California"/>
    <s v="Bakersfield"/>
    <n v="93309"/>
    <x v="83"/>
    <d v="2015-03-24T00:00:00"/>
    <n v="-21.03"/>
    <n v="5"/>
    <x v="1482"/>
    <n v="91386"/>
    <x v="1497"/>
  </r>
  <r>
    <n v="22439"/>
    <s v="Low"/>
    <n v="0.01"/>
    <n v="39.979999999999997"/>
    <n v="9.1999999999999993"/>
    <n v="2647"/>
    <s v="Teresa Bishop"/>
    <s v="Regular Air"/>
    <s v="Corporate"/>
    <x v="1"/>
    <x v="2"/>
    <s v="Wrap Bag"/>
    <s v="Eldon Radial Chair Mat for Low to Medium Pile Carpets"/>
    <n v="0.65"/>
    <s v="United States"/>
    <x v="0"/>
    <s v="California"/>
    <s v="Bakersfield"/>
    <n v="93309"/>
    <x v="83"/>
    <d v="2015-03-19T00:00:00"/>
    <n v="117.52079999999999"/>
    <n v="4"/>
    <x v="1483"/>
    <n v="91386"/>
    <x v="1498"/>
  </r>
  <r>
    <n v="18720"/>
    <s v="High"/>
    <n v="0.01"/>
    <n v="39.979999999999997"/>
    <n v="4"/>
    <n v="2649"/>
    <s v="Leo J Olson"/>
    <s v="Regular Air"/>
    <s v="Corporate"/>
    <x v="2"/>
    <x v="13"/>
    <s v="Small Box"/>
    <s v="Microsoft Natural Keyboard Elite"/>
    <n v="0.7"/>
    <s v="United States"/>
    <x v="1"/>
    <s v="Maryland"/>
    <s v="Edgewood"/>
    <n v="21040"/>
    <x v="164"/>
    <d v="2015-06-12T00:00:00"/>
    <n v="-30.808"/>
    <n v="5"/>
    <x v="1484"/>
    <n v="88814"/>
    <x v="1499"/>
  </r>
  <r>
    <n v="22904"/>
    <s v="Critical"/>
    <n v="0.05"/>
    <n v="35.99"/>
    <n v="5.99"/>
    <n v="2650"/>
    <s v="Joanne Chu"/>
    <s v="Regular Air"/>
    <s v="Corporate"/>
    <x v="2"/>
    <x v="5"/>
    <s v="Wrap Bag"/>
    <s v="Accessory41"/>
    <n v="0.38"/>
    <s v="United States"/>
    <x v="1"/>
    <s v="Pennsylvania"/>
    <s v="Baldwin"/>
    <n v="15234"/>
    <x v="82"/>
    <d v="2015-05-05T00:00:00"/>
    <n v="524.31719999999996"/>
    <n v="26"/>
    <x v="1485"/>
    <n v="88815"/>
    <x v="1500"/>
  </r>
  <r>
    <n v="18949"/>
    <s v="Medium"/>
    <n v="0.06"/>
    <n v="47.9"/>
    <n v="5.86"/>
    <n v="2652"/>
    <s v="Brenda Ross"/>
    <s v="Regular Air"/>
    <s v="Consumer"/>
    <x v="0"/>
    <x v="7"/>
    <s v="Small Box"/>
    <s v="Xerox 1938"/>
    <n v="0.37"/>
    <s v="United States"/>
    <x v="0"/>
    <s v="California"/>
    <s v="Bakersfield"/>
    <n v="93309"/>
    <x v="40"/>
    <d v="2015-05-27T00:00:00"/>
    <n v="21.78"/>
    <n v="2"/>
    <x v="1486"/>
    <n v="89361"/>
    <x v="1501"/>
  </r>
  <r>
    <n v="25662"/>
    <s v="Not Specified"/>
    <n v="0.05"/>
    <n v="4.9800000000000004"/>
    <n v="4.62"/>
    <n v="2653"/>
    <s v="Leo Kane"/>
    <s v="Regular Air"/>
    <s v="Consumer"/>
    <x v="2"/>
    <x v="13"/>
    <s v="Small Pack"/>
    <s v="Imation 3.5&quot;, DISKETTE 44766 HGHLD3.52HD/FM, 10/Pack"/>
    <n v="0.64"/>
    <s v="United States"/>
    <x v="2"/>
    <s v="Kansas"/>
    <s v="Derby"/>
    <n v="67037"/>
    <x v="11"/>
    <d v="2015-02-23T00:00:00"/>
    <n v="-98.35"/>
    <n v="7"/>
    <x v="1487"/>
    <n v="89360"/>
    <x v="1502"/>
  </r>
  <r>
    <n v="25663"/>
    <s v="Not Specified"/>
    <n v="0.02"/>
    <n v="34.229999999999997"/>
    <n v="5.0199999999999996"/>
    <n v="2653"/>
    <s v="Leo Kane"/>
    <s v="Regular Air"/>
    <s v="Consumer"/>
    <x v="1"/>
    <x v="2"/>
    <s v="Small Box"/>
    <s v="Hand-Finished Solid Wood Document Frame"/>
    <n v="0.55000000000000004"/>
    <s v="United States"/>
    <x v="2"/>
    <s v="Kansas"/>
    <s v="Derby"/>
    <n v="67037"/>
    <x v="11"/>
    <d v="2015-02-24T00:00:00"/>
    <n v="270.79050000000001"/>
    <n v="11"/>
    <x v="1488"/>
    <n v="89360"/>
    <x v="1503"/>
  </r>
  <r>
    <n v="19131"/>
    <s v="Medium"/>
    <n v="0.09"/>
    <n v="89.99"/>
    <n v="42"/>
    <n v="2655"/>
    <s v="Benjamin Lam"/>
    <s v="Delivery Truck"/>
    <s v="Consumer"/>
    <x v="1"/>
    <x v="1"/>
    <s v="Jumbo Drum"/>
    <s v="Global Leather Task Chair, Black"/>
    <n v="0.66"/>
    <s v="United States"/>
    <x v="3"/>
    <s v="Georgia"/>
    <s v="Atlanta"/>
    <n v="30318"/>
    <x v="106"/>
    <d v="2015-04-18T00:00:00"/>
    <n v="223.416"/>
    <n v="6"/>
    <x v="1489"/>
    <n v="86063"/>
    <x v="1504"/>
  </r>
  <r>
    <n v="22938"/>
    <s v="Critical"/>
    <n v="7.0000000000000007E-2"/>
    <n v="2.94"/>
    <n v="0.81"/>
    <n v="2655"/>
    <s v="Benjamin Lam"/>
    <s v="Regular Air"/>
    <s v="Corporate"/>
    <x v="0"/>
    <x v="0"/>
    <s v="Wrap Bag"/>
    <s v="Prang Colored Pencils"/>
    <n v="0.4"/>
    <s v="United States"/>
    <x v="3"/>
    <s v="Georgia"/>
    <s v="Atlanta"/>
    <n v="30318"/>
    <x v="4"/>
    <d v="2015-04-09T00:00:00"/>
    <n v="-93.927400000000006"/>
    <n v="10"/>
    <x v="1490"/>
    <n v="86064"/>
    <x v="1505"/>
  </r>
  <r>
    <n v="19525"/>
    <s v="Critical"/>
    <n v="0.01"/>
    <n v="138.13999999999999"/>
    <n v="35"/>
    <n v="2660"/>
    <s v="Jeffrey Page"/>
    <s v="Regular Air"/>
    <s v="Small Business"/>
    <x v="0"/>
    <x v="10"/>
    <s v="Large Box"/>
    <s v="SAFCO Commercial Wire Shelving, Black"/>
    <m/>
    <s v="United States"/>
    <x v="1"/>
    <s v="Maine"/>
    <s v="Gorham"/>
    <n v="4038"/>
    <x v="152"/>
    <d v="2015-02-26T00:00:00"/>
    <n v="-321.51"/>
    <n v="4"/>
    <x v="1491"/>
    <n v="86486"/>
    <x v="1506"/>
  </r>
  <r>
    <n v="18400"/>
    <s v="High"/>
    <n v="0.04"/>
    <n v="90.24"/>
    <n v="0.99"/>
    <n v="2667"/>
    <s v="Pat Baker"/>
    <s v="Regular Air"/>
    <s v="Home Office"/>
    <x v="0"/>
    <x v="15"/>
    <s v="Small Box"/>
    <s v="Kensington 6 Outlet MasterPiece® HOMEOFFICE Power Control Center"/>
    <n v="0.56000000000000005"/>
    <s v="United States"/>
    <x v="1"/>
    <s v="Ohio"/>
    <s v="Lakewood"/>
    <n v="44107"/>
    <x v="57"/>
    <d v="2015-04-04T00:00:00"/>
    <n v="246.2748"/>
    <n v="4"/>
    <x v="1492"/>
    <n v="87831"/>
    <x v="1507"/>
  </r>
  <r>
    <n v="18401"/>
    <s v="High"/>
    <n v="0.09"/>
    <n v="47.9"/>
    <n v="5.86"/>
    <n v="2667"/>
    <s v="Pat Baker"/>
    <s v="Express Air"/>
    <s v="Home Office"/>
    <x v="0"/>
    <x v="7"/>
    <s v="Small Box"/>
    <s v="Xerox 1938"/>
    <n v="0.37"/>
    <s v="United States"/>
    <x v="1"/>
    <s v="Ohio"/>
    <s v="Lakewood"/>
    <n v="44107"/>
    <x v="57"/>
    <d v="2015-04-04T00:00:00"/>
    <n v="93.950400000000002"/>
    <n v="3"/>
    <x v="1493"/>
    <n v="87831"/>
    <x v="1508"/>
  </r>
  <r>
    <n v="19294"/>
    <s v="High"/>
    <n v="0.04"/>
    <n v="10.4"/>
    <n v="5.4"/>
    <n v="2668"/>
    <s v="Carlos Hanson"/>
    <s v="Regular Air"/>
    <s v="Corporate"/>
    <x v="1"/>
    <x v="2"/>
    <s v="Small Pack"/>
    <s v="Executive Impressions 8-1/2&quot; Career Panel/Partition Cubicle Clock"/>
    <n v="0.51"/>
    <s v="United States"/>
    <x v="2"/>
    <s v="South Dakota"/>
    <s v="Rapid City"/>
    <n v="57701"/>
    <x v="145"/>
    <d v="2015-03-29T00:00:00"/>
    <n v="29.98"/>
    <n v="12"/>
    <x v="1494"/>
    <n v="87830"/>
    <x v="1509"/>
  </r>
  <r>
    <n v="19295"/>
    <s v="High"/>
    <n v="0.08"/>
    <n v="4.28"/>
    <n v="4.79"/>
    <n v="2668"/>
    <s v="Carlos Hanson"/>
    <s v="Regular Air"/>
    <s v="Corporate"/>
    <x v="0"/>
    <x v="7"/>
    <s v="Small Box"/>
    <s v="Xerox 1962"/>
    <n v="0.4"/>
    <s v="United States"/>
    <x v="2"/>
    <s v="South Dakota"/>
    <s v="Rapid City"/>
    <n v="57701"/>
    <x v="145"/>
    <d v="2015-03-30T00:00:00"/>
    <n v="-121.2"/>
    <n v="12"/>
    <x v="1495"/>
    <n v="87830"/>
    <x v="1510"/>
  </r>
  <r>
    <n v="18870"/>
    <s v="Not Specified"/>
    <n v="0.06"/>
    <n v="3.93"/>
    <n v="0.99"/>
    <n v="2668"/>
    <s v="Carlos Hanson"/>
    <s v="Regular Air"/>
    <s v="Home Office"/>
    <x v="0"/>
    <x v="3"/>
    <s v="Wrap Bag"/>
    <s v="Staples Vinyl Coated Paper Clips"/>
    <n v="0.39"/>
    <s v="United States"/>
    <x v="2"/>
    <s v="South Dakota"/>
    <s v="Rapid City"/>
    <n v="57701"/>
    <x v="109"/>
    <d v="2015-04-23T00:00:00"/>
    <n v="10.782400000000001"/>
    <n v="6"/>
    <x v="1496"/>
    <n v="87832"/>
    <x v="1511"/>
  </r>
  <r>
    <n v="5338"/>
    <s v="High"/>
    <n v="0.05"/>
    <n v="165.2"/>
    <n v="19.989999999999998"/>
    <n v="2670"/>
    <s v="Yvonne Mann"/>
    <s v="Regular Air"/>
    <s v="Home Office"/>
    <x v="0"/>
    <x v="10"/>
    <s v="Small Box"/>
    <s v="Economy Rollaway Files"/>
    <n v="0.59"/>
    <s v="United States"/>
    <x v="0"/>
    <s v="California"/>
    <s v="Los Angeles"/>
    <n v="90049"/>
    <x v="124"/>
    <d v="2015-05-29T00:00:00"/>
    <n v="2008.71"/>
    <n v="167"/>
    <x v="1497"/>
    <n v="37924"/>
    <x v="1512"/>
  </r>
  <r>
    <n v="5339"/>
    <s v="High"/>
    <n v="0.09"/>
    <n v="17.989999999999998"/>
    <n v="8.65"/>
    <n v="2670"/>
    <s v="Yvonne Mann"/>
    <s v="Regular Air"/>
    <s v="Home Office"/>
    <x v="0"/>
    <x v="0"/>
    <s v="Small Box"/>
    <s v="Model L Table or Wall-Mount Pencil Sharpener"/>
    <n v="0.56999999999999995"/>
    <s v="United States"/>
    <x v="0"/>
    <s v="California"/>
    <s v="Los Angeles"/>
    <n v="90049"/>
    <x v="124"/>
    <d v="2015-05-29T00:00:00"/>
    <n v="-80.53"/>
    <n v="71"/>
    <x v="1498"/>
    <n v="37924"/>
    <x v="1513"/>
  </r>
  <r>
    <n v="23338"/>
    <s v="High"/>
    <n v="0.05"/>
    <n v="165.2"/>
    <n v="19.989999999999998"/>
    <n v="2671"/>
    <s v="Lloyd Fuller"/>
    <s v="Regular Air"/>
    <s v="Home Office"/>
    <x v="0"/>
    <x v="10"/>
    <s v="Small Box"/>
    <s v="Economy Rollaway Files"/>
    <n v="0.59"/>
    <s v="United States"/>
    <x v="3"/>
    <s v="Tennessee"/>
    <s v="Brentwood"/>
    <n v="37027"/>
    <x v="124"/>
    <d v="2015-05-29T00:00:00"/>
    <n v="-48.957999999999998"/>
    <n v="42"/>
    <x v="1499"/>
    <n v="90551"/>
    <x v="1514"/>
  </r>
  <r>
    <n v="18147"/>
    <s v="Critical"/>
    <n v="0.03"/>
    <n v="41.32"/>
    <n v="58.66"/>
    <n v="2677"/>
    <s v="Geoffrey Rivera"/>
    <s v="Express Air"/>
    <s v="Small Business"/>
    <x v="1"/>
    <x v="2"/>
    <s v="Medium Box"/>
    <s v="Deflect-o EconoMat Studded, No Bevel Mat for Low Pile Carpeting"/>
    <n v="0.76"/>
    <s v="United States"/>
    <x v="3"/>
    <s v="Virginia"/>
    <s v="Winchester"/>
    <n v="22601"/>
    <x v="154"/>
    <d v="2015-06-17T00:00:00"/>
    <n v="-32.816000000000003"/>
    <n v="10"/>
    <x v="1500"/>
    <n v="86633"/>
    <x v="1515"/>
  </r>
  <r>
    <n v="18148"/>
    <s v="Critical"/>
    <n v="0"/>
    <n v="6.88"/>
    <n v="2"/>
    <n v="2677"/>
    <s v="Geoffrey Rivera"/>
    <s v="Regular Air"/>
    <s v="Small Business"/>
    <x v="0"/>
    <x v="7"/>
    <s v="Wrap Bag"/>
    <s v="Adams Phone Message Book, 200 Message Capacity, 8 1/16” x 11”"/>
    <n v="0.39"/>
    <s v="United States"/>
    <x v="3"/>
    <s v="Virginia"/>
    <s v="Winchester"/>
    <n v="22601"/>
    <x v="154"/>
    <d v="2015-06-16T00:00:00"/>
    <n v="-15.61"/>
    <n v="5"/>
    <x v="1501"/>
    <n v="86633"/>
    <x v="1516"/>
  </r>
  <r>
    <n v="22848"/>
    <s v="Low"/>
    <n v="0.09"/>
    <n v="8.74"/>
    <n v="1.39"/>
    <n v="2684"/>
    <s v="Edna Michael"/>
    <s v="Express Air"/>
    <s v="Small Business"/>
    <x v="0"/>
    <x v="4"/>
    <s v="Small Box"/>
    <s v="#10- 4 1/8&quot; x 9 1/2&quot; Recycled Envelopes"/>
    <n v="0.38"/>
    <s v="United States"/>
    <x v="3"/>
    <s v="Florida"/>
    <s v="Port Charlotte"/>
    <n v="33952"/>
    <x v="2"/>
    <d v="2015-02-20T00:00:00"/>
    <n v="23.616"/>
    <n v="1"/>
    <x v="1502"/>
    <n v="89146"/>
    <x v="1517"/>
  </r>
  <r>
    <n v="22849"/>
    <s v="Low"/>
    <n v="0.09"/>
    <n v="18.97"/>
    <n v="9.0299999999999994"/>
    <n v="2684"/>
    <s v="Edna Michael"/>
    <s v="Regular Air"/>
    <s v="Small Business"/>
    <x v="0"/>
    <x v="7"/>
    <s v="Small Box"/>
    <s v="Computer Printout Paper with Letter-Trim Perforations"/>
    <n v="0.37"/>
    <s v="United States"/>
    <x v="3"/>
    <s v="Florida"/>
    <s v="Port Charlotte"/>
    <n v="33952"/>
    <x v="2"/>
    <d v="2015-02-20T00:00:00"/>
    <n v="-1748.0119999999999"/>
    <n v="1"/>
    <x v="1503"/>
    <n v="89146"/>
    <x v="1518"/>
  </r>
  <r>
    <n v="25649"/>
    <s v="Low"/>
    <n v="7.0000000000000007E-2"/>
    <n v="4.97"/>
    <n v="5.71"/>
    <n v="2684"/>
    <s v="Edna Michael"/>
    <s v="Regular Air"/>
    <s v="Small Business"/>
    <x v="1"/>
    <x v="2"/>
    <s v="Medium Box"/>
    <s v="DAX Value U-Channel Document Frames, Easel Back"/>
    <n v="0.54"/>
    <s v="United States"/>
    <x v="3"/>
    <s v="Florida"/>
    <s v="Port Charlotte"/>
    <n v="33952"/>
    <x v="98"/>
    <d v="2015-04-15T00:00:00"/>
    <n v="-180.15199999999999"/>
    <n v="5"/>
    <x v="1504"/>
    <n v="89148"/>
    <x v="1519"/>
  </r>
  <r>
    <n v="25650"/>
    <s v="Low"/>
    <n v="0.09"/>
    <n v="2.62"/>
    <n v="0.8"/>
    <n v="2684"/>
    <s v="Edna Michael"/>
    <s v="Regular Air"/>
    <s v="Small Business"/>
    <x v="0"/>
    <x v="3"/>
    <s v="Wrap Bag"/>
    <s v="Staples Metal Binder Clips"/>
    <n v="0.39"/>
    <s v="United States"/>
    <x v="3"/>
    <s v="Florida"/>
    <s v="Port Charlotte"/>
    <n v="33952"/>
    <x v="98"/>
    <d v="2015-04-12T00:00:00"/>
    <n v="8.3879999999999999"/>
    <n v="12"/>
    <x v="1505"/>
    <n v="89148"/>
    <x v="1520"/>
  </r>
  <r>
    <n v="25651"/>
    <s v="Low"/>
    <n v="0.03"/>
    <n v="65.989999999999995"/>
    <n v="8.8000000000000007"/>
    <n v="2684"/>
    <s v="Edna Michael"/>
    <s v="Regular Air"/>
    <s v="Small Business"/>
    <x v="2"/>
    <x v="5"/>
    <s v="Small Box"/>
    <n v="6120"/>
    <n v="0.57999999999999996"/>
    <s v="United States"/>
    <x v="3"/>
    <s v="Florida"/>
    <s v="Port Charlotte"/>
    <n v="33952"/>
    <x v="98"/>
    <d v="2015-04-10T00:00:00"/>
    <n v="9.9398999999999997"/>
    <n v="21"/>
    <x v="1506"/>
    <n v="89148"/>
    <x v="1521"/>
  </r>
  <r>
    <n v="21114"/>
    <s v="High"/>
    <n v="0"/>
    <n v="7.38"/>
    <n v="11.51"/>
    <n v="2685"/>
    <s v="Kathryn Wolfe"/>
    <s v="Regular Air"/>
    <s v="Small Business"/>
    <x v="0"/>
    <x v="8"/>
    <s v="Small Box"/>
    <s v="GBC Plastic Binding Combs"/>
    <n v="0.36"/>
    <s v="United States"/>
    <x v="1"/>
    <s v="New York"/>
    <s v="Plainview"/>
    <n v="11803"/>
    <x v="36"/>
    <d v="2015-04-05T00:00:00"/>
    <n v="-66.171000000000006"/>
    <n v="2"/>
    <x v="1507"/>
    <n v="89147"/>
    <x v="1522"/>
  </r>
  <r>
    <n v="23299"/>
    <s v="Critical"/>
    <n v="0.09"/>
    <n v="3.75"/>
    <n v="0.5"/>
    <n v="2689"/>
    <s v="Marlene Gray"/>
    <s v="Regular Air"/>
    <s v="Home Office"/>
    <x v="0"/>
    <x v="9"/>
    <s v="Small Box"/>
    <s v="Avery 496"/>
    <n v="0.37"/>
    <s v="United States"/>
    <x v="1"/>
    <s v="New Jersey"/>
    <s v="Clifton"/>
    <n v="7011"/>
    <x v="82"/>
    <d v="2015-05-06T00:00:00"/>
    <n v="51.218699999999998"/>
    <n v="21"/>
    <x v="1508"/>
    <n v="90624"/>
    <x v="1523"/>
  </r>
  <r>
    <n v="23298"/>
    <s v="Critical"/>
    <n v="0.01"/>
    <n v="30.98"/>
    <n v="9.18"/>
    <n v="2693"/>
    <s v="Lloyd Cannon"/>
    <s v="Regular Air"/>
    <s v="Home Office"/>
    <x v="0"/>
    <x v="7"/>
    <s v="Small Box"/>
    <s v="Xerox 1951"/>
    <n v="0.4"/>
    <s v="United States"/>
    <x v="1"/>
    <s v="Vermont"/>
    <s v="Bennington"/>
    <n v="5201"/>
    <x v="82"/>
    <d v="2015-05-04T00:00:00"/>
    <n v="380.46800000000002"/>
    <n v="20"/>
    <x v="1509"/>
    <n v="90624"/>
    <x v="1524"/>
  </r>
  <r>
    <n v="18354"/>
    <s v="Critical"/>
    <n v="0.05"/>
    <n v="107.53"/>
    <n v="5.81"/>
    <n v="2696"/>
    <s v="Sally Dunn"/>
    <s v="Regular Air"/>
    <s v="Home Office"/>
    <x v="1"/>
    <x v="2"/>
    <s v="Medium Box"/>
    <s v="Tenex Contemporary Contur Chairmats for Low and Medium Pile Carpet, Computer, 39&quot; x 49&quot;"/>
    <n v="0.65"/>
    <s v="United States"/>
    <x v="3"/>
    <s v="Alabama"/>
    <s v="Tuscaloosa"/>
    <n v="35401"/>
    <x v="93"/>
    <d v="2015-03-06T00:00:00"/>
    <n v="-89.418000000000006"/>
    <n v="6"/>
    <x v="1510"/>
    <n v="87676"/>
    <x v="1525"/>
  </r>
  <r>
    <n v="19506"/>
    <s v="Critical"/>
    <n v="0.04"/>
    <n v="1.74"/>
    <n v="4.08"/>
    <n v="2697"/>
    <s v="Ricky W Clements"/>
    <s v="Regular Air"/>
    <s v="Corporate"/>
    <x v="1"/>
    <x v="2"/>
    <s v="Small Pack"/>
    <s v="Eldon Regeneration Recycled Desk Accessories, Smoke"/>
    <n v="0.53"/>
    <s v="United States"/>
    <x v="3"/>
    <s v="Alabama"/>
    <s v="Vestavia Hills"/>
    <n v="35216"/>
    <x v="67"/>
    <d v="2015-02-25T00:00:00"/>
    <n v="9.2520000000000007"/>
    <n v="16"/>
    <x v="1310"/>
    <n v="87678"/>
    <x v="1526"/>
  </r>
  <r>
    <n v="19507"/>
    <s v="Critical"/>
    <n v="0.01"/>
    <n v="119.99"/>
    <n v="56.14"/>
    <n v="2697"/>
    <s v="Ricky W Clements"/>
    <s v="Delivery Truck"/>
    <s v="Corporate"/>
    <x v="2"/>
    <x v="6"/>
    <s v="Jumbo Box"/>
    <s v="Hewlett-Packard 2600DN Business Color Inkjet Printer"/>
    <n v="0.39"/>
    <s v="United States"/>
    <x v="3"/>
    <s v="Alabama"/>
    <s v="Vestavia Hills"/>
    <n v="35216"/>
    <x v="67"/>
    <d v="2015-02-24T00:00:00"/>
    <n v="-1197.0419999999999"/>
    <n v="21"/>
    <x v="1511"/>
    <n v="87678"/>
    <x v="1527"/>
  </r>
  <r>
    <n v="21580"/>
    <s v="Critical"/>
    <n v="0.06"/>
    <n v="4.9800000000000004"/>
    <n v="4.95"/>
    <n v="2699"/>
    <s v="Marcia Greenberg"/>
    <s v="Regular Air"/>
    <s v="Corporate"/>
    <x v="0"/>
    <x v="8"/>
    <s v="Small Box"/>
    <s v="Cardinal Holdit Business Card Pockets"/>
    <n v="0.37"/>
    <s v="United States"/>
    <x v="0"/>
    <s v="Arizona"/>
    <s v="Bullhead City"/>
    <n v="86442"/>
    <x v="55"/>
    <d v="2015-05-24T00:00:00"/>
    <n v="-103.224"/>
    <n v="16"/>
    <x v="1512"/>
    <n v="87677"/>
    <x v="1528"/>
  </r>
  <r>
    <n v="20983"/>
    <s v="Not Specified"/>
    <n v="0.04"/>
    <n v="70.98"/>
    <n v="26.74"/>
    <n v="2699"/>
    <s v="Marcia Greenberg"/>
    <s v="Delivery Truck"/>
    <s v="Corporate"/>
    <x v="1"/>
    <x v="14"/>
    <s v="Jumbo Box"/>
    <s v="Hon Metal Bookcases, Black"/>
    <n v="0.6"/>
    <s v="United States"/>
    <x v="0"/>
    <s v="Arizona"/>
    <s v="Bullhead City"/>
    <n v="86442"/>
    <x v="4"/>
    <d v="2015-04-10T00:00:00"/>
    <n v="-84.628799999999998"/>
    <n v="19"/>
    <x v="1513"/>
    <n v="87679"/>
    <x v="1529"/>
  </r>
  <r>
    <n v="24151"/>
    <s v="Critical"/>
    <n v="0.06"/>
    <n v="3.6"/>
    <n v="2.2000000000000002"/>
    <n v="2704"/>
    <s v="Juan Gold"/>
    <s v="Regular Air"/>
    <s v="Consumer"/>
    <x v="0"/>
    <x v="7"/>
    <s v="Wrap Bag"/>
    <s v="Telephone Message Books with Fax/Mobile Section, 4 1/4&quot; x 6&quot;"/>
    <n v="0.39"/>
    <s v="United States"/>
    <x v="3"/>
    <s v="Florida"/>
    <s v="Pensacola"/>
    <n v="32503"/>
    <x v="122"/>
    <d v="2015-05-02T00:00:00"/>
    <n v="2755.6421999999998"/>
    <n v="4"/>
    <x v="1514"/>
    <n v="91407"/>
    <x v="1530"/>
  </r>
  <r>
    <n v="21979"/>
    <s v="Low"/>
    <n v="0.03"/>
    <n v="13.48"/>
    <n v="4.51"/>
    <n v="2704"/>
    <s v="Juan Gold"/>
    <s v="Express Air"/>
    <s v="Consumer"/>
    <x v="0"/>
    <x v="10"/>
    <s v="Small Box"/>
    <s v="Tenex Personal Project File with Scoop Front Design, Black"/>
    <n v="0.59"/>
    <s v="United States"/>
    <x v="3"/>
    <s v="Florida"/>
    <s v="Pensacola"/>
    <n v="32503"/>
    <x v="122"/>
    <d v="2015-05-04T00:00:00"/>
    <n v="-256.01799999999997"/>
    <n v="4"/>
    <x v="1515"/>
    <n v="91408"/>
    <x v="1531"/>
  </r>
  <r>
    <n v="18898"/>
    <s v="Medium"/>
    <n v="7.0000000000000007E-2"/>
    <n v="60.97"/>
    <n v="4.5"/>
    <n v="2709"/>
    <s v="Stanley Steele"/>
    <s v="Regular Air"/>
    <s v="Consumer"/>
    <x v="0"/>
    <x v="15"/>
    <s v="Small Box"/>
    <s v="Tripp Lite Isotel 6 Outlet Surge Protector with Fax/Modem Protection"/>
    <n v="0.56000000000000005"/>
    <s v="United States"/>
    <x v="1"/>
    <s v="Maryland"/>
    <s v="Ellicott City"/>
    <n v="21042"/>
    <x v="5"/>
    <d v="2015-05-30T00:00:00"/>
    <n v="-41.77"/>
    <n v="1"/>
    <x v="1516"/>
    <n v="89240"/>
    <x v="1532"/>
  </r>
  <r>
    <n v="18899"/>
    <s v="Medium"/>
    <n v="0"/>
    <n v="90.98"/>
    <n v="56.2"/>
    <n v="2709"/>
    <s v="Stanley Steele"/>
    <s v="Regular Air"/>
    <s v="Consumer"/>
    <x v="1"/>
    <x v="2"/>
    <s v="Medium Box"/>
    <s v="Eldon ClusterMat Chair Mat with Cordless Antistatic Protection"/>
    <n v="0.74"/>
    <s v="United States"/>
    <x v="1"/>
    <s v="Maryland"/>
    <s v="Ellicott City"/>
    <n v="21042"/>
    <x v="5"/>
    <d v="2015-05-30T00:00:00"/>
    <n v="-1014.11"/>
    <n v="15"/>
    <x v="1517"/>
    <n v="89240"/>
    <x v="1533"/>
  </r>
  <r>
    <n v="18855"/>
    <s v="Critical"/>
    <n v="7.0000000000000007E-2"/>
    <n v="2.88"/>
    <n v="0.5"/>
    <n v="2713"/>
    <s v="Lynda Banks"/>
    <s v="Regular Air"/>
    <s v="Corporate"/>
    <x v="0"/>
    <x v="9"/>
    <s v="Small Box"/>
    <s v="Avery 492"/>
    <n v="0.39"/>
    <s v="United States"/>
    <x v="2"/>
    <s v="Michigan"/>
    <s v="Kalamazoo"/>
    <n v="49001"/>
    <x v="123"/>
    <d v="2015-06-24T00:00:00"/>
    <n v="17.429400000000001"/>
    <n v="9"/>
    <x v="1518"/>
    <n v="88701"/>
    <x v="1534"/>
  </r>
  <r>
    <n v="18856"/>
    <s v="Critical"/>
    <n v="0.03"/>
    <n v="348.21"/>
    <n v="40.19"/>
    <n v="2713"/>
    <s v="Lynda Banks"/>
    <s v="Delivery Truck"/>
    <s v="Corporate"/>
    <x v="1"/>
    <x v="11"/>
    <s v="Jumbo Box"/>
    <s v="Bretford CR4500 Series Slim Rectangular Table"/>
    <n v="0.62"/>
    <s v="United States"/>
    <x v="2"/>
    <s v="Michigan"/>
    <s v="Kalamazoo"/>
    <n v="49001"/>
    <x v="123"/>
    <d v="2015-06-22T00:00:00"/>
    <n v="-178.86959999999999"/>
    <n v="2"/>
    <x v="1519"/>
    <n v="88701"/>
    <x v="1535"/>
  </r>
  <r>
    <n v="21690"/>
    <s v="Low"/>
    <n v="0.01"/>
    <n v="29.89"/>
    <n v="1.99"/>
    <n v="2715"/>
    <s v="Becky Farmer"/>
    <s v="Regular Air"/>
    <s v="Corporate"/>
    <x v="2"/>
    <x v="13"/>
    <s v="Small Pack"/>
    <s v="Verbatim DVD-RAM, 5.2GB, Rewritable, Type 1, DS"/>
    <n v="0.5"/>
    <s v="United States"/>
    <x v="2"/>
    <s v="Michigan"/>
    <s v="Lansing"/>
    <n v="48911"/>
    <x v="38"/>
    <d v="2015-01-16T00:00:00"/>
    <n v="-74.64"/>
    <n v="1"/>
    <x v="1520"/>
    <n v="88702"/>
    <x v="1536"/>
  </r>
  <r>
    <n v="21863"/>
    <s v="Critical"/>
    <n v="0.1"/>
    <n v="6.74"/>
    <n v="1.72"/>
    <n v="2718"/>
    <s v="Caroline Stone"/>
    <s v="Regular Air"/>
    <s v="Consumer"/>
    <x v="0"/>
    <x v="7"/>
    <s v="Wrap Bag"/>
    <s v="Memo Book, 100 Message Capacity, 5 3/8” x 11”"/>
    <n v="0.35"/>
    <s v="United States"/>
    <x v="2"/>
    <s v="Illinois"/>
    <s v="Lansing"/>
    <n v="60438"/>
    <x v="151"/>
    <d v="2015-03-03T00:00:00"/>
    <n v="65.41"/>
    <n v="15"/>
    <x v="1521"/>
    <n v="89394"/>
    <x v="1537"/>
  </r>
  <r>
    <n v="21399"/>
    <s v="Critical"/>
    <n v="0"/>
    <n v="40.479999999999997"/>
    <n v="19.989999999999998"/>
    <n v="2720"/>
    <s v="Donna Block"/>
    <s v="Regular Air"/>
    <s v="Small Business"/>
    <x v="2"/>
    <x v="13"/>
    <s v="Small Box"/>
    <s v="Keytronic Designer 104- Key Black Keyboard"/>
    <n v="0.77"/>
    <s v="United States"/>
    <x v="3"/>
    <s v="Georgia"/>
    <s v="Dalton"/>
    <n v="30721"/>
    <x v="154"/>
    <d v="2015-06-17T00:00:00"/>
    <n v="-25.634"/>
    <n v="6"/>
    <x v="1522"/>
    <n v="88766"/>
    <x v="1538"/>
  </r>
  <r>
    <n v="19907"/>
    <s v="Critical"/>
    <n v="0.06"/>
    <n v="4.9800000000000004"/>
    <n v="7.44"/>
    <n v="2724"/>
    <s v="Erika Clapp"/>
    <s v="Regular Air"/>
    <s v="Home Office"/>
    <x v="0"/>
    <x v="7"/>
    <s v="Small Box"/>
    <s v="Xerox 1922"/>
    <n v="0.36"/>
    <s v="United States"/>
    <x v="3"/>
    <s v="Tennessee"/>
    <s v="Chattanooga"/>
    <n v="37421"/>
    <x v="90"/>
    <d v="2015-05-02T00:00:00"/>
    <n v="-37.561999999999998"/>
    <n v="10"/>
    <x v="1523"/>
    <n v="88959"/>
    <x v="1539"/>
  </r>
  <r>
    <n v="19908"/>
    <s v="Critical"/>
    <n v="0.01"/>
    <n v="6.48"/>
    <n v="7.37"/>
    <n v="2724"/>
    <s v="Erika Clapp"/>
    <s v="Regular Air"/>
    <s v="Home Office"/>
    <x v="0"/>
    <x v="7"/>
    <s v="Small Box"/>
    <s v="Xerox 210"/>
    <n v="0.37"/>
    <s v="United States"/>
    <x v="3"/>
    <s v="Tennessee"/>
    <s v="Chattanooga"/>
    <n v="37421"/>
    <x v="90"/>
    <d v="2015-05-03T00:00:00"/>
    <n v="-449.69400000000002"/>
    <n v="18"/>
    <x v="1524"/>
    <n v="88959"/>
    <x v="1540"/>
  </r>
  <r>
    <n v="22612"/>
    <s v="Not Specified"/>
    <n v="0.05"/>
    <n v="28.15"/>
    <n v="6.17"/>
    <n v="2725"/>
    <s v="Katharine Hudson"/>
    <s v="Regular Air"/>
    <s v="Home Office"/>
    <x v="0"/>
    <x v="0"/>
    <s v="Small Pack"/>
    <s v="Boston Model 1800 Electric Pencil Sharpener, Gray"/>
    <n v="0.55000000000000004"/>
    <s v="United States"/>
    <x v="3"/>
    <s v="Tennessee"/>
    <s v="Clarksville"/>
    <n v="37042"/>
    <x v="60"/>
    <d v="2015-01-18T00:00:00"/>
    <n v="-66.248000000000005"/>
    <n v="10"/>
    <x v="1525"/>
    <n v="88958"/>
    <x v="1541"/>
  </r>
  <r>
    <n v="21422"/>
    <s v="Low"/>
    <n v="0.08"/>
    <n v="230.98"/>
    <n v="23.78"/>
    <n v="2729"/>
    <s v="Penny O Caldwell"/>
    <s v="Delivery Truck"/>
    <s v="Consumer"/>
    <x v="1"/>
    <x v="11"/>
    <s v="Jumbo Box"/>
    <s v="Bush® Cubix Conference Tables, Fully Assembled"/>
    <n v="0.6"/>
    <s v="United States"/>
    <x v="0"/>
    <s v="Washington"/>
    <s v="Bellingham"/>
    <n v="98226"/>
    <x v="127"/>
    <d v="2015-03-10T00:00:00"/>
    <n v="501.69"/>
    <n v="4"/>
    <x v="1526"/>
    <n v="88114"/>
    <x v="1542"/>
  </r>
  <r>
    <n v="19819"/>
    <s v="Not Specified"/>
    <n v="0.05"/>
    <n v="100.98"/>
    <n v="7.18"/>
    <n v="2737"/>
    <s v="Rachel Bates"/>
    <s v="Regular Air"/>
    <s v="Small Business"/>
    <x v="2"/>
    <x v="13"/>
    <s v="Small Box"/>
    <s v="Logitech Cordless Elite Duo"/>
    <n v="0.4"/>
    <s v="United States"/>
    <x v="1"/>
    <s v="Vermont"/>
    <s v="Rutland"/>
    <n v="5701"/>
    <x v="126"/>
    <d v="2015-04-24T00:00:00"/>
    <n v="566.60730000000001"/>
    <n v="8"/>
    <x v="1527"/>
    <n v="89018"/>
    <x v="1543"/>
  </r>
  <r>
    <n v="18790"/>
    <s v="Medium"/>
    <n v="0.03"/>
    <n v="15.31"/>
    <n v="8.7799999999999994"/>
    <n v="2737"/>
    <s v="Rachel Bates"/>
    <s v="Regular Air"/>
    <s v="Small Business"/>
    <x v="0"/>
    <x v="10"/>
    <s v="Small Box"/>
    <s v="Eldon Jumbo ProFile™ Portable File Boxes Graphite/Black"/>
    <n v="0.56999999999999995"/>
    <s v="United States"/>
    <x v="1"/>
    <s v="Vermont"/>
    <s v="Rutland"/>
    <n v="5701"/>
    <x v="144"/>
    <d v="2015-06-02T00:00:00"/>
    <n v="-57.56"/>
    <n v="12"/>
    <x v="1528"/>
    <n v="89019"/>
    <x v="1544"/>
  </r>
  <r>
    <n v="24278"/>
    <s v="Critical"/>
    <n v="0.02"/>
    <n v="33.979999999999997"/>
    <n v="1.99"/>
    <n v="2738"/>
    <s v="Sherri Kramer"/>
    <s v="Regular Air"/>
    <s v="Small Business"/>
    <x v="2"/>
    <x v="13"/>
    <s v="Small Pack"/>
    <s v="Imation Neon 80 Minute CD-R Spindle, 50/Pack"/>
    <n v="0.45"/>
    <s v="United States"/>
    <x v="1"/>
    <s v="Vermont"/>
    <s v="South Burlington"/>
    <n v="5403"/>
    <x v="53"/>
    <d v="2015-04-15T00:00:00"/>
    <n v="164.06129999999999"/>
    <n v="7"/>
    <x v="1529"/>
    <n v="89017"/>
    <x v="1545"/>
  </r>
  <r>
    <n v="19987"/>
    <s v="Low"/>
    <n v="0.01"/>
    <n v="35.99"/>
    <n v="5.99"/>
    <n v="2741"/>
    <s v="Megan York"/>
    <s v="Regular Air"/>
    <s v="Small Business"/>
    <x v="2"/>
    <x v="5"/>
    <s v="Wrap Bag"/>
    <s v="Accessory41"/>
    <n v="0.38"/>
    <s v="United States"/>
    <x v="0"/>
    <s v="Idaho"/>
    <s v="Caldwell"/>
    <n v="83605"/>
    <x v="14"/>
    <d v="2015-03-19T00:00:00"/>
    <n v="218.23320000000001"/>
    <n v="10"/>
    <x v="1530"/>
    <n v="89481"/>
    <x v="1546"/>
  </r>
  <r>
    <n v="21323"/>
    <s v="Medium"/>
    <n v="0.01"/>
    <n v="220.98"/>
    <n v="64.66"/>
    <n v="2745"/>
    <s v="Arnold Gay"/>
    <s v="Delivery Truck"/>
    <s v="Corporate"/>
    <x v="1"/>
    <x v="14"/>
    <s v="Jumbo Box"/>
    <s v="Bush Cubix Collection Bookcases, Fully Assembled"/>
    <n v="0.62"/>
    <s v="United States"/>
    <x v="0"/>
    <s v="Arizona"/>
    <s v="Chandler"/>
    <n v="85224"/>
    <x v="103"/>
    <d v="2015-03-19T00:00:00"/>
    <n v="1049.03"/>
    <n v="11"/>
    <x v="1531"/>
    <n v="86184"/>
    <x v="1547"/>
  </r>
  <r>
    <n v="4949"/>
    <s v="Medium"/>
    <n v="0.08"/>
    <n v="9.98"/>
    <n v="12.52"/>
    <n v="2747"/>
    <s v="Brian Grady"/>
    <s v="Regular Air"/>
    <s v="Corporate"/>
    <x v="1"/>
    <x v="2"/>
    <s v="Small Box"/>
    <s v="Eldon® Expressions™ Wood and Plastic Desk Accessories, Oak"/>
    <n v="0.56999999999999995"/>
    <s v="United States"/>
    <x v="1"/>
    <s v="New York"/>
    <s v="New York City"/>
    <n v="10115"/>
    <x v="64"/>
    <d v="2015-02-07T00:00:00"/>
    <n v="-102.93"/>
    <n v="15"/>
    <x v="1532"/>
    <n v="35200"/>
    <x v="1548"/>
  </r>
  <r>
    <n v="3323"/>
    <s v="Medium"/>
    <n v="0.01"/>
    <n v="220.98"/>
    <n v="64.66"/>
    <n v="2747"/>
    <s v="Brian Grady"/>
    <s v="Delivery Truck"/>
    <s v="Corporate"/>
    <x v="1"/>
    <x v="14"/>
    <s v="Jumbo Box"/>
    <s v="Bush Cubix Collection Bookcases, Fully Assembled"/>
    <n v="0.62"/>
    <s v="United States"/>
    <x v="1"/>
    <s v="New York"/>
    <s v="New York City"/>
    <n v="10115"/>
    <x v="103"/>
    <d v="2015-03-19T00:00:00"/>
    <n v="1049.03"/>
    <n v="44"/>
    <x v="1533"/>
    <n v="23751"/>
    <x v="1549"/>
  </r>
  <r>
    <n v="23271"/>
    <s v="Critical"/>
    <n v="0.02"/>
    <n v="161.55000000000001"/>
    <n v="19.989999999999998"/>
    <n v="2750"/>
    <s v="Allen Nash"/>
    <s v="Regular Air"/>
    <s v="Small Business"/>
    <x v="0"/>
    <x v="10"/>
    <s v="Small Box"/>
    <s v="Fellowes Super Stor/Drawer® Files"/>
    <n v="0.66"/>
    <s v="United States"/>
    <x v="3"/>
    <s v="Virginia"/>
    <s v="Waynesboro"/>
    <n v="22980"/>
    <x v="129"/>
    <d v="2015-03-08T00:00:00"/>
    <n v="664.51800000000003"/>
    <n v="4"/>
    <x v="1534"/>
    <n v="91424"/>
    <x v="1550"/>
  </r>
  <r>
    <n v="21630"/>
    <s v="Medium"/>
    <n v="0.08"/>
    <n v="22.01"/>
    <n v="5.53"/>
    <n v="2760"/>
    <s v="Evan Adkins"/>
    <s v="Regular Air"/>
    <s v="Corporate"/>
    <x v="0"/>
    <x v="0"/>
    <s v="Small Pack"/>
    <s v="Boston 16801 Nautilus™ Battery Pencil Sharpener"/>
    <n v="0.59"/>
    <s v="United States"/>
    <x v="1"/>
    <s v="Connecticut"/>
    <s v="Waterbury"/>
    <n v="6708"/>
    <x v="126"/>
    <d v="2015-04-24T00:00:00"/>
    <n v="105.7"/>
    <n v="11"/>
    <x v="1535"/>
    <n v="90724"/>
    <x v="1551"/>
  </r>
  <r>
    <n v="21629"/>
    <s v="Medium"/>
    <n v="0.02"/>
    <n v="29.74"/>
    <n v="6.64"/>
    <n v="2764"/>
    <s v="Arnold Johnson"/>
    <s v="Regular Air"/>
    <s v="Corporate"/>
    <x v="0"/>
    <x v="10"/>
    <s v="Small Box"/>
    <s v="Acco Perma® 2700 Stacking Storage Drawers"/>
    <n v="0.7"/>
    <s v="United States"/>
    <x v="1"/>
    <s v="New Jersey"/>
    <s v="Hackensack"/>
    <n v="7601"/>
    <x v="126"/>
    <d v="2015-04-22T00:00:00"/>
    <n v="-21.06"/>
    <n v="4"/>
    <x v="1536"/>
    <n v="90724"/>
    <x v="1552"/>
  </r>
  <r>
    <n v="26156"/>
    <s v="Low"/>
    <n v="0.03"/>
    <n v="5.85"/>
    <n v="2.27"/>
    <n v="2765"/>
    <s v="Tracy Schultz"/>
    <s v="Regular Air"/>
    <s v="Corporate"/>
    <x v="0"/>
    <x v="0"/>
    <s v="Wrap Bag"/>
    <s v="Dixon My First Ticonderoga Pencil, #2"/>
    <n v="0.56000000000000005"/>
    <s v="United States"/>
    <x v="1"/>
    <s v="New Jersey"/>
    <s v="Lindenwold"/>
    <n v="8021"/>
    <x v="5"/>
    <d v="2015-05-30T00:00:00"/>
    <n v="-5.08"/>
    <n v="7"/>
    <x v="1537"/>
    <n v="90725"/>
    <x v="1553"/>
  </r>
  <r>
    <n v="23342"/>
    <s v="Critical"/>
    <n v="0.02"/>
    <n v="11.55"/>
    <n v="2.36"/>
    <n v="2770"/>
    <s v="Joel Burnette"/>
    <s v="Regular Air"/>
    <s v="Corporate"/>
    <x v="0"/>
    <x v="0"/>
    <s v="Wrap Bag"/>
    <s v="Newell 309"/>
    <n v="0.55000000000000004"/>
    <s v="United States"/>
    <x v="3"/>
    <s v="Georgia"/>
    <s v="Dunwoody"/>
    <n v="30338"/>
    <x v="129"/>
    <d v="2015-03-10T00:00:00"/>
    <n v="1289.3820000000001"/>
    <n v="14"/>
    <x v="1538"/>
    <n v="88975"/>
    <x v="1554"/>
  </r>
  <r>
    <n v="26157"/>
    <s v="High"/>
    <n v="7.0000000000000007E-2"/>
    <n v="177.98"/>
    <n v="0.99"/>
    <n v="2771"/>
    <s v="Kevin Wolfe"/>
    <s v="Regular Air"/>
    <s v="Corporate"/>
    <x v="0"/>
    <x v="15"/>
    <s v="Small Box"/>
    <s v="Kensington 7 Outlet MasterPiece Power Center"/>
    <n v="0.56000000000000005"/>
    <s v="United States"/>
    <x v="3"/>
    <s v="Georgia"/>
    <s v="East Point"/>
    <n v="30344"/>
    <x v="1"/>
    <d v="2015-06-13T00:00:00"/>
    <n v="-191.548"/>
    <n v="3"/>
    <x v="1539"/>
    <n v="88974"/>
    <x v="1555"/>
  </r>
  <r>
    <n v="24523"/>
    <s v="Not Specified"/>
    <n v="0.1"/>
    <n v="5.18"/>
    <n v="5.74"/>
    <n v="2773"/>
    <s v="Christina Zhu"/>
    <s v="Regular Air"/>
    <s v="Corporate"/>
    <x v="0"/>
    <x v="8"/>
    <s v="Small Box"/>
    <s v="Wilson Jones Impact Binders"/>
    <n v="0.36"/>
    <s v="United States"/>
    <x v="0"/>
    <s v="California"/>
    <s v="Dublin"/>
    <n v="94568"/>
    <x v="173"/>
    <d v="2015-03-28T00:00:00"/>
    <n v="-29.003"/>
    <n v="2"/>
    <x v="1540"/>
    <n v="91584"/>
    <x v="1556"/>
  </r>
  <r>
    <n v="20956"/>
    <s v="Low"/>
    <n v="7.0000000000000007E-2"/>
    <n v="574.74"/>
    <n v="24.49"/>
    <n v="2775"/>
    <s v="Theodore Rubin"/>
    <s v="Regular Air"/>
    <s v="Consumer"/>
    <x v="2"/>
    <x v="6"/>
    <s v="Large Box"/>
    <s v="Polycom ViaVideo™ Desktop Video Communications Unit"/>
    <n v="0.37"/>
    <s v="United States"/>
    <x v="2"/>
    <s v="Illinois"/>
    <s v="Franklin Park"/>
    <n v="60131"/>
    <x v="111"/>
    <d v="2015-02-04T00:00:00"/>
    <n v="2860.9331999999999"/>
    <n v="8"/>
    <x v="1541"/>
    <n v="91229"/>
    <x v="1557"/>
  </r>
  <r>
    <n v="24122"/>
    <s v="Critical"/>
    <n v="0.03"/>
    <n v="350.98"/>
    <n v="30"/>
    <n v="2776"/>
    <s v="April Henson"/>
    <s v="Delivery Truck"/>
    <s v="Consumer"/>
    <x v="1"/>
    <x v="1"/>
    <s v="Jumbo Drum"/>
    <s v="Office Star - Professional Matrix Back Chair with 2-to-1 Synchro Tilt and Mesh Fabric Seat"/>
    <n v="0.61"/>
    <s v="United States"/>
    <x v="1"/>
    <s v="Maryland"/>
    <s v="Gaithersburg"/>
    <n v="20877"/>
    <x v="38"/>
    <d v="2015-01-15T00:00:00"/>
    <n v="2692.4421000000002"/>
    <n v="11"/>
    <x v="1542"/>
    <n v="91228"/>
    <x v="1558"/>
  </r>
  <r>
    <n v="24123"/>
    <s v="Critical"/>
    <n v="0.04"/>
    <n v="1.68"/>
    <n v="1"/>
    <n v="2776"/>
    <s v="April Henson"/>
    <s v="Regular Air"/>
    <s v="Consumer"/>
    <x v="0"/>
    <x v="0"/>
    <s v="Wrap Bag"/>
    <s v="Prang Dustless Chalk Sticks"/>
    <n v="0.35"/>
    <s v="United States"/>
    <x v="1"/>
    <s v="Maryland"/>
    <s v="Gaithersburg"/>
    <n v="20877"/>
    <x v="38"/>
    <d v="2015-01-14T00:00:00"/>
    <n v="2.0672000000000001"/>
    <n v="8"/>
    <x v="1543"/>
    <n v="91228"/>
    <x v="1559"/>
  </r>
  <r>
    <n v="20097"/>
    <s v="High"/>
    <n v="0.05"/>
    <n v="205.99"/>
    <n v="8.99"/>
    <n v="2778"/>
    <s v="Alison Jones"/>
    <s v="Express Air"/>
    <s v="Consumer"/>
    <x v="2"/>
    <x v="5"/>
    <s v="Small Box"/>
    <s v="Talkabout T8097"/>
    <n v="0.57999999999999996"/>
    <s v="United States"/>
    <x v="3"/>
    <s v="North Carolina"/>
    <s v="Wilmington"/>
    <n v="28403"/>
    <x v="143"/>
    <d v="2015-02-12T00:00:00"/>
    <n v="111.05249999999999"/>
    <n v="12"/>
    <x v="1544"/>
    <n v="87160"/>
    <x v="1560"/>
  </r>
  <r>
    <n v="20098"/>
    <s v="High"/>
    <n v="0.08"/>
    <n v="205.99"/>
    <n v="8.99"/>
    <n v="2778"/>
    <s v="Alison Jones"/>
    <s v="Regular Air"/>
    <s v="Consumer"/>
    <x v="2"/>
    <x v="5"/>
    <s v="Small Box"/>
    <s v="TimeportP7382"/>
    <n v="0.56000000000000005"/>
    <s v="United States"/>
    <x v="3"/>
    <s v="North Carolina"/>
    <s v="Wilmington"/>
    <n v="28403"/>
    <x v="143"/>
    <d v="2015-02-12T00:00:00"/>
    <n v="-1963.752"/>
    <n v="5"/>
    <x v="1545"/>
    <n v="87160"/>
    <x v="1561"/>
  </r>
  <r>
    <n v="21707"/>
    <s v="Critical"/>
    <n v="0.01"/>
    <n v="35.99"/>
    <n v="5.99"/>
    <n v="2779"/>
    <s v="Jacob Burgess"/>
    <s v="Regular Air"/>
    <s v="Corporate"/>
    <x v="2"/>
    <x v="5"/>
    <s v="Wrap Bag"/>
    <s v="Accessory41"/>
    <n v="0.38"/>
    <s v="United States"/>
    <x v="3"/>
    <s v="North Carolina"/>
    <s v="Wilson"/>
    <n v="27893"/>
    <x v="164"/>
    <d v="2015-06-12T00:00:00"/>
    <n v="-60.704000000000001"/>
    <n v="11"/>
    <x v="1546"/>
    <n v="87161"/>
    <x v="1562"/>
  </r>
  <r>
    <n v="22095"/>
    <s v="Low"/>
    <n v="0.09"/>
    <n v="2.16"/>
    <n v="6.05"/>
    <n v="2781"/>
    <s v="Kelly Byers"/>
    <s v="Regular Air"/>
    <s v="Consumer"/>
    <x v="0"/>
    <x v="8"/>
    <s v="Small Box"/>
    <s v="Peel &amp; Stick Add-On Corner Pockets"/>
    <n v="0.37"/>
    <s v="United States"/>
    <x v="0"/>
    <s v="Oregon"/>
    <s v="Woodburn"/>
    <n v="97071"/>
    <x v="70"/>
    <d v="2015-02-04T00:00:00"/>
    <n v="-37.789000000000001"/>
    <n v="2"/>
    <x v="1547"/>
    <n v="87162"/>
    <x v="1563"/>
  </r>
  <r>
    <n v="22096"/>
    <s v="Low"/>
    <n v="0.03"/>
    <n v="808.49"/>
    <n v="55.3"/>
    <n v="2781"/>
    <s v="Kelly Byers"/>
    <s v="Delivery Truck"/>
    <s v="Consumer"/>
    <x v="2"/>
    <x v="6"/>
    <s v="Jumbo Drum"/>
    <s v="Hewlett-Packard Business Color Inkjet 3000 [N, DTN] Series Printers"/>
    <n v="0.4"/>
    <s v="United States"/>
    <x v="0"/>
    <s v="Oregon"/>
    <s v="Woodburn"/>
    <n v="97071"/>
    <x v="70"/>
    <d v="2015-02-07T00:00:00"/>
    <n v="7576.11"/>
    <n v="11"/>
    <x v="1548"/>
    <n v="87162"/>
    <x v="1564"/>
  </r>
  <r>
    <n v="22097"/>
    <s v="Low"/>
    <n v="0"/>
    <n v="6.48"/>
    <n v="8.19"/>
    <n v="2781"/>
    <s v="Kelly Byers"/>
    <s v="Regular Air"/>
    <s v="Consumer"/>
    <x v="0"/>
    <x v="7"/>
    <s v="Small Box"/>
    <s v="Xerox 217"/>
    <n v="0.37"/>
    <s v="United States"/>
    <x v="0"/>
    <s v="Oregon"/>
    <s v="Woodburn"/>
    <n v="97071"/>
    <x v="70"/>
    <d v="2015-02-07T00:00:00"/>
    <n v="-43.26"/>
    <n v="3"/>
    <x v="1549"/>
    <n v="87162"/>
    <x v="1565"/>
  </r>
  <r>
    <n v="21587"/>
    <s v="Not Specified"/>
    <n v="0.01"/>
    <n v="47.98"/>
    <n v="3.61"/>
    <n v="2787"/>
    <s v="Rodney Kearney"/>
    <s v="Express Air"/>
    <s v="Consumer"/>
    <x v="2"/>
    <x v="13"/>
    <s v="Small Pack"/>
    <s v="DS/HD IBM Formatted Diskettes, 200/Pack - Staples"/>
    <n v="0.71"/>
    <s v="United States"/>
    <x v="3"/>
    <s v="Louisiana"/>
    <s v="Metairie"/>
    <n v="70003"/>
    <x v="14"/>
    <d v="2015-03-13T00:00:00"/>
    <n v="-44.436"/>
    <n v="8"/>
    <x v="1550"/>
    <n v="91316"/>
    <x v="1566"/>
  </r>
  <r>
    <n v="19860"/>
    <s v="Critical"/>
    <n v="0.09"/>
    <n v="2.88"/>
    <n v="0.7"/>
    <n v="2791"/>
    <s v="Dawn Larson"/>
    <s v="Regular Air"/>
    <s v="Corporate"/>
    <x v="0"/>
    <x v="0"/>
    <s v="Wrap Bag"/>
    <s v="Newell 346"/>
    <n v="0.56000000000000005"/>
    <s v="United States"/>
    <x v="2"/>
    <s v="Michigan"/>
    <s v="Madison Heights"/>
    <n v="48071"/>
    <x v="43"/>
    <d v="2015-01-15T00:00:00"/>
    <n v="4.8499999999999996"/>
    <n v="7"/>
    <x v="1551"/>
    <n v="88758"/>
    <x v="1567"/>
  </r>
  <r>
    <n v="18361"/>
    <s v="Medium"/>
    <n v="0.06"/>
    <n v="2.61"/>
    <n v="0.5"/>
    <n v="2794"/>
    <s v="Connie Bunn"/>
    <s v="Regular Air"/>
    <s v="Corporate"/>
    <x v="0"/>
    <x v="9"/>
    <s v="Small Box"/>
    <s v="Avery 479"/>
    <n v="0.39"/>
    <s v="United States"/>
    <x v="2"/>
    <s v="Iowa"/>
    <s v="Marshalltown"/>
    <n v="50158"/>
    <x v="80"/>
    <d v="2015-03-22T00:00:00"/>
    <n v="3.5949"/>
    <n v="2"/>
    <x v="1552"/>
    <n v="87554"/>
    <x v="1568"/>
  </r>
  <r>
    <n v="18895"/>
    <s v="High"/>
    <n v="7.0000000000000007E-2"/>
    <n v="4.76"/>
    <n v="0.88"/>
    <n v="2794"/>
    <s v="Connie Bunn"/>
    <s v="Regular Air"/>
    <s v="Corporate"/>
    <x v="0"/>
    <x v="7"/>
    <s v="Wrap Bag"/>
    <s v="Wirebound Voice Message Log Book"/>
    <n v="0.39"/>
    <s v="United States"/>
    <x v="2"/>
    <s v="Iowa"/>
    <s v="Marshalltown"/>
    <n v="50158"/>
    <x v="31"/>
    <d v="2015-06-07T00:00:00"/>
    <n v="15.8148"/>
    <n v="5"/>
    <x v="1553"/>
    <n v="87555"/>
    <x v="1569"/>
  </r>
  <r>
    <n v="19486"/>
    <s v="Low"/>
    <n v="0.04"/>
    <n v="3.57"/>
    <n v="4.17"/>
    <n v="2795"/>
    <s v="Harry Burns"/>
    <s v="Regular Air"/>
    <s v="Corporate"/>
    <x v="0"/>
    <x v="0"/>
    <s v="Small Pack"/>
    <s v="Barrel Sharpener"/>
    <n v="0.59"/>
    <s v="United States"/>
    <x v="2"/>
    <s v="Iowa"/>
    <s v="Mason City"/>
    <n v="50401"/>
    <x v="161"/>
    <d v="2015-01-28T00:00:00"/>
    <n v="-69.91"/>
    <n v="8"/>
    <x v="1554"/>
    <n v="87556"/>
    <x v="1570"/>
  </r>
  <r>
    <n v="19487"/>
    <s v="Low"/>
    <n v="0.05"/>
    <n v="200.99"/>
    <n v="4.2"/>
    <n v="2795"/>
    <s v="Harry Burns"/>
    <s v="Regular Air"/>
    <s v="Corporate"/>
    <x v="2"/>
    <x v="5"/>
    <s v="Small Box"/>
    <s v="2160i"/>
    <n v="0.59"/>
    <s v="United States"/>
    <x v="2"/>
    <s v="Iowa"/>
    <s v="Mason City"/>
    <n v="50401"/>
    <x v="161"/>
    <d v="2015-01-30T00:00:00"/>
    <n v="1630.5252"/>
    <n v="14"/>
    <x v="1555"/>
    <n v="87556"/>
    <x v="1571"/>
  </r>
  <r>
    <n v="19488"/>
    <s v="Low"/>
    <n v="7.0000000000000007E-2"/>
    <n v="195.99"/>
    <n v="8.99"/>
    <n v="2795"/>
    <s v="Harry Burns"/>
    <s v="Regular Air"/>
    <s v="Corporate"/>
    <x v="2"/>
    <x v="5"/>
    <s v="Small Box"/>
    <s v="A1228"/>
    <n v="0.57999999999999996"/>
    <s v="United States"/>
    <x v="2"/>
    <s v="Iowa"/>
    <s v="Mason City"/>
    <n v="50401"/>
    <x v="161"/>
    <d v="2015-01-26T00:00:00"/>
    <n v="-457.16"/>
    <n v="2"/>
    <x v="1556"/>
    <n v="87556"/>
    <x v="1572"/>
  </r>
  <r>
    <n v="23351"/>
    <s v="Medium"/>
    <n v="0.02"/>
    <n v="30.44"/>
    <n v="1.49"/>
    <n v="2796"/>
    <s v="Cindy McLeod"/>
    <s v="Regular Air"/>
    <s v="Corporate"/>
    <x v="0"/>
    <x v="8"/>
    <s v="Small Box"/>
    <s v="Premier Elliptical Ring Binder, Black"/>
    <n v="0.37"/>
    <s v="United States"/>
    <x v="2"/>
    <s v="Iowa"/>
    <s v="Sioux City"/>
    <n v="51106"/>
    <x v="72"/>
    <d v="2015-01-23T00:00:00"/>
    <n v="266.76089999999999"/>
    <n v="12"/>
    <x v="1557"/>
    <n v="87553"/>
    <x v="1573"/>
  </r>
  <r>
    <n v="22787"/>
    <s v="Medium"/>
    <n v="0"/>
    <n v="5.0199999999999996"/>
    <n v="5.14"/>
    <n v="2797"/>
    <s v="Cameron Kendall"/>
    <s v="Regular Air"/>
    <s v="Consumer"/>
    <x v="2"/>
    <x v="13"/>
    <s v="Small Pack"/>
    <s v="Imation 3.5, DISKETTE 44766 HGHLD3.52HD/FM, 10/Pack"/>
    <n v="0.79"/>
    <s v="United States"/>
    <x v="1"/>
    <s v="Pennsylvania"/>
    <s v="Pittsburgh"/>
    <n v="15122"/>
    <x v="56"/>
    <d v="2015-01-11T00:00:00"/>
    <n v="-159.30279999999999"/>
    <n v="8"/>
    <x v="1558"/>
    <n v="87552"/>
    <x v="1574"/>
  </r>
  <r>
    <n v="23350"/>
    <s v="Medium"/>
    <n v="0.02"/>
    <n v="4.91"/>
    <n v="0.5"/>
    <n v="2797"/>
    <s v="Cameron Kendall"/>
    <s v="Regular Air"/>
    <s v="Corporate"/>
    <x v="0"/>
    <x v="9"/>
    <s v="Small Box"/>
    <s v="Avery 508"/>
    <n v="0.36"/>
    <s v="United States"/>
    <x v="1"/>
    <s v="Pennsylvania"/>
    <s v="Pittsburgh"/>
    <n v="15122"/>
    <x v="72"/>
    <d v="2015-01-22T00:00:00"/>
    <n v="29.883900000000001"/>
    <n v="9"/>
    <x v="1559"/>
    <n v="87553"/>
    <x v="1575"/>
  </r>
  <r>
    <n v="20618"/>
    <s v="Low"/>
    <n v="0"/>
    <n v="17.52"/>
    <n v="8.17"/>
    <n v="2801"/>
    <s v="Jimmy Wang"/>
    <s v="Regular Air"/>
    <s v="Home Office"/>
    <x v="0"/>
    <x v="15"/>
    <s v="Medium Box"/>
    <s v="Bionaire 99.97% HEPA Air Cleaner"/>
    <n v="0.5"/>
    <s v="United States"/>
    <x v="0"/>
    <s v="Arizona"/>
    <s v="Chandler"/>
    <n v="85224"/>
    <x v="162"/>
    <d v="2015-07-03T00:00:00"/>
    <n v="52.764000000000003"/>
    <n v="15"/>
    <x v="1560"/>
    <n v="91049"/>
    <x v="1576"/>
  </r>
  <r>
    <n v="18070"/>
    <s v="Medium"/>
    <n v="7.0000000000000007E-2"/>
    <n v="500.98"/>
    <n v="28.14"/>
    <n v="2803"/>
    <s v="Catherine Dorsey Burnett"/>
    <s v="Delivery Truck"/>
    <s v="Small Business"/>
    <x v="2"/>
    <x v="6"/>
    <s v="Jumbo Drum"/>
    <s v="Hewlett-Packard cp1700 [D, PS] Series Color Inkjet Printers"/>
    <n v="0.38"/>
    <s v="United States"/>
    <x v="0"/>
    <s v="California"/>
    <s v="East Los Angeles"/>
    <n v="90022"/>
    <x v="64"/>
    <d v="2015-02-06T00:00:00"/>
    <n v="2699.9838"/>
    <n v="10"/>
    <x v="1561"/>
    <n v="86227"/>
    <x v="1577"/>
  </r>
  <r>
    <n v="18071"/>
    <s v="Medium"/>
    <n v="0.1"/>
    <n v="178.47"/>
    <n v="19.989999999999998"/>
    <n v="2803"/>
    <s v="Catherine Dorsey Burnett"/>
    <s v="Regular Air"/>
    <s v="Small Business"/>
    <x v="0"/>
    <x v="10"/>
    <s v="Small Box"/>
    <s v="Hot File® 7-Pocket, Floor Stand"/>
    <n v="0.55000000000000004"/>
    <s v="United States"/>
    <x v="0"/>
    <s v="California"/>
    <s v="East Los Angeles"/>
    <n v="90022"/>
    <x v="64"/>
    <d v="2015-02-07T00:00:00"/>
    <n v="-170.98"/>
    <n v="1"/>
    <x v="1562"/>
    <n v="86227"/>
    <x v="1578"/>
  </r>
  <r>
    <n v="24604"/>
    <s v="Medium"/>
    <n v="7.0000000000000007E-2"/>
    <n v="30.56"/>
    <n v="2.99"/>
    <n v="2813"/>
    <s v="Marjorie Burnette"/>
    <s v="Regular Air"/>
    <s v="Corporate"/>
    <x v="0"/>
    <x v="8"/>
    <s v="Small Box"/>
    <s v="Surelock™ Post Binders"/>
    <n v="0.35"/>
    <s v="United States"/>
    <x v="3"/>
    <s v="Tennessee"/>
    <s v="Cleveland"/>
    <n v="37311"/>
    <x v="131"/>
    <d v="2015-02-07T00:00:00"/>
    <n v="-95.618600000000001"/>
    <n v="12"/>
    <x v="1563"/>
    <n v="88819"/>
    <x v="1579"/>
  </r>
  <r>
    <n v="24044"/>
    <s v="High"/>
    <n v="0.05"/>
    <n v="4.71"/>
    <n v="0.7"/>
    <n v="2817"/>
    <s v="Paul W French"/>
    <s v="Express Air"/>
    <s v="Corporate"/>
    <x v="0"/>
    <x v="3"/>
    <s v="Wrap Bag"/>
    <s v="Plymouth Boxed Rubber Bands by Plymouth"/>
    <n v="0.8"/>
    <s v="United States"/>
    <x v="1"/>
    <s v="Ohio"/>
    <s v="Newark"/>
    <n v="43055"/>
    <x v="144"/>
    <d v="2015-06-02T00:00:00"/>
    <n v="-2.3759999999999999"/>
    <n v="2"/>
    <x v="1564"/>
    <n v="89743"/>
    <x v="1580"/>
  </r>
  <r>
    <n v="24045"/>
    <s v="High"/>
    <n v="0.04"/>
    <n v="55.99"/>
    <n v="1.25"/>
    <n v="2817"/>
    <s v="Paul W French"/>
    <s v="Express Air"/>
    <s v="Corporate"/>
    <x v="2"/>
    <x v="5"/>
    <s v="Small Pack"/>
    <s v="Accessory32"/>
    <n v="0.35"/>
    <s v="United States"/>
    <x v="1"/>
    <s v="Ohio"/>
    <s v="Newark"/>
    <n v="43055"/>
    <x v="144"/>
    <d v="2015-06-02T00:00:00"/>
    <n v="-18.3216"/>
    <n v="3"/>
    <x v="1565"/>
    <n v="89743"/>
    <x v="1581"/>
  </r>
  <r>
    <n v="24373"/>
    <s v="Low"/>
    <n v="0.08"/>
    <n v="6.48"/>
    <n v="2.74"/>
    <n v="2820"/>
    <s v="Laurence Simon"/>
    <s v="Regular Air"/>
    <s v="Home Office"/>
    <x v="2"/>
    <x v="13"/>
    <s v="Small Pack"/>
    <s v="Sony MFD2HD Formatted Diskettes, 10/Pack"/>
    <n v="0.71"/>
    <s v="United States"/>
    <x v="2"/>
    <s v="Missouri"/>
    <s v="Oakville"/>
    <n v="63129"/>
    <x v="16"/>
    <d v="2015-05-12T00:00:00"/>
    <n v="-82.64"/>
    <n v="18"/>
    <x v="1566"/>
    <n v="87899"/>
    <x v="1582"/>
  </r>
  <r>
    <n v="24746"/>
    <s v="Not Specified"/>
    <n v="0.1"/>
    <n v="22.01"/>
    <n v="5.53"/>
    <n v="2820"/>
    <s v="Laurence Simon"/>
    <s v="Regular Air"/>
    <s v="Home Office"/>
    <x v="0"/>
    <x v="0"/>
    <s v="Small Pack"/>
    <s v="Boston 16801 Nautilus™ Battery Pencil Sharpener"/>
    <n v="0.59"/>
    <s v="United States"/>
    <x v="2"/>
    <s v="Missouri"/>
    <s v="Oakville"/>
    <n v="63129"/>
    <x v="101"/>
    <d v="2015-01-15T00:00:00"/>
    <n v="31.59"/>
    <n v="14"/>
    <x v="1567"/>
    <n v="87900"/>
    <x v="1583"/>
  </r>
  <r>
    <n v="23803"/>
    <s v="Low"/>
    <n v="0.02"/>
    <n v="21.98"/>
    <n v="2.87"/>
    <n v="2823"/>
    <s v="Max Hurley"/>
    <s v="Regular Air"/>
    <s v="Corporate"/>
    <x v="0"/>
    <x v="0"/>
    <s v="Small Pack"/>
    <s v="Panasonic KP-310 Heavy-Duty Electric Pencil Sharpener"/>
    <n v="0.55000000000000004"/>
    <s v="United States"/>
    <x v="0"/>
    <s v="Nevada"/>
    <s v="North Las Vegas"/>
    <n v="89031"/>
    <x v="122"/>
    <d v="2015-05-02T00:00:00"/>
    <n v="165.6345"/>
    <n v="11"/>
    <x v="1568"/>
    <n v="87240"/>
    <x v="1584"/>
  </r>
  <r>
    <n v="22660"/>
    <s v="Low"/>
    <n v="0.02"/>
    <n v="27.48"/>
    <n v="4"/>
    <n v="2825"/>
    <s v="Carole Rosen"/>
    <s v="Regular Air"/>
    <s v="Consumer"/>
    <x v="2"/>
    <x v="13"/>
    <s v="Small Box"/>
    <s v="Belkin MediaBoard 104- Keyboard"/>
    <n v="0.75"/>
    <s v="United States"/>
    <x v="0"/>
    <s v="Idaho"/>
    <s v="Boise"/>
    <n v="83701"/>
    <x v="135"/>
    <d v="2015-05-27T00:00:00"/>
    <n v="19.308"/>
    <n v="3"/>
    <x v="1569"/>
    <n v="89497"/>
    <x v="1585"/>
  </r>
  <r>
    <n v="22661"/>
    <s v="Low"/>
    <n v="0.08"/>
    <n v="10.06"/>
    <n v="2.06"/>
    <n v="2825"/>
    <s v="Carole Rosen"/>
    <s v="Regular Air"/>
    <s v="Consumer"/>
    <x v="0"/>
    <x v="7"/>
    <s v="Wrap Bag"/>
    <s v="Riverleaf Stik-Withit® Designer Note Cubes®"/>
    <n v="0.39"/>
    <s v="United States"/>
    <x v="0"/>
    <s v="Idaho"/>
    <s v="Boise"/>
    <n v="83701"/>
    <x v="135"/>
    <d v="2015-05-24T00:00:00"/>
    <n v="0.33"/>
    <n v="4"/>
    <x v="1570"/>
    <n v="89497"/>
    <x v="1586"/>
  </r>
  <r>
    <n v="24607"/>
    <s v="High"/>
    <n v="0.05"/>
    <n v="11.29"/>
    <n v="5.03"/>
    <n v="2828"/>
    <s v="Monica Howard"/>
    <s v="Regular Air"/>
    <s v="Corporate"/>
    <x v="0"/>
    <x v="10"/>
    <s v="Small Box"/>
    <s v="X-Rack™ File for Hanging Folders"/>
    <n v="0.59"/>
    <s v="United States"/>
    <x v="0"/>
    <s v="California"/>
    <s v="El Centro"/>
    <n v="92243"/>
    <x v="153"/>
    <d v="2015-02-21T00:00:00"/>
    <n v="-35.26"/>
    <n v="8"/>
    <x v="1571"/>
    <n v="87720"/>
    <x v="1587"/>
  </r>
  <r>
    <n v="23431"/>
    <s v="Medium"/>
    <n v="7.0000000000000007E-2"/>
    <n v="39.479999999999997"/>
    <n v="1.99"/>
    <n v="2828"/>
    <s v="Monica Howard"/>
    <s v="Regular Air"/>
    <s v="Corporate"/>
    <x v="2"/>
    <x v="13"/>
    <s v="Small Pack"/>
    <s v="80 Minute CD-R Spindle, 100/Pack - Staples"/>
    <n v="0.54"/>
    <s v="United States"/>
    <x v="0"/>
    <s v="California"/>
    <s v="El Centro"/>
    <n v="92243"/>
    <x v="144"/>
    <d v="2015-06-02T00:00:00"/>
    <n v="322.25069999999999"/>
    <n v="12"/>
    <x v="1572"/>
    <n v="87721"/>
    <x v="1588"/>
  </r>
  <r>
    <n v="20594"/>
    <s v="Not Specified"/>
    <n v="0.03"/>
    <n v="140.97999999999999"/>
    <n v="36.090000000000003"/>
    <n v="2833"/>
    <s v="Tim Connolly"/>
    <s v="Delivery Truck"/>
    <s v="Small Business"/>
    <x v="1"/>
    <x v="14"/>
    <s v="Jumbo Box"/>
    <s v="Sauder Forest Hills Library, Woodland Oak Finish"/>
    <n v="0.77"/>
    <s v="United States"/>
    <x v="2"/>
    <s v="Minnesota"/>
    <s v="Inver Grove Heights"/>
    <n v="55076"/>
    <x v="78"/>
    <d v="2015-03-27T00:00:00"/>
    <n v="-221.5"/>
    <n v="4"/>
    <x v="1573"/>
    <n v="91030"/>
    <x v="1589"/>
  </r>
  <r>
    <n v="20595"/>
    <s v="Not Specified"/>
    <n v="0.08"/>
    <n v="65.989999999999995"/>
    <n v="8.99"/>
    <n v="2833"/>
    <s v="Tim Connolly"/>
    <s v="Regular Air"/>
    <s v="Small Business"/>
    <x v="2"/>
    <x v="5"/>
    <s v="Small Box"/>
    <s v="Talkabout T8367"/>
    <n v="0.56000000000000005"/>
    <s v="United States"/>
    <x v="2"/>
    <s v="Minnesota"/>
    <s v="Inver Grove Heights"/>
    <n v="55076"/>
    <x v="78"/>
    <d v="2015-03-26T00:00:00"/>
    <n v="206.352"/>
    <n v="15"/>
    <x v="1574"/>
    <n v="91030"/>
    <x v="1590"/>
  </r>
  <r>
    <n v="19191"/>
    <s v="High"/>
    <n v="7.0000000000000007E-2"/>
    <n v="51.98"/>
    <n v="10.17"/>
    <n v="2837"/>
    <s v="Leslie Hawley"/>
    <s v="Regular Air"/>
    <s v="Home Office"/>
    <x v="2"/>
    <x v="6"/>
    <s v="Medium Box"/>
    <s v="Canon MP25DIII Desktop Whisper-Quiet Printing Calculator"/>
    <n v="0.37"/>
    <s v="United States"/>
    <x v="2"/>
    <s v="Oklahoma"/>
    <s v="Tulsa"/>
    <n v="74133"/>
    <x v="129"/>
    <d v="2015-03-10T00:00:00"/>
    <n v="439.78530000000001"/>
    <n v="13"/>
    <x v="1575"/>
    <n v="89801"/>
    <x v="1591"/>
  </r>
  <r>
    <n v="19192"/>
    <s v="High"/>
    <n v="0.1"/>
    <n v="80.97"/>
    <n v="33.6"/>
    <n v="2837"/>
    <s v="Leslie Hawley"/>
    <s v="Delivery Truck"/>
    <s v="Home Office"/>
    <x v="2"/>
    <x v="6"/>
    <s v="Jumbo Drum"/>
    <s v="Lexmark Z25 Color Inkjet Printer"/>
    <n v="0.37"/>
    <s v="United States"/>
    <x v="2"/>
    <s v="Oklahoma"/>
    <s v="Tulsa"/>
    <n v="74133"/>
    <x v="129"/>
    <d v="2015-03-11T00:00:00"/>
    <n v="-149.4573"/>
    <n v="3"/>
    <x v="1576"/>
    <n v="89801"/>
    <x v="1592"/>
  </r>
  <r>
    <n v="18416"/>
    <s v="High"/>
    <n v="0"/>
    <n v="21.98"/>
    <n v="2.87"/>
    <n v="2840"/>
    <s v="Bob Berg"/>
    <s v="Regular Air"/>
    <s v="Corporate"/>
    <x v="0"/>
    <x v="0"/>
    <s v="Small Pack"/>
    <s v="Panasonic KP-310 Heavy-Duty Electric Pencil Sharpener"/>
    <n v="0.55000000000000004"/>
    <s v="United States"/>
    <x v="3"/>
    <s v="Florida"/>
    <s v="North Miami"/>
    <n v="33161"/>
    <x v="91"/>
    <d v="2015-03-20T00:00:00"/>
    <n v="21.096"/>
    <n v="16"/>
    <x v="1577"/>
    <n v="87884"/>
    <x v="1593"/>
  </r>
  <r>
    <n v="18419"/>
    <s v="Medium"/>
    <n v="0.05"/>
    <n v="15.68"/>
    <n v="3.73"/>
    <n v="2840"/>
    <s v="Bob Berg"/>
    <s v="Regular Air"/>
    <s v="Corporate"/>
    <x v="1"/>
    <x v="2"/>
    <s v="Small Pack"/>
    <s v="Artistic Insta-Plaque"/>
    <n v="0.46"/>
    <s v="United States"/>
    <x v="3"/>
    <s v="Florida"/>
    <s v="North Miami"/>
    <n v="33161"/>
    <x v="164"/>
    <d v="2015-06-13T00:00:00"/>
    <n v="1166.6279999999999"/>
    <n v="17"/>
    <x v="1578"/>
    <n v="87885"/>
    <x v="1594"/>
  </r>
  <r>
    <n v="18420"/>
    <s v="Medium"/>
    <n v="0"/>
    <n v="14.98"/>
    <n v="8.99"/>
    <n v="2840"/>
    <s v="Bob Berg"/>
    <s v="Regular Air"/>
    <s v="Corporate"/>
    <x v="1"/>
    <x v="2"/>
    <s v="Small Pack"/>
    <s v="GE 4 Foot Flourescent Tube, 40 Watt"/>
    <n v="0.39"/>
    <s v="United States"/>
    <x v="3"/>
    <s v="Florida"/>
    <s v="North Miami"/>
    <n v="33161"/>
    <x v="164"/>
    <d v="2015-06-12T00:00:00"/>
    <n v="-40.604199999999999"/>
    <n v="18"/>
    <x v="1579"/>
    <n v="87885"/>
    <x v="1595"/>
  </r>
  <r>
    <n v="18421"/>
    <s v="Medium"/>
    <n v="0.02"/>
    <n v="38.76"/>
    <n v="13.26"/>
    <n v="2840"/>
    <s v="Bob Berg"/>
    <s v="Regular Air"/>
    <s v="Corporate"/>
    <x v="0"/>
    <x v="7"/>
    <s v="Small Box"/>
    <s v="Xerox 1892"/>
    <n v="0.36"/>
    <s v="United States"/>
    <x v="3"/>
    <s v="Florida"/>
    <s v="North Miami"/>
    <n v="33161"/>
    <x v="164"/>
    <d v="2015-06-12T00:00:00"/>
    <n v="-294.084"/>
    <n v="1"/>
    <x v="1580"/>
    <n v="87885"/>
    <x v="1596"/>
  </r>
  <r>
    <n v="21855"/>
    <s v="Not Specified"/>
    <n v="0.04"/>
    <n v="90.48"/>
    <n v="19.989999999999998"/>
    <n v="2847"/>
    <s v="Vanessa Day"/>
    <s v="Regular Air"/>
    <s v="Corporate"/>
    <x v="0"/>
    <x v="4"/>
    <s v="Small Box"/>
    <s v="Tyvek® Side-Opening Peel &amp; Seel® Expanding Envelopes"/>
    <n v="0.4"/>
    <s v="United States"/>
    <x v="3"/>
    <s v="Tennessee"/>
    <s v="Collierville"/>
    <n v="38017"/>
    <x v="37"/>
    <d v="2015-04-11T00:00:00"/>
    <n v="55.555199999999999"/>
    <n v="3"/>
    <x v="1581"/>
    <n v="85928"/>
    <x v="1597"/>
  </r>
  <r>
    <n v="21856"/>
    <s v="Not Specified"/>
    <n v="0.02"/>
    <n v="9.77"/>
    <n v="6.02"/>
    <n v="2847"/>
    <s v="Vanessa Day"/>
    <s v="Regular Air"/>
    <s v="Corporate"/>
    <x v="1"/>
    <x v="2"/>
    <s v="Medium Box"/>
    <s v="DAX Solid Wood Frames"/>
    <n v="0.48"/>
    <s v="United States"/>
    <x v="3"/>
    <s v="Tennessee"/>
    <s v="Collierville"/>
    <n v="38017"/>
    <x v="37"/>
    <d v="2015-04-10T00:00:00"/>
    <n v="-535.33199999999999"/>
    <n v="9"/>
    <x v="1582"/>
    <n v="85928"/>
    <x v="1598"/>
  </r>
  <r>
    <n v="21857"/>
    <s v="Not Specified"/>
    <n v="0.09"/>
    <n v="34.99"/>
    <n v="7.73"/>
    <n v="2847"/>
    <s v="Vanessa Day"/>
    <s v="Regular Air"/>
    <s v="Corporate"/>
    <x v="0"/>
    <x v="0"/>
    <s v="Small Box"/>
    <s v="Hunt Boston® Vacuum Mount KS Pencil Sharpener"/>
    <n v="0.59"/>
    <s v="United States"/>
    <x v="3"/>
    <s v="Tennessee"/>
    <s v="Collierville"/>
    <n v="38017"/>
    <x v="37"/>
    <d v="2015-04-11T00:00:00"/>
    <n v="-208.72040000000001"/>
    <n v="1"/>
    <x v="1583"/>
    <n v="85928"/>
    <x v="1599"/>
  </r>
  <r>
    <n v="24455"/>
    <s v="Medium"/>
    <n v="0"/>
    <n v="49.99"/>
    <n v="19.989999999999998"/>
    <n v="2848"/>
    <s v="Eileen Dalton"/>
    <s v="Regular Air"/>
    <s v="Corporate"/>
    <x v="2"/>
    <x v="13"/>
    <s v="Small Box"/>
    <s v="Zoom V.92 USB External Faxmodem"/>
    <n v="0.41"/>
    <s v="United States"/>
    <x v="3"/>
    <s v="Tennessee"/>
    <s v="Columbia"/>
    <n v="38401"/>
    <x v="132"/>
    <d v="2015-06-08T00:00:00"/>
    <n v="38.886000000000003"/>
    <n v="16"/>
    <x v="1584"/>
    <n v="85929"/>
    <x v="1600"/>
  </r>
  <r>
    <n v="23622"/>
    <s v="Low"/>
    <n v="0.05"/>
    <n v="115.99"/>
    <n v="8.99"/>
    <n v="2851"/>
    <s v="Annie Sherrill"/>
    <s v="Regular Air"/>
    <s v="Consumer"/>
    <x v="2"/>
    <x v="5"/>
    <s v="Small Box"/>
    <n v="5185"/>
    <n v="0.57999999999999996"/>
    <s v="United States"/>
    <x v="2"/>
    <s v="Texas"/>
    <s v="Odessa"/>
    <n v="79762"/>
    <x v="37"/>
    <d v="2015-04-13T00:00:00"/>
    <n v="719.35260000000005"/>
    <n v="11"/>
    <x v="1585"/>
    <n v="86454"/>
    <x v="1601"/>
  </r>
  <r>
    <n v="23042"/>
    <s v="Medium"/>
    <n v="0.08"/>
    <n v="7.84"/>
    <n v="4.71"/>
    <n v="2855"/>
    <s v="Vicki Womble"/>
    <s v="Regular Air"/>
    <s v="Corporate"/>
    <x v="0"/>
    <x v="8"/>
    <s v="Small Box"/>
    <s v="XtraLife® ClearVue™ Slant-D® Ring Binders by Cardinal"/>
    <n v="0.35"/>
    <s v="United States"/>
    <x v="0"/>
    <s v="Washington"/>
    <s v="Des Moines"/>
    <n v="98198"/>
    <x v="72"/>
    <d v="2015-01-22T00:00:00"/>
    <n v="-12.87678"/>
    <n v="10"/>
    <x v="1586"/>
    <n v="87316"/>
    <x v="1602"/>
  </r>
  <r>
    <n v="23043"/>
    <s v="Medium"/>
    <n v="0.03"/>
    <n v="105.34"/>
    <n v="24.49"/>
    <n v="2855"/>
    <s v="Vicki Womble"/>
    <s v="Regular Air"/>
    <s v="Corporate"/>
    <x v="1"/>
    <x v="2"/>
    <s v="Large Box"/>
    <s v="Deflect-o DuraMat Antistatic Studded Beveled Mat for Medium Pile Carpeting"/>
    <n v="0.61"/>
    <s v="United States"/>
    <x v="0"/>
    <s v="Washington"/>
    <s v="Des Moines"/>
    <n v="98198"/>
    <x v="72"/>
    <d v="2015-01-22T00:00:00"/>
    <n v="618.13080000000002"/>
    <n v="10"/>
    <x v="1587"/>
    <n v="87316"/>
    <x v="1603"/>
  </r>
  <r>
    <n v="23213"/>
    <s v="Low"/>
    <n v="0.09"/>
    <n v="6783.02"/>
    <n v="24.49"/>
    <n v="2855"/>
    <s v="Vicki Womble"/>
    <s v="Regular Air"/>
    <s v="Consumer"/>
    <x v="2"/>
    <x v="6"/>
    <s v="Large Box"/>
    <s v="Polycom ViewStation™ ISDN Videoconferencing Unit"/>
    <n v="0.39"/>
    <s v="United States"/>
    <x v="0"/>
    <s v="Washington"/>
    <s v="Des Moines"/>
    <n v="98198"/>
    <x v="17"/>
    <d v="2015-03-14T00:00:00"/>
    <n v="-14140.7016"/>
    <n v="1"/>
    <x v="1588"/>
    <n v="87317"/>
    <x v="1604"/>
  </r>
  <r>
    <n v="18516"/>
    <s v="Medium"/>
    <n v="0.06"/>
    <n v="2.94"/>
    <n v="0.96"/>
    <n v="2858"/>
    <s v="Jerry Webster"/>
    <s v="Regular Air"/>
    <s v="Corporate"/>
    <x v="0"/>
    <x v="0"/>
    <s v="Wrap Bag"/>
    <s v="Newell 343"/>
    <n v="0.57999999999999996"/>
    <s v="United States"/>
    <x v="3"/>
    <s v="Florida"/>
    <s v="Fruit Cove"/>
    <n v="32259"/>
    <x v="28"/>
    <d v="2015-05-18T00:00:00"/>
    <n v="-8.8759999999999994"/>
    <n v="3"/>
    <x v="1589"/>
    <n v="88279"/>
    <x v="1605"/>
  </r>
  <r>
    <n v="18506"/>
    <s v="Low"/>
    <n v="0.04"/>
    <n v="67.28"/>
    <n v="19.989999999999998"/>
    <n v="2858"/>
    <s v="Jerry Webster"/>
    <s v="Regular Air"/>
    <s v="Corporate"/>
    <x v="0"/>
    <x v="8"/>
    <s v="Small Box"/>
    <s v="Catalog Binders with Expanding Posts"/>
    <n v="0.4"/>
    <s v="United States"/>
    <x v="3"/>
    <s v="Florida"/>
    <s v="Fruit Cove"/>
    <n v="32259"/>
    <x v="94"/>
    <d v="2015-05-28T00:00:00"/>
    <n v="14.754"/>
    <n v="30"/>
    <x v="1590"/>
    <n v="88282"/>
    <x v="1606"/>
  </r>
  <r>
    <n v="18507"/>
    <s v="Low"/>
    <n v="0.1"/>
    <n v="130.97999999999999"/>
    <n v="54.74"/>
    <n v="2858"/>
    <s v="Jerry Webster"/>
    <s v="Delivery Truck"/>
    <s v="Corporate"/>
    <x v="1"/>
    <x v="14"/>
    <s v="Jumbo Box"/>
    <s v="O'Sullivan Elevations Bookcase, Cherry Finish"/>
    <n v="0.69"/>
    <s v="United States"/>
    <x v="3"/>
    <s v="Florida"/>
    <s v="Fruit Cove"/>
    <n v="32259"/>
    <x v="94"/>
    <d v="2015-05-23T00:00:00"/>
    <n v="669.61199999999997"/>
    <n v="42"/>
    <x v="1591"/>
    <n v="88282"/>
    <x v="1607"/>
  </r>
  <r>
    <n v="18508"/>
    <s v="Low"/>
    <n v="0.04"/>
    <n v="2.78"/>
    <n v="1.25"/>
    <n v="2858"/>
    <s v="Jerry Webster"/>
    <s v="Regular Air"/>
    <s v="Corporate"/>
    <x v="0"/>
    <x v="0"/>
    <s v="Wrap Bag"/>
    <s v="Newell 318"/>
    <n v="0.59"/>
    <s v="United States"/>
    <x v="3"/>
    <s v="Florida"/>
    <s v="Fruit Cove"/>
    <n v="32259"/>
    <x v="94"/>
    <d v="2015-05-23T00:00:00"/>
    <n v="213"/>
    <n v="28"/>
    <x v="1592"/>
    <n v="88282"/>
    <x v="1608"/>
  </r>
  <r>
    <n v="20270"/>
    <s v="Not Specified"/>
    <n v="0.03"/>
    <n v="142.86000000000001"/>
    <n v="19.989999999999998"/>
    <n v="2859"/>
    <s v="Brad H Blake"/>
    <s v="Regular Air"/>
    <s v="Corporate"/>
    <x v="0"/>
    <x v="10"/>
    <s v="Small Box"/>
    <s v="Letter Size Cart"/>
    <n v="0.56000000000000005"/>
    <s v="United States"/>
    <x v="3"/>
    <s v="Florida"/>
    <s v="Gainesville"/>
    <n v="32601"/>
    <x v="113"/>
    <d v="2015-04-03T00:00:00"/>
    <n v="-8.3880999999999997"/>
    <n v="23"/>
    <x v="1593"/>
    <n v="88281"/>
    <x v="1609"/>
  </r>
  <r>
    <n v="23238"/>
    <s v="Medium"/>
    <n v="0.05"/>
    <n v="20.99"/>
    <n v="4.8099999999999996"/>
    <n v="2861"/>
    <s v="Dwight Robinson"/>
    <s v="Regular Air"/>
    <s v="Corporate"/>
    <x v="2"/>
    <x v="5"/>
    <s v="Medium Box"/>
    <s v="1726 Digital Answering Machine"/>
    <n v="0.57999999999999996"/>
    <s v="United States"/>
    <x v="2"/>
    <s v="Kansas"/>
    <s v="Hays"/>
    <n v="67601"/>
    <x v="136"/>
    <d v="2015-02-28T00:00:00"/>
    <n v="4.9017600000000003"/>
    <n v="11"/>
    <x v="1594"/>
    <n v="88280"/>
    <x v="1610"/>
  </r>
  <r>
    <n v="25932"/>
    <s v="High"/>
    <n v="0"/>
    <n v="12.22"/>
    <n v="2.85"/>
    <n v="2862"/>
    <s v="Carrie High"/>
    <s v="Regular Air"/>
    <s v="Corporate"/>
    <x v="1"/>
    <x v="2"/>
    <s v="Small Pack"/>
    <s v="Aluminum Document Frame"/>
    <n v="0.55000000000000004"/>
    <s v="United States"/>
    <x v="2"/>
    <s v="Nebraska"/>
    <s v="La Vista"/>
    <n v="68128"/>
    <x v="86"/>
    <d v="2015-04-12T00:00:00"/>
    <n v="76.389899999999997"/>
    <n v="9"/>
    <x v="1595"/>
    <n v="88278"/>
    <x v="1611"/>
  </r>
  <r>
    <n v="23136"/>
    <s v="Critical"/>
    <n v="0.01"/>
    <n v="13.79"/>
    <n v="8.7799999999999994"/>
    <n v="2865"/>
    <s v="Roberta Mitchell"/>
    <s v="Regular Air"/>
    <s v="Corporate"/>
    <x v="1"/>
    <x v="2"/>
    <s v="Small Box"/>
    <s v="9-3/4 Diameter Round Wall Clock"/>
    <n v="0.43"/>
    <s v="United States"/>
    <x v="2"/>
    <s v="Texas"/>
    <s v="Paris"/>
    <n v="75460"/>
    <x v="67"/>
    <d v="2015-02-25T00:00:00"/>
    <n v="-36.770000000000003"/>
    <n v="4"/>
    <x v="1596"/>
    <n v="90871"/>
    <x v="1612"/>
  </r>
  <r>
    <n v="23137"/>
    <s v="Critical"/>
    <n v="0.04"/>
    <n v="33.29"/>
    <n v="8.74"/>
    <n v="2865"/>
    <s v="Roberta Mitchell"/>
    <s v="Regular Air"/>
    <s v="Corporate"/>
    <x v="0"/>
    <x v="10"/>
    <s v="Small Box"/>
    <s v="Fellowes Bases and Tops For Staxonsteel®/High-Stak® Systems"/>
    <n v="0.61"/>
    <s v="United States"/>
    <x v="2"/>
    <s v="Texas"/>
    <s v="Paris"/>
    <n v="75460"/>
    <x v="67"/>
    <d v="2015-02-24T00:00:00"/>
    <n v="87.03"/>
    <n v="8"/>
    <x v="1597"/>
    <n v="90871"/>
    <x v="1613"/>
  </r>
  <r>
    <n v="1529"/>
    <s v="High"/>
    <n v="0.01"/>
    <n v="125.99"/>
    <n v="8.99"/>
    <n v="2867"/>
    <s v="Dana Teague"/>
    <s v="Regular Air"/>
    <s v="Corporate"/>
    <x v="2"/>
    <x v="5"/>
    <s v="Small Box"/>
    <s v="M70"/>
    <n v="0.59"/>
    <s v="United States"/>
    <x v="1"/>
    <s v="District of Columbia"/>
    <s v="Washington"/>
    <n v="20016"/>
    <x v="89"/>
    <d v="2015-04-18T00:00:00"/>
    <n v="-582.64800000000002"/>
    <n v="2"/>
    <x v="1598"/>
    <n v="11013"/>
    <x v="1614"/>
  </r>
  <r>
    <n v="18998"/>
    <s v="High"/>
    <n v="0.03"/>
    <n v="896.99"/>
    <n v="19.989999999999998"/>
    <n v="2868"/>
    <s v="Eugene Clayton"/>
    <s v="Regular Air"/>
    <s v="Corporate"/>
    <x v="0"/>
    <x v="8"/>
    <s v="Small Box"/>
    <s v="GBC DocuBind TL300 Electric Binding System"/>
    <n v="0.38"/>
    <s v="United States"/>
    <x v="0"/>
    <s v="Washington"/>
    <s v="Edmonds"/>
    <n v="98026"/>
    <x v="176"/>
    <d v="2015-01-10T00:00:00"/>
    <n v="3602.1311999999998"/>
    <n v="6"/>
    <x v="1599"/>
    <n v="85826"/>
    <x v="1615"/>
  </r>
  <r>
    <n v="19529"/>
    <s v="High"/>
    <n v="0.01"/>
    <n v="125.99"/>
    <n v="8.99"/>
    <n v="2868"/>
    <s v="Eugene Clayton"/>
    <s v="Regular Air"/>
    <s v="Corporate"/>
    <x v="2"/>
    <x v="5"/>
    <s v="Small Box"/>
    <s v="M70"/>
    <n v="0.59"/>
    <s v="United States"/>
    <x v="0"/>
    <s v="Washington"/>
    <s v="Edmonds"/>
    <n v="98026"/>
    <x v="89"/>
    <d v="2015-04-18T00:00:00"/>
    <n v="-582.64800000000002"/>
    <n v="1"/>
    <x v="1600"/>
    <n v="85827"/>
    <x v="1559"/>
  </r>
  <r>
    <n v="19293"/>
    <s v="Not Specified"/>
    <n v="0.08"/>
    <n v="15.99"/>
    <n v="13.18"/>
    <n v="2868"/>
    <s v="Eugene Clayton"/>
    <s v="Express Air"/>
    <s v="Corporate"/>
    <x v="0"/>
    <x v="8"/>
    <s v="Small Box"/>
    <s v="GBC Pre-Punched Binding Paper, Plastic, White, 8-1/2&quot; x 11&quot;"/>
    <n v="0.37"/>
    <s v="United States"/>
    <x v="0"/>
    <s v="Washington"/>
    <s v="Edmonds"/>
    <n v="98026"/>
    <x v="40"/>
    <d v="2015-05-27T00:00:00"/>
    <n v="-66.584999999999994"/>
    <n v="4"/>
    <x v="1601"/>
    <n v="85828"/>
    <x v="1616"/>
  </r>
  <r>
    <n v="25724"/>
    <s v="Medium"/>
    <n v="7.0000000000000007E-2"/>
    <n v="2.89"/>
    <n v="0.5"/>
    <n v="2873"/>
    <s v="Benjamin Gunter"/>
    <s v="Regular Air"/>
    <s v="Small Business"/>
    <x v="0"/>
    <x v="9"/>
    <s v="Small Box"/>
    <s v="Avery 498"/>
    <n v="0.38"/>
    <s v="United States"/>
    <x v="3"/>
    <s v="Florida"/>
    <s v="Hialeah"/>
    <n v="33012"/>
    <x v="46"/>
    <d v="2015-01-24T00:00:00"/>
    <n v="441.59399999999999"/>
    <n v="12"/>
    <x v="1602"/>
    <n v="89872"/>
    <x v="1617"/>
  </r>
  <r>
    <n v="25725"/>
    <s v="Medium"/>
    <n v="0"/>
    <n v="217.85"/>
    <n v="29.1"/>
    <n v="2873"/>
    <s v="Benjamin Gunter"/>
    <s v="Delivery Truck"/>
    <s v="Small Business"/>
    <x v="1"/>
    <x v="11"/>
    <s v="Jumbo Box"/>
    <s v="Chromcraft Bull-Nose Wood Round Conference Table Top, Wood Base"/>
    <n v="0.68"/>
    <s v="United States"/>
    <x v="3"/>
    <s v="Florida"/>
    <s v="Hialeah"/>
    <n v="33012"/>
    <x v="46"/>
    <d v="2015-01-23T00:00:00"/>
    <n v="394.17"/>
    <n v="10"/>
    <x v="1603"/>
    <n v="89872"/>
    <x v="1618"/>
  </r>
  <r>
    <n v="21768"/>
    <s v="Low"/>
    <n v="0.05"/>
    <n v="4.84"/>
    <n v="0.71"/>
    <n v="2874"/>
    <s v="Marian Willis"/>
    <s v="Regular Air"/>
    <s v="Home Office"/>
    <x v="0"/>
    <x v="0"/>
    <s v="Wrap Bag"/>
    <s v="*Staples* Highlighting Markers"/>
    <n v="0.52"/>
    <s v="United States"/>
    <x v="2"/>
    <s v="Nebraska"/>
    <s v="La Vista"/>
    <n v="68128"/>
    <x v="34"/>
    <d v="2015-04-15T00:00:00"/>
    <n v="13.4481"/>
    <n v="4"/>
    <x v="1604"/>
    <n v="89873"/>
    <x v="1143"/>
  </r>
  <r>
    <n v="19246"/>
    <s v="Critical"/>
    <n v="0.03"/>
    <n v="304.99"/>
    <n v="19.989999999999998"/>
    <n v="2874"/>
    <s v="Marian Willis"/>
    <s v="Regular Air"/>
    <s v="Home Office"/>
    <x v="0"/>
    <x v="8"/>
    <s v="Small Box"/>
    <s v="Ibico Hi-Tech Manual Binding System"/>
    <n v="0.4"/>
    <s v="United States"/>
    <x v="2"/>
    <s v="Nebraska"/>
    <s v="La Vista"/>
    <n v="68128"/>
    <x v="33"/>
    <d v="2015-06-24T00:00:00"/>
    <n v="4033.6089000000002"/>
    <n v="19"/>
    <x v="1605"/>
    <n v="89874"/>
    <x v="1619"/>
  </r>
  <r>
    <n v="19247"/>
    <s v="Critical"/>
    <n v="0.09"/>
    <n v="65.989999999999995"/>
    <n v="8.99"/>
    <n v="2874"/>
    <s v="Marian Willis"/>
    <s v="Regular Air"/>
    <s v="Home Office"/>
    <x v="2"/>
    <x v="5"/>
    <s v="Small Box"/>
    <s v="V 3600 Series"/>
    <n v="0.57999999999999996"/>
    <s v="United States"/>
    <x v="2"/>
    <s v="Nebraska"/>
    <s v="La Vista"/>
    <n v="68128"/>
    <x v="33"/>
    <d v="2015-06-24T00:00:00"/>
    <n v="141.7824"/>
    <n v="12"/>
    <x v="1606"/>
    <n v="89874"/>
    <x v="1620"/>
  </r>
  <r>
    <n v="25599"/>
    <s v="Not Specified"/>
    <n v="0"/>
    <n v="8.33"/>
    <n v="1.99"/>
    <n v="2877"/>
    <s v="Shannon Aldridge"/>
    <s v="Express Air"/>
    <s v="Consumer"/>
    <x v="2"/>
    <x v="13"/>
    <s v="Small Pack"/>
    <s v="80 Minute Slim Jewel Case CD-R , 10/Pack - Staples"/>
    <n v="0.52"/>
    <s v="United States"/>
    <x v="1"/>
    <s v="Ohio"/>
    <s v="North Olmsted"/>
    <n v="44070"/>
    <x v="21"/>
    <d v="2015-03-04T00:00:00"/>
    <n v="74.181899999999999"/>
    <n v="12"/>
    <x v="1607"/>
    <n v="91492"/>
    <x v="1621"/>
  </r>
  <r>
    <n v="7599"/>
    <s v="Not Specified"/>
    <n v="0"/>
    <n v="8.33"/>
    <n v="1.99"/>
    <n v="2878"/>
    <s v="Susan Carroll Berman"/>
    <s v="Express Air"/>
    <s v="Consumer"/>
    <x v="2"/>
    <x v="13"/>
    <s v="Small Pack"/>
    <s v="80 Minute Slim Jewel Case CD-R , 10/Pack - Staples"/>
    <n v="0.52"/>
    <s v="United States"/>
    <x v="0"/>
    <s v="Washington"/>
    <s v="Seattle"/>
    <n v="98107"/>
    <x v="21"/>
    <d v="2015-03-04T00:00:00"/>
    <n v="82.31"/>
    <n v="47"/>
    <x v="1608"/>
    <n v="54369"/>
    <x v="1622"/>
  </r>
  <r>
    <n v="18642"/>
    <s v="Medium"/>
    <n v="0.05"/>
    <n v="6.68"/>
    <n v="6.93"/>
    <n v="2880"/>
    <s v="Grace Black"/>
    <s v="Regular Air"/>
    <s v="Small Business"/>
    <x v="0"/>
    <x v="7"/>
    <s v="Small Box"/>
    <s v="HP Office Paper (20Lb. and 87 Bright)"/>
    <n v="0.37"/>
    <s v="United States"/>
    <x v="3"/>
    <s v="Florida"/>
    <s v="North Miami Beach"/>
    <n v="33160"/>
    <x v="145"/>
    <d v="2015-03-29T00:00:00"/>
    <n v="-2.3519999999999999"/>
    <n v="11"/>
    <x v="1609"/>
    <n v="88626"/>
    <x v="1623"/>
  </r>
  <r>
    <n v="20315"/>
    <s v="Low"/>
    <n v="0.09"/>
    <n v="243.98"/>
    <n v="43.32"/>
    <n v="2880"/>
    <s v="Grace Black"/>
    <s v="Delivery Truck"/>
    <s v="Small Business"/>
    <x v="1"/>
    <x v="1"/>
    <s v="Jumbo Drum"/>
    <s v="Hon Deluxe Fabric Upholstered Stacking Chairs, Rounded Back"/>
    <n v="0.55000000000000004"/>
    <s v="United States"/>
    <x v="3"/>
    <s v="Florida"/>
    <s v="North Miami Beach"/>
    <n v="33160"/>
    <x v="100"/>
    <d v="2015-05-13T00:00:00"/>
    <n v="1059.288"/>
    <n v="25"/>
    <x v="1610"/>
    <n v="88627"/>
    <x v="1624"/>
  </r>
  <r>
    <n v="7718"/>
    <s v="High"/>
    <n v="0.03"/>
    <n v="4.0599999999999996"/>
    <n v="6.89"/>
    <n v="2882"/>
    <s v="Andrew Gonzalez"/>
    <s v="Regular Air"/>
    <s v="Consumer"/>
    <x v="0"/>
    <x v="15"/>
    <s v="Small Box"/>
    <s v="Eureka Disposable Bags for Sanitaire® Vibra Groomer I® Upright Vac"/>
    <n v="0.6"/>
    <s v="United States"/>
    <x v="3"/>
    <s v="North Carolina"/>
    <s v="Charlotte"/>
    <n v="28206"/>
    <x v="63"/>
    <d v="2015-02-22T00:00:00"/>
    <n v="-246.27610000000001"/>
    <n v="37"/>
    <x v="1611"/>
    <n v="55300"/>
    <x v="1625"/>
  </r>
  <r>
    <n v="7719"/>
    <s v="High"/>
    <n v="0.01"/>
    <n v="3.75"/>
    <n v="0.5"/>
    <n v="2882"/>
    <s v="Andrew Gonzalez"/>
    <s v="Regular Air"/>
    <s v="Consumer"/>
    <x v="0"/>
    <x v="9"/>
    <s v="Small Box"/>
    <s v="Avery 510"/>
    <n v="0.37"/>
    <s v="United States"/>
    <x v="3"/>
    <s v="North Carolina"/>
    <s v="Charlotte"/>
    <n v="28206"/>
    <x v="63"/>
    <d v="2015-02-21T00:00:00"/>
    <n v="55.194600000000001"/>
    <n v="48"/>
    <x v="1612"/>
    <n v="55300"/>
    <x v="1626"/>
  </r>
  <r>
    <n v="7720"/>
    <s v="High"/>
    <n v="0.02"/>
    <n v="10.68"/>
    <n v="13.04"/>
    <n v="2882"/>
    <s v="Andrew Gonzalez"/>
    <s v="Regular Air"/>
    <s v="Consumer"/>
    <x v="1"/>
    <x v="2"/>
    <s v="Large Box"/>
    <s v="Dana Swing-Arm Lamps"/>
    <n v="0.6"/>
    <s v="United States"/>
    <x v="3"/>
    <s v="North Carolina"/>
    <s v="Charlotte"/>
    <n v="28206"/>
    <x v="63"/>
    <d v="2015-02-22T00:00:00"/>
    <n v="-307.29649999999998"/>
    <n v="31"/>
    <x v="1613"/>
    <n v="55300"/>
    <x v="1627"/>
  </r>
  <r>
    <n v="2314"/>
    <s v="High"/>
    <n v="7.0000000000000007E-2"/>
    <n v="28.99"/>
    <n v="8.59"/>
    <n v="2882"/>
    <s v="Andrew Gonzalez"/>
    <s v="Regular Air"/>
    <s v="Consumer"/>
    <x v="2"/>
    <x v="5"/>
    <s v="Medium Box"/>
    <s v="SouthWestern Bell FA970 Digital Answering Machine with Time/Day Stamp"/>
    <n v="0.56000000000000005"/>
    <s v="United States"/>
    <x v="3"/>
    <s v="North Carolina"/>
    <s v="Charlotte"/>
    <n v="28206"/>
    <x v="91"/>
    <d v="2015-03-19T00:00:00"/>
    <n v="-16.063739999999999"/>
    <n v="39"/>
    <x v="1614"/>
    <n v="16676"/>
    <x v="1628"/>
  </r>
  <r>
    <n v="694"/>
    <s v="Critical"/>
    <n v="0.05"/>
    <n v="6.48"/>
    <n v="8.73"/>
    <n v="2882"/>
    <s v="Andrew Gonzalez"/>
    <s v="Regular Air"/>
    <s v="Consumer"/>
    <x v="0"/>
    <x v="7"/>
    <s v="Small Box"/>
    <s v="Xerox 227"/>
    <n v="0.37"/>
    <s v="United States"/>
    <x v="3"/>
    <s v="North Carolina"/>
    <s v="Charlotte"/>
    <n v="28206"/>
    <x v="19"/>
    <d v="2015-05-09T00:00:00"/>
    <n v="-160.38470000000001"/>
    <n v="35"/>
    <x v="1615"/>
    <n v="4839"/>
    <x v="1629"/>
  </r>
  <r>
    <n v="3065"/>
    <s v="High"/>
    <n v="0.09"/>
    <n v="363.25"/>
    <n v="19.989999999999998"/>
    <n v="2882"/>
    <s v="Andrew Gonzalez"/>
    <s v="Regular Air"/>
    <s v="Consumer"/>
    <x v="0"/>
    <x v="15"/>
    <s v="Small Box"/>
    <s v="Hoover WindTunnel™ Plus Canister Vacuum"/>
    <n v="0.56999999999999995"/>
    <s v="United States"/>
    <x v="3"/>
    <s v="North Carolina"/>
    <s v="Charlotte"/>
    <n v="28206"/>
    <x v="75"/>
    <d v="2015-06-06T00:00:00"/>
    <n v="732.26980000000003"/>
    <n v="21"/>
    <x v="1616"/>
    <n v="21958"/>
    <x v="1630"/>
  </r>
  <r>
    <n v="5689"/>
    <s v="Low"/>
    <n v="0.05"/>
    <n v="63.94"/>
    <n v="14.48"/>
    <n v="2882"/>
    <s v="Andrew Gonzalez"/>
    <s v="Express Air"/>
    <s v="Consumer"/>
    <x v="1"/>
    <x v="2"/>
    <s v="Small Box"/>
    <s v="Howard Miller 16&quot; Diameter Gallery Wall Clock"/>
    <n v="0.46"/>
    <s v="United States"/>
    <x v="3"/>
    <s v="North Carolina"/>
    <s v="Charlotte"/>
    <n v="28206"/>
    <x v="133"/>
    <d v="2015-07-07T00:00:00"/>
    <n v="270.87430000000001"/>
    <n v="21"/>
    <x v="1617"/>
    <n v="40224"/>
    <x v="1631"/>
  </r>
  <r>
    <n v="7137"/>
    <s v="Low"/>
    <n v="0.02"/>
    <n v="43.98"/>
    <n v="1.99"/>
    <n v="2882"/>
    <s v="Andrew Gonzalez"/>
    <s v="Regular Air"/>
    <s v="Consumer"/>
    <x v="2"/>
    <x v="13"/>
    <s v="Small Pack"/>
    <s v="Memorex 80 Minute CD-R Spindle, 100/Pack"/>
    <n v="0.44"/>
    <s v="United States"/>
    <x v="3"/>
    <s v="North Carolina"/>
    <s v="Charlotte"/>
    <n v="28206"/>
    <x v="72"/>
    <d v="2015-01-25T00:00:00"/>
    <n v="333.76049999999998"/>
    <n v="40"/>
    <x v="1618"/>
    <n v="50917"/>
    <x v="1632"/>
  </r>
  <r>
    <n v="18694"/>
    <s v="Critical"/>
    <n v="0.05"/>
    <n v="6.48"/>
    <n v="8.73"/>
    <n v="2883"/>
    <s v="Stuart Sharma"/>
    <s v="Regular Air"/>
    <s v="Consumer"/>
    <x v="0"/>
    <x v="7"/>
    <s v="Small Box"/>
    <s v="Xerox 227"/>
    <n v="0.37"/>
    <s v="United States"/>
    <x v="1"/>
    <s v="Ohio"/>
    <s v="North Olmsted"/>
    <n v="44070"/>
    <x v="19"/>
    <d v="2015-05-09T00:00:00"/>
    <n v="-120.59"/>
    <n v="9"/>
    <x v="1619"/>
    <n v="87632"/>
    <x v="1633"/>
  </r>
  <r>
    <n v="20314"/>
    <s v="High"/>
    <n v="7.0000000000000007E-2"/>
    <n v="28.99"/>
    <n v="8.59"/>
    <n v="2884"/>
    <s v="Stuart C Robinson"/>
    <s v="Regular Air"/>
    <s v="Consumer"/>
    <x v="2"/>
    <x v="5"/>
    <s v="Medium Box"/>
    <s v="SouthWestern Bell FA970 Digital Answering Machine with Time/Day Stamp"/>
    <n v="0.56000000000000005"/>
    <s v="United States"/>
    <x v="1"/>
    <s v="Ohio"/>
    <s v="North Ridgeville"/>
    <n v="44039"/>
    <x v="91"/>
    <d v="2015-03-19T00:00:00"/>
    <n v="-12.077999999999999"/>
    <n v="10"/>
    <x v="1620"/>
    <n v="87631"/>
    <x v="1634"/>
  </r>
  <r>
    <n v="21065"/>
    <s v="High"/>
    <n v="0.09"/>
    <n v="363.25"/>
    <n v="19.989999999999998"/>
    <n v="2884"/>
    <s v="Stuart C Robinson"/>
    <s v="Regular Air"/>
    <s v="Consumer"/>
    <x v="0"/>
    <x v="15"/>
    <s v="Small Box"/>
    <s v="Hoover WindTunnel™ Plus Canister Vacuum"/>
    <n v="0.56999999999999995"/>
    <s v="United States"/>
    <x v="1"/>
    <s v="Ohio"/>
    <s v="North Ridgeville"/>
    <n v="44039"/>
    <x v="75"/>
    <d v="2015-06-06T00:00:00"/>
    <n v="1231.6569"/>
    <n v="5"/>
    <x v="1621"/>
    <n v="87633"/>
    <x v="1635"/>
  </r>
  <r>
    <n v="23689"/>
    <s v="Low"/>
    <n v="0.05"/>
    <n v="63.94"/>
    <n v="14.48"/>
    <n v="2885"/>
    <s v="Gary Frazier"/>
    <s v="Express Air"/>
    <s v="Consumer"/>
    <x v="1"/>
    <x v="2"/>
    <s v="Small Box"/>
    <s v="Howard Miller 16&quot; Diameter Gallery Wall Clock"/>
    <n v="0.46"/>
    <s v="United States"/>
    <x v="1"/>
    <s v="Ohio"/>
    <s v="North Royalton"/>
    <n v="44133"/>
    <x v="133"/>
    <d v="2015-07-07T00:00:00"/>
    <n v="219.54419999999999"/>
    <n v="5"/>
    <x v="1622"/>
    <n v="87634"/>
    <x v="1636"/>
  </r>
  <r>
    <n v="25718"/>
    <s v="High"/>
    <n v="0.03"/>
    <n v="4.0599999999999996"/>
    <n v="6.89"/>
    <n v="2886"/>
    <s v="Gretchen McKinney"/>
    <s v="Regular Air"/>
    <s v="Consumer"/>
    <x v="0"/>
    <x v="15"/>
    <s v="Small Box"/>
    <s v="Eureka Disposable Bags for Sanitaire® Vibra Groomer I® Upright Vac"/>
    <n v="0.6"/>
    <s v="United States"/>
    <x v="1"/>
    <s v="Ohio"/>
    <s v="Parma"/>
    <n v="44134"/>
    <x v="63"/>
    <d v="2015-02-22T00:00:00"/>
    <n v="-185.17"/>
    <n v="9"/>
    <x v="1623"/>
    <n v="87630"/>
    <x v="1637"/>
  </r>
  <r>
    <n v="25719"/>
    <s v="High"/>
    <n v="0.01"/>
    <n v="3.75"/>
    <n v="0.5"/>
    <n v="2886"/>
    <s v="Gretchen McKinney"/>
    <s v="Regular Air"/>
    <s v="Consumer"/>
    <x v="0"/>
    <x v="9"/>
    <s v="Small Box"/>
    <s v="Avery 510"/>
    <n v="0.37"/>
    <s v="United States"/>
    <x v="1"/>
    <s v="Ohio"/>
    <s v="Parma"/>
    <n v="44134"/>
    <x v="63"/>
    <d v="2015-02-21T00:00:00"/>
    <n v="31.1328"/>
    <n v="12"/>
    <x v="1624"/>
    <n v="87630"/>
    <x v="1638"/>
  </r>
  <r>
    <n v="25720"/>
    <s v="High"/>
    <n v="0.02"/>
    <n v="10.68"/>
    <n v="13.04"/>
    <n v="2886"/>
    <s v="Gretchen McKinney"/>
    <s v="Regular Air"/>
    <s v="Consumer"/>
    <x v="1"/>
    <x v="2"/>
    <s v="Large Box"/>
    <s v="Dana Swing-Arm Lamps"/>
    <n v="0.6"/>
    <s v="United States"/>
    <x v="1"/>
    <s v="Ohio"/>
    <s v="Parma"/>
    <n v="44134"/>
    <x v="63"/>
    <d v="2015-02-22T00:00:00"/>
    <n v="-231.05"/>
    <n v="8"/>
    <x v="1625"/>
    <n v="87630"/>
    <x v="1639"/>
  </r>
  <r>
    <n v="21514"/>
    <s v="High"/>
    <n v="0.1"/>
    <n v="209.37"/>
    <n v="69"/>
    <n v="2892"/>
    <s v="Benjamin Porter"/>
    <s v="Regular Air"/>
    <s v="Consumer"/>
    <x v="1"/>
    <x v="11"/>
    <s v="Large Box"/>
    <s v="Hon 2111 Invitation™ Series Corner Table"/>
    <n v="0.79"/>
    <s v="United States"/>
    <x v="2"/>
    <s v="Michigan"/>
    <s v="Livonia"/>
    <n v="48154"/>
    <x v="67"/>
    <d v="2015-02-25T00:00:00"/>
    <n v="-165.59492040000001"/>
    <n v="11"/>
    <x v="1626"/>
    <n v="90011"/>
    <x v="1640"/>
  </r>
  <r>
    <n v="21515"/>
    <s v="High"/>
    <n v="7.0000000000000007E-2"/>
    <n v="4.9800000000000004"/>
    <n v="4.7"/>
    <n v="2893"/>
    <s v="Kathryn Tate"/>
    <s v="Regular Air"/>
    <s v="Consumer"/>
    <x v="0"/>
    <x v="7"/>
    <s v="Small Box"/>
    <s v="Staples Copy Paper (20Lb. and 84 Bright)"/>
    <n v="0.38"/>
    <s v="United States"/>
    <x v="2"/>
    <s v="Michigan"/>
    <s v="Madison Heights"/>
    <n v="48071"/>
    <x v="67"/>
    <d v="2015-02-24T00:00:00"/>
    <n v="-21.684000000000001"/>
    <n v="9"/>
    <x v="1627"/>
    <n v="90011"/>
    <x v="1641"/>
  </r>
  <r>
    <n v="19909"/>
    <s v="Low"/>
    <n v="0.02"/>
    <n v="880.98"/>
    <n v="44.55"/>
    <n v="2896"/>
    <s v="Anna Ellis"/>
    <s v="Delivery Truck"/>
    <s v="Home Office"/>
    <x v="1"/>
    <x v="14"/>
    <s v="Jumbo Box"/>
    <s v="Riverside Palais Royal Lawyers Bookcase, Royale Cherry Finish"/>
    <n v="0.62"/>
    <s v="United States"/>
    <x v="2"/>
    <s v="Minnesota"/>
    <s v="Mankato"/>
    <n v="56001"/>
    <x v="46"/>
    <d v="2015-01-26T00:00:00"/>
    <n v="4861.0637999999999"/>
    <n v="8"/>
    <x v="1628"/>
    <n v="86925"/>
    <x v="1642"/>
  </r>
  <r>
    <n v="18198"/>
    <s v="Critical"/>
    <n v="0"/>
    <n v="22.84"/>
    <n v="16.920000000000002"/>
    <n v="2896"/>
    <s v="Anna Ellis"/>
    <s v="Regular Air"/>
    <s v="Home Office"/>
    <x v="0"/>
    <x v="7"/>
    <s v="Small Box"/>
    <s v="Xerox 1973"/>
    <n v="0.39"/>
    <s v="United States"/>
    <x v="2"/>
    <s v="Minnesota"/>
    <s v="Mankato"/>
    <n v="56001"/>
    <x v="14"/>
    <d v="2015-03-14T00:00:00"/>
    <n v="-83.75"/>
    <n v="15"/>
    <x v="1629"/>
    <n v="86927"/>
    <x v="1643"/>
  </r>
  <r>
    <n v="20304"/>
    <s v="High"/>
    <n v="0.05"/>
    <n v="80.97"/>
    <n v="30.06"/>
    <n v="2897"/>
    <s v="Betty Giles"/>
    <s v="Delivery Truck"/>
    <s v="Home Office"/>
    <x v="2"/>
    <x v="6"/>
    <s v="Jumbo Box"/>
    <s v="Hewlett-Packard Deskjet 940 REFURBISHED Color Inkjet Printer"/>
    <n v="0.4"/>
    <s v="United States"/>
    <x v="2"/>
    <s v="Minnesota"/>
    <s v="Maple Grove"/>
    <n v="55369"/>
    <x v="169"/>
    <d v="2015-02-14T00:00:00"/>
    <n v="565.17999999999995"/>
    <n v="11"/>
    <x v="1630"/>
    <n v="86926"/>
    <x v="1644"/>
  </r>
  <r>
    <n v="20305"/>
    <s v="High"/>
    <n v="0"/>
    <n v="6.48"/>
    <n v="10.050000000000001"/>
    <n v="2897"/>
    <s v="Betty Giles"/>
    <s v="Regular Air"/>
    <s v="Home Office"/>
    <x v="0"/>
    <x v="7"/>
    <s v="Small Box"/>
    <s v="Xerox 1997"/>
    <n v="0.37"/>
    <s v="United States"/>
    <x v="2"/>
    <s v="Minnesota"/>
    <s v="Maple Grove"/>
    <n v="55369"/>
    <x v="169"/>
    <d v="2015-02-15T00:00:00"/>
    <n v="-38.72"/>
    <n v="2"/>
    <x v="1631"/>
    <n v="86926"/>
    <x v="1645"/>
  </r>
  <r>
    <n v="23151"/>
    <s v="Not Specified"/>
    <n v="0.06"/>
    <n v="70.89"/>
    <n v="89.3"/>
    <n v="2903"/>
    <s v="Frances Powers"/>
    <s v="Delivery Truck"/>
    <s v="Small Business"/>
    <x v="1"/>
    <x v="11"/>
    <s v="Jumbo Box"/>
    <s v="KI Conference Tables"/>
    <n v="0.72"/>
    <s v="United States"/>
    <x v="1"/>
    <s v="Ohio"/>
    <s v="Reynoldsburg"/>
    <n v="43068"/>
    <x v="97"/>
    <d v="2015-06-25T00:00:00"/>
    <n v="65.077020000000005"/>
    <n v="6"/>
    <x v="1632"/>
    <n v="87374"/>
    <x v="1646"/>
  </r>
  <r>
    <n v="18611"/>
    <s v="High"/>
    <n v="7.0000000000000007E-2"/>
    <n v="4.13"/>
    <n v="0.99"/>
    <n v="2908"/>
    <s v="Robyn Lyon"/>
    <s v="Regular Air"/>
    <s v="Home Office"/>
    <x v="0"/>
    <x v="9"/>
    <s v="Small Box"/>
    <s v="Avery 491"/>
    <n v="0.39"/>
    <s v="United States"/>
    <x v="1"/>
    <s v="Ohio"/>
    <s v="Garfield Heights"/>
    <n v="44125"/>
    <x v="176"/>
    <d v="2015-01-08T00:00:00"/>
    <n v="10.959199999999999"/>
    <n v="4"/>
    <x v="1633"/>
    <n v="88156"/>
    <x v="1647"/>
  </r>
  <r>
    <n v="18612"/>
    <s v="High"/>
    <n v="0.03"/>
    <n v="22.72"/>
    <n v="8.99"/>
    <n v="2908"/>
    <s v="Robyn Lyon"/>
    <s v="Regular Air"/>
    <s v="Home Office"/>
    <x v="1"/>
    <x v="2"/>
    <s v="Small Pack"/>
    <s v="Executive Impressions 14&quot; Two-Color Numerals Wall Clock"/>
    <n v="0.44"/>
    <s v="United States"/>
    <x v="1"/>
    <s v="Ohio"/>
    <s v="Garfield Heights"/>
    <n v="44125"/>
    <x v="176"/>
    <d v="2015-01-08T00:00:00"/>
    <n v="17.429400000000001"/>
    <n v="1"/>
    <x v="1518"/>
    <n v="88156"/>
    <x v="1648"/>
  </r>
  <r>
    <n v="20827"/>
    <s v="Not Specified"/>
    <n v="0.05"/>
    <n v="34.979999999999997"/>
    <n v="7.53"/>
    <n v="2908"/>
    <s v="Robyn Lyon"/>
    <s v="Express Air"/>
    <s v="Home Office"/>
    <x v="2"/>
    <x v="13"/>
    <s v="Small Box"/>
    <s v="Fellowes EZ Multi-Media Keyboard"/>
    <n v="0.76"/>
    <s v="United States"/>
    <x v="1"/>
    <s v="Ohio"/>
    <s v="Garfield Heights"/>
    <n v="44125"/>
    <x v="136"/>
    <d v="2015-03-03T00:00:00"/>
    <n v="-32.666400000000003"/>
    <n v="16"/>
    <x v="1634"/>
    <n v="88157"/>
    <x v="1649"/>
  </r>
  <r>
    <n v="20828"/>
    <s v="Not Specified"/>
    <n v="0"/>
    <n v="3.14"/>
    <n v="1.92"/>
    <n v="2908"/>
    <s v="Robyn Lyon"/>
    <s v="Regular Air"/>
    <s v="Home Office"/>
    <x v="0"/>
    <x v="12"/>
    <s v="Wrap Bag"/>
    <s v="Serrated Blade or Curved Handle Hand Letter Openers"/>
    <n v="0.84"/>
    <s v="United States"/>
    <x v="1"/>
    <s v="Ohio"/>
    <s v="Garfield Heights"/>
    <n v="44125"/>
    <x v="136"/>
    <d v="2015-03-02T00:00:00"/>
    <n v="-13.135199999999999"/>
    <n v="8"/>
    <x v="1635"/>
    <n v="88157"/>
    <x v="1650"/>
  </r>
  <r>
    <n v="21290"/>
    <s v="High"/>
    <n v="0.04"/>
    <n v="4.13"/>
    <n v="0.99"/>
    <n v="2912"/>
    <s v="Hannah Carver"/>
    <s v="Express Air"/>
    <s v="Home Office"/>
    <x v="0"/>
    <x v="9"/>
    <s v="Small Box"/>
    <s v="Avery 491"/>
    <n v="0.39"/>
    <s v="United States"/>
    <x v="2"/>
    <s v="North Dakota"/>
    <s v="Grand Forks"/>
    <n v="58201"/>
    <x v="65"/>
    <d v="2015-04-30T00:00:00"/>
    <n v="22.307700000000001"/>
    <n v="7"/>
    <x v="1636"/>
    <n v="87396"/>
    <x v="1651"/>
  </r>
  <r>
    <n v="21291"/>
    <s v="High"/>
    <n v="0.06"/>
    <n v="55.48"/>
    <n v="14.3"/>
    <n v="2912"/>
    <s v="Hannah Carver"/>
    <s v="Regular Air"/>
    <s v="Home Office"/>
    <x v="0"/>
    <x v="7"/>
    <s v="Small Box"/>
    <s v="Xerox 194"/>
    <n v="0.37"/>
    <s v="United States"/>
    <x v="2"/>
    <s v="North Dakota"/>
    <s v="Grand Forks"/>
    <n v="58201"/>
    <x v="65"/>
    <d v="2015-04-30T00:00:00"/>
    <n v="443.02140000000003"/>
    <n v="12"/>
    <x v="1637"/>
    <n v="87396"/>
    <x v="1652"/>
  </r>
  <r>
    <n v="8310"/>
    <s v="Medium"/>
    <n v="0.05"/>
    <n v="535.64"/>
    <n v="14.7"/>
    <n v="2920"/>
    <s v="Ernest Peele"/>
    <s v="Delivery Truck"/>
    <s v="Home Office"/>
    <x v="2"/>
    <x v="6"/>
    <s v="Jumbo Drum"/>
    <s v="Epson LQ-870 Dot Matrix Printer"/>
    <n v="0.59"/>
    <s v="United States"/>
    <x v="2"/>
    <s v="Illinois"/>
    <s v="Chicago"/>
    <n v="60603"/>
    <x v="31"/>
    <d v="2015-06-09T00:00:00"/>
    <n v="-1220.9145000000001"/>
    <n v="2"/>
    <x v="1638"/>
    <n v="59365"/>
    <x v="1653"/>
  </r>
  <r>
    <n v="18166"/>
    <s v="Medium"/>
    <n v="0"/>
    <n v="6.37"/>
    <n v="5.19"/>
    <n v="2923"/>
    <s v="Lynne Griffith"/>
    <s v="Regular Air"/>
    <s v="Consumer"/>
    <x v="0"/>
    <x v="8"/>
    <s v="Small Box"/>
    <s v="C-Line Peel &amp; Stick Add-On Filing Pockets, 8-3/4 x 5-1/8, 10/Pack"/>
    <n v="0.38"/>
    <s v="United States"/>
    <x v="1"/>
    <s v="Maryland"/>
    <s v="Hagerstown"/>
    <n v="21740"/>
    <x v="136"/>
    <d v="2015-03-02T00:00:00"/>
    <n v="-27.1492"/>
    <n v="15"/>
    <x v="1223"/>
    <n v="86592"/>
    <x v="1654"/>
  </r>
  <r>
    <n v="18345"/>
    <s v="Critical"/>
    <n v="0.02"/>
    <n v="110.98"/>
    <n v="13.99"/>
    <n v="2924"/>
    <s v="Courtney Nelson"/>
    <s v="Regular Air"/>
    <s v="Consumer"/>
    <x v="1"/>
    <x v="2"/>
    <s v="Medium Box"/>
    <s v="Rubbermaid ClusterMat Chairmats, Mat Size- 66&quot; x 60&quot;, Lip 20&quot; x 11&quot; -90 Degree Angle"/>
    <n v="0.69"/>
    <s v="United States"/>
    <x v="1"/>
    <s v="Maryland"/>
    <s v="Laurel"/>
    <n v="20707"/>
    <x v="59"/>
    <d v="2015-01-18T00:00:00"/>
    <n v="-106.3424"/>
    <n v="2"/>
    <x v="1639"/>
    <n v="86591"/>
    <x v="1655"/>
  </r>
  <r>
    <n v="18346"/>
    <s v="Critical"/>
    <n v="0.01"/>
    <n v="8.01"/>
    <n v="2.87"/>
    <n v="2924"/>
    <s v="Courtney Nelson"/>
    <s v="Regular Air"/>
    <s v="Consumer"/>
    <x v="0"/>
    <x v="7"/>
    <s v="Wrap Bag"/>
    <s v="TOPS Money Receipt Book, Consecutively Numbered in Red,"/>
    <n v="0.4"/>
    <s v="United States"/>
    <x v="1"/>
    <s v="Maryland"/>
    <s v="Laurel"/>
    <n v="20707"/>
    <x v="59"/>
    <d v="2015-01-18T00:00:00"/>
    <n v="44.976799999999997"/>
    <n v="8"/>
    <x v="1640"/>
    <n v="86591"/>
    <x v="1656"/>
  </r>
  <r>
    <n v="25817"/>
    <s v="Critical"/>
    <n v="0.02"/>
    <n v="5.58"/>
    <n v="2.99"/>
    <n v="2928"/>
    <s v="Leslie Woodard"/>
    <s v="Regular Air"/>
    <s v="Consumer"/>
    <x v="0"/>
    <x v="8"/>
    <s v="Small Box"/>
    <s v="Avery Heavy-Duty EZD ™ Binder With Locking Rings"/>
    <n v="0.37"/>
    <s v="United States"/>
    <x v="3"/>
    <s v="South Carolina"/>
    <s v="Charleston"/>
    <n v="29418"/>
    <x v="66"/>
    <d v="2015-05-28T00:00:00"/>
    <n v="689.32799999999997"/>
    <n v="42"/>
    <x v="1641"/>
    <n v="90218"/>
    <x v="1657"/>
  </r>
  <r>
    <n v="25819"/>
    <s v="Critical"/>
    <n v="0.02"/>
    <n v="54.1"/>
    <n v="19.989999999999998"/>
    <n v="2928"/>
    <s v="Leslie Woodard"/>
    <s v="Regular Air"/>
    <s v="Consumer"/>
    <x v="0"/>
    <x v="10"/>
    <s v="Small Box"/>
    <s v="Desktop 3-Pocket Hot File®"/>
    <n v="0.59"/>
    <s v="United States"/>
    <x v="3"/>
    <s v="South Carolina"/>
    <s v="Charleston"/>
    <n v="29418"/>
    <x v="66"/>
    <d v="2015-05-27T00:00:00"/>
    <n v="-33.585999999999999"/>
    <n v="36"/>
    <x v="1642"/>
    <n v="90218"/>
    <x v="1658"/>
  </r>
  <r>
    <n v="21313"/>
    <s v="Not Specified"/>
    <n v="0.1"/>
    <n v="11.55"/>
    <n v="2.36"/>
    <n v="2931"/>
    <s v="Faye Hanna"/>
    <s v="Regular Air"/>
    <s v="Small Business"/>
    <x v="0"/>
    <x v="0"/>
    <s v="Wrap Bag"/>
    <s v="Newell 309"/>
    <n v="0.55000000000000004"/>
    <s v="United States"/>
    <x v="0"/>
    <s v="California"/>
    <s v="El Dorado Hills"/>
    <n v="95630"/>
    <x v="136"/>
    <d v="2015-02-28T00:00:00"/>
    <n v="69.767200000000003"/>
    <n v="12"/>
    <x v="1643"/>
    <n v="87619"/>
    <x v="1659"/>
  </r>
  <r>
    <n v="24866"/>
    <s v="High"/>
    <n v="0.01"/>
    <n v="35.44"/>
    <n v="19.989999999999998"/>
    <n v="2932"/>
    <s v="Phyllis Hull"/>
    <s v="Regular Air"/>
    <s v="Small Business"/>
    <x v="0"/>
    <x v="7"/>
    <s v="Small Box"/>
    <s v="Xerox 1880"/>
    <n v="0.38"/>
    <s v="United States"/>
    <x v="1"/>
    <s v="Connecticut"/>
    <s v="Stratford"/>
    <n v="6614"/>
    <x v="126"/>
    <d v="2015-04-23T00:00:00"/>
    <n v="-52.822800000000001"/>
    <n v="1"/>
    <x v="1644"/>
    <n v="87620"/>
    <x v="1660"/>
  </r>
  <r>
    <n v="24995"/>
    <s v="Low"/>
    <n v="0.02"/>
    <n v="3.8"/>
    <n v="1.49"/>
    <n v="2935"/>
    <s v="Shirley Riley"/>
    <s v="Regular Air"/>
    <s v="Small Business"/>
    <x v="0"/>
    <x v="8"/>
    <s v="Small Box"/>
    <s v="Durable Pressboard Binders"/>
    <n v="0.38"/>
    <s v="United States"/>
    <x v="1"/>
    <s v="Massachusetts"/>
    <s v="Boston"/>
    <n v="2215"/>
    <x v="171"/>
    <d v="2015-05-15T00:00:00"/>
    <n v="7.31"/>
    <n v="5"/>
    <x v="1645"/>
    <n v="87617"/>
    <x v="1661"/>
  </r>
  <r>
    <n v="24865"/>
    <s v="High"/>
    <n v="0.03"/>
    <n v="47.9"/>
    <n v="5.86"/>
    <n v="2938"/>
    <s v="Laurie Case Daniel"/>
    <s v="Regular Air"/>
    <s v="Small Business"/>
    <x v="0"/>
    <x v="7"/>
    <s v="Small Box"/>
    <s v="Xerox 1938"/>
    <n v="0.37"/>
    <s v="United States"/>
    <x v="1"/>
    <s v="Massachusetts"/>
    <s v="Stoneham"/>
    <n v="2180"/>
    <x v="126"/>
    <d v="2015-04-25T00:00:00"/>
    <n v="642.99030000000005"/>
    <n v="20"/>
    <x v="1646"/>
    <n v="87620"/>
    <x v="1662"/>
  </r>
  <r>
    <n v="23567"/>
    <s v="Critical"/>
    <n v="0.05"/>
    <n v="2.62"/>
    <n v="0.8"/>
    <n v="2941"/>
    <s v="Leah Pollock"/>
    <s v="Regular Air"/>
    <s v="Small Business"/>
    <x v="0"/>
    <x v="3"/>
    <s v="Wrap Bag"/>
    <s v="Staples Metal Binder Clips"/>
    <n v="0.39"/>
    <s v="United States"/>
    <x v="1"/>
    <s v="New Jersey"/>
    <s v="Morristown"/>
    <n v="7960"/>
    <x v="66"/>
    <d v="2015-05-27T00:00:00"/>
    <n v="12.71"/>
    <n v="8"/>
    <x v="1647"/>
    <n v="87618"/>
    <x v="1663"/>
  </r>
  <r>
    <n v="19575"/>
    <s v="Low"/>
    <n v="0.04"/>
    <n v="4.55"/>
    <n v="1.49"/>
    <n v="2944"/>
    <s v="Elsie Lane"/>
    <s v="Regular Air"/>
    <s v="Corporate"/>
    <x v="0"/>
    <x v="8"/>
    <s v="Small Box"/>
    <s v="Presstex Flexible Ring Binders"/>
    <n v="0.35"/>
    <s v="United States"/>
    <x v="2"/>
    <s v="Michigan"/>
    <s v="Midland"/>
    <n v="48640"/>
    <x v="93"/>
    <d v="2015-03-07T00:00:00"/>
    <n v="28.288"/>
    <n v="13"/>
    <x v="1648"/>
    <n v="90309"/>
    <x v="1664"/>
  </r>
  <r>
    <n v="26054"/>
    <s v="Not Specified"/>
    <n v="0.01"/>
    <n v="7.64"/>
    <n v="1.39"/>
    <n v="2947"/>
    <s v="Kathy Turner"/>
    <s v="Regular Air"/>
    <s v="Consumer"/>
    <x v="0"/>
    <x v="4"/>
    <s v="Small Box"/>
    <s v="Security-Tint Envelopes"/>
    <n v="0.36"/>
    <s v="United States"/>
    <x v="1"/>
    <s v="New York"/>
    <s v="Depew"/>
    <n v="14043"/>
    <x v="128"/>
    <d v="2015-02-07T00:00:00"/>
    <n v="112.1181"/>
    <n v="20"/>
    <x v="1649"/>
    <n v="87511"/>
    <x v="1665"/>
  </r>
  <r>
    <n v="25051"/>
    <s v="Medium"/>
    <n v="7.0000000000000007E-2"/>
    <n v="42.98"/>
    <n v="4.62"/>
    <n v="2951"/>
    <s v="Jordan Womble"/>
    <s v="Express Air"/>
    <s v="Corporate"/>
    <x v="0"/>
    <x v="15"/>
    <s v="Small Box"/>
    <s v="Belkin F9M820V08 8 Outlet Surge"/>
    <n v="0.56000000000000005"/>
    <s v="United States"/>
    <x v="2"/>
    <s v="Kansas"/>
    <s v="Hays"/>
    <n v="67601"/>
    <x v="2"/>
    <d v="2015-02-17T00:00:00"/>
    <n v="565.38599999999997"/>
    <n v="19"/>
    <x v="1650"/>
    <n v="91397"/>
    <x v="1666"/>
  </r>
  <r>
    <n v="25052"/>
    <s v="Medium"/>
    <n v="0.03"/>
    <n v="89.99"/>
    <n v="42"/>
    <n v="2951"/>
    <s v="Jordan Womble"/>
    <s v="Delivery Truck"/>
    <s v="Corporate"/>
    <x v="1"/>
    <x v="1"/>
    <s v="Jumbo Drum"/>
    <s v="Global Leather Task Chair, Black"/>
    <n v="0.66"/>
    <s v="United States"/>
    <x v="2"/>
    <s v="Kansas"/>
    <s v="Hays"/>
    <n v="67601"/>
    <x v="2"/>
    <d v="2015-02-18T00:00:00"/>
    <n v="-230.9528"/>
    <n v="19"/>
    <x v="1651"/>
    <n v="91397"/>
    <x v="1667"/>
  </r>
  <r>
    <n v="25970"/>
    <s v="Medium"/>
    <n v="0.08"/>
    <n v="5.74"/>
    <n v="5.01"/>
    <n v="2952"/>
    <s v="Thelma Murray"/>
    <s v="Express Air"/>
    <s v="Corporate"/>
    <x v="0"/>
    <x v="8"/>
    <s v="Small Box"/>
    <s v="Binder Posts"/>
    <n v="0.39"/>
    <s v="United States"/>
    <x v="1"/>
    <s v="Ohio"/>
    <s v="Grove City"/>
    <n v="43123"/>
    <x v="112"/>
    <d v="2015-04-17T00:00:00"/>
    <n v="-61.628039999999999"/>
    <n v="12"/>
    <x v="1652"/>
    <n v="91398"/>
    <x v="1668"/>
  </r>
  <r>
    <n v="21200"/>
    <s v="Low"/>
    <n v="0.09"/>
    <n v="12.22"/>
    <n v="2.85"/>
    <n v="2954"/>
    <s v="William Sharma"/>
    <s v="Regular Air"/>
    <s v="Consumer"/>
    <x v="1"/>
    <x v="2"/>
    <s v="Small Pack"/>
    <s v="Aluminum Document Frame"/>
    <n v="0.55000000000000004"/>
    <s v="United States"/>
    <x v="2"/>
    <s v="Minnesota"/>
    <s v="Maplewood"/>
    <n v="55119"/>
    <x v="49"/>
    <d v="2015-06-25T00:00:00"/>
    <n v="70.676699999999997"/>
    <n v="9"/>
    <x v="1653"/>
    <n v="86427"/>
    <x v="1669"/>
  </r>
  <r>
    <n v="24817"/>
    <s v="Medium"/>
    <n v="0.1"/>
    <n v="37.94"/>
    <n v="5.08"/>
    <n v="2957"/>
    <s v="Francis I Davis"/>
    <s v="Express Air"/>
    <s v="Corporate"/>
    <x v="0"/>
    <x v="7"/>
    <s v="Wrap Bag"/>
    <s v="Snap-A-Way® Black Print Carbonless Ruled Speed Letter, Triplicate"/>
    <n v="0.38"/>
    <s v="United States"/>
    <x v="2"/>
    <s v="Wisconsin"/>
    <s v="Milwaukee"/>
    <n v="53209"/>
    <x v="57"/>
    <d v="2015-04-04T00:00:00"/>
    <n v="95.054400000000001"/>
    <n v="4"/>
    <x v="1654"/>
    <n v="90264"/>
    <x v="1670"/>
  </r>
  <r>
    <n v="25709"/>
    <s v="Low"/>
    <n v="0.06"/>
    <n v="20.99"/>
    <n v="0.99"/>
    <n v="2958"/>
    <s v="Ellen Sparks"/>
    <s v="Regular Air"/>
    <s v="Corporate"/>
    <x v="2"/>
    <x v="5"/>
    <s v="Wrap Bag"/>
    <s v="Accessory21"/>
    <n v="0.37"/>
    <s v="United States"/>
    <x v="2"/>
    <s v="Wisconsin"/>
    <s v="Neenah"/>
    <n v="54956"/>
    <x v="165"/>
    <d v="2015-03-28T00:00:00"/>
    <n v="224.9607"/>
    <n v="18"/>
    <x v="1655"/>
    <n v="90265"/>
    <x v="1671"/>
  </r>
  <r>
    <n v="19923"/>
    <s v="Not Specified"/>
    <n v="0.1"/>
    <n v="36.549999999999997"/>
    <n v="13.89"/>
    <n v="2960"/>
    <s v="Allan Dickinson"/>
    <s v="Regular Air"/>
    <s v="Corporate"/>
    <x v="0"/>
    <x v="0"/>
    <s v="Wrap Bag"/>
    <s v="Dixon Ticonderoga Core-Lock Colored Pencils, 48-Color Set"/>
    <n v="0.41"/>
    <s v="United States"/>
    <x v="3"/>
    <s v="Arkansas"/>
    <s v="Van Buren"/>
    <n v="72956"/>
    <x v="121"/>
    <d v="2015-04-07T00:00:00"/>
    <n v="-89.572000000000003"/>
    <n v="11"/>
    <x v="1656"/>
    <n v="90646"/>
    <x v="1672"/>
  </r>
  <r>
    <n v="20390"/>
    <s v="High"/>
    <n v="7.0000000000000007E-2"/>
    <n v="4.76"/>
    <n v="0.88"/>
    <n v="2962"/>
    <s v="Leonard Strauss"/>
    <s v="Express Air"/>
    <s v="Consumer"/>
    <x v="0"/>
    <x v="7"/>
    <s v="Wrap Bag"/>
    <s v="Wirebound Voice Message Log Book"/>
    <n v="0.39"/>
    <s v="United States"/>
    <x v="0"/>
    <s v="Colorado"/>
    <s v="Louisville"/>
    <n v="80027"/>
    <x v="163"/>
    <d v="2015-05-09T00:00:00"/>
    <n v="33.347700000000003"/>
    <n v="10"/>
    <x v="1657"/>
    <n v="88611"/>
    <x v="1673"/>
  </r>
  <r>
    <n v="22175"/>
    <s v="Critical"/>
    <n v="0.01"/>
    <n v="7.98"/>
    <n v="6.5"/>
    <n v="2963"/>
    <s v="Frances Johnson"/>
    <s v="Regular Air"/>
    <s v="Consumer"/>
    <x v="0"/>
    <x v="10"/>
    <s v="Medium Box"/>
    <s v="Iris Project Case"/>
    <n v="0.59"/>
    <s v="United States"/>
    <x v="1"/>
    <s v="Maryland"/>
    <s v="Middle River"/>
    <n v="21220"/>
    <x v="33"/>
    <d v="2015-06-23T00:00:00"/>
    <n v="-34.591999999999999"/>
    <n v="4"/>
    <x v="1658"/>
    <n v="88612"/>
    <x v="1674"/>
  </r>
  <r>
    <n v="25953"/>
    <s v="High"/>
    <n v="0.06"/>
    <n v="42.98"/>
    <n v="4.62"/>
    <n v="2964"/>
    <s v="Kathy Hinton"/>
    <s v="Regular Air"/>
    <s v="Consumer"/>
    <x v="0"/>
    <x v="15"/>
    <s v="Small Box"/>
    <s v="Belkin F9M820V08 8 Outlet Surge"/>
    <n v="0.56000000000000005"/>
    <s v="United States"/>
    <x v="1"/>
    <s v="Ohio"/>
    <s v="Mount Vernon"/>
    <n v="43050"/>
    <x v="109"/>
    <d v="2015-04-23T00:00:00"/>
    <n v="-24.63"/>
    <n v="1"/>
    <x v="1659"/>
    <n v="88610"/>
    <x v="1675"/>
  </r>
  <r>
    <n v="21390"/>
    <s v="Not Specified"/>
    <n v="0.08"/>
    <n v="9.68"/>
    <n v="2.0299999999999998"/>
    <n v="2968"/>
    <s v="Miriam Bowman"/>
    <s v="Regular Air"/>
    <s v="Small Business"/>
    <x v="0"/>
    <x v="7"/>
    <s v="Wrap Bag"/>
    <s v="Wirebound Service Call Books, 5 1/2&quot; x 4&quot;"/>
    <n v="0.37"/>
    <s v="United States"/>
    <x v="3"/>
    <s v="Florida"/>
    <s v="Hollywood"/>
    <n v="33021"/>
    <x v="11"/>
    <d v="2015-02-24T00:00:00"/>
    <n v="-536.24199999999996"/>
    <n v="1"/>
    <x v="1660"/>
    <n v="86085"/>
    <x v="1676"/>
  </r>
  <r>
    <n v="21391"/>
    <s v="Not Specified"/>
    <n v="0.04"/>
    <n v="150.97999999999999"/>
    <n v="16.010000000000002"/>
    <n v="2968"/>
    <s v="Miriam Bowman"/>
    <s v="Delivery Truck"/>
    <s v="Small Business"/>
    <x v="1"/>
    <x v="11"/>
    <s v="Jumbo Box"/>
    <s v="Iceberg OfficeWorks 42&quot; Round Tables"/>
    <n v="0.7"/>
    <s v="United States"/>
    <x v="3"/>
    <s v="Florida"/>
    <s v="Hollywood"/>
    <n v="33021"/>
    <x v="11"/>
    <d v="2015-02-23T00:00:00"/>
    <n v="-125.86"/>
    <n v="5"/>
    <x v="1661"/>
    <n v="86085"/>
    <x v="1677"/>
  </r>
  <r>
    <n v="18041"/>
    <s v="High"/>
    <n v="0.06"/>
    <n v="363.25"/>
    <n v="19.989999999999998"/>
    <n v="2968"/>
    <s v="Miriam Bowman"/>
    <s v="Regular Air"/>
    <s v="Small Business"/>
    <x v="0"/>
    <x v="15"/>
    <s v="Small Box"/>
    <s v="Hoover WindTunnel™ Plus Canister Vacuum"/>
    <n v="0.56999999999999995"/>
    <s v="United States"/>
    <x v="3"/>
    <s v="Florida"/>
    <s v="Hollywood"/>
    <n v="33021"/>
    <x v="145"/>
    <d v="2015-03-30T00:00:00"/>
    <n v="36.164099999999998"/>
    <n v="1"/>
    <x v="1662"/>
    <n v="86086"/>
    <x v="1678"/>
  </r>
  <r>
    <n v="21096"/>
    <s v="High"/>
    <n v="0.01"/>
    <n v="30.97"/>
    <n v="4"/>
    <n v="2973"/>
    <s v="Sally Liu"/>
    <s v="Regular Air"/>
    <s v="Home Office"/>
    <x v="2"/>
    <x v="13"/>
    <s v="Small Box"/>
    <s v="Microsoft Multimedia Keyboard"/>
    <n v="0.74"/>
    <s v="United States"/>
    <x v="2"/>
    <s v="Wisconsin"/>
    <s v="New Berlin"/>
    <n v="53151"/>
    <x v="53"/>
    <d v="2015-04-15T00:00:00"/>
    <n v="17.102799999999998"/>
    <n v="17"/>
    <x v="1663"/>
    <n v="87186"/>
    <x v="1679"/>
  </r>
  <r>
    <n v="21097"/>
    <s v="High"/>
    <n v="0.08"/>
    <n v="125.99"/>
    <n v="7.69"/>
    <n v="2973"/>
    <s v="Sally Liu"/>
    <s v="Regular Air"/>
    <s v="Home Office"/>
    <x v="2"/>
    <x v="5"/>
    <s v="Small Box"/>
    <s v="Timeport L7089"/>
    <n v="0.57999999999999996"/>
    <s v="United States"/>
    <x v="2"/>
    <s v="Wisconsin"/>
    <s v="New Berlin"/>
    <n v="53151"/>
    <x v="53"/>
    <d v="2015-04-15T00:00:00"/>
    <n v="1269.3819599999999"/>
    <n v="23"/>
    <x v="1664"/>
    <n v="87186"/>
    <x v="1680"/>
  </r>
  <r>
    <n v="24770"/>
    <s v="Critical"/>
    <n v="0.1"/>
    <n v="442.14"/>
    <n v="14.7"/>
    <n v="2973"/>
    <s v="Sally Liu"/>
    <s v="Delivery Truck"/>
    <s v="Home Office"/>
    <x v="2"/>
    <x v="6"/>
    <s v="Jumbo Drum"/>
    <s v="Okidata ML390 Turbo Dot Matrix Printers"/>
    <n v="0.56000000000000005"/>
    <s v="United States"/>
    <x v="2"/>
    <s v="Wisconsin"/>
    <s v="New Berlin"/>
    <n v="53151"/>
    <x v="135"/>
    <d v="2015-05-21T00:00:00"/>
    <n v="137.68794"/>
    <n v="6"/>
    <x v="1665"/>
    <n v="87187"/>
    <x v="1681"/>
  </r>
  <r>
    <n v="19599"/>
    <s v="Medium"/>
    <n v="0.01"/>
    <n v="35.99"/>
    <n v="0.99"/>
    <n v="2976"/>
    <s v="Fred Barber"/>
    <s v="Regular Air"/>
    <s v="Small Business"/>
    <x v="2"/>
    <x v="5"/>
    <s v="Small Pack"/>
    <s v="Accessory31"/>
    <n v="0.35"/>
    <s v="United States"/>
    <x v="2"/>
    <s v="Wisconsin"/>
    <s v="Oak Creek"/>
    <n v="53154"/>
    <x v="55"/>
    <d v="2015-05-23T00:00:00"/>
    <n v="882.48239999999998"/>
    <n v="41"/>
    <x v="1666"/>
    <n v="89047"/>
    <x v="1682"/>
  </r>
  <r>
    <n v="20182"/>
    <s v="Critical"/>
    <n v="0.09"/>
    <n v="2.94"/>
    <n v="0.7"/>
    <n v="2979"/>
    <s v="Lloyd Dolan"/>
    <s v="Regular Air"/>
    <s v="Corporate"/>
    <x v="0"/>
    <x v="0"/>
    <s v="Wrap Bag"/>
    <s v="Newell 338"/>
    <n v="0.57999999999999996"/>
    <s v="United States"/>
    <x v="2"/>
    <s v="North Dakota"/>
    <s v="Dickinson"/>
    <n v="58601"/>
    <x v="39"/>
    <d v="2015-01-28T00:00:00"/>
    <n v="6.3840000000000003"/>
    <n v="9"/>
    <x v="1667"/>
    <n v="86544"/>
    <x v="1683"/>
  </r>
  <r>
    <n v="18169"/>
    <s v="Critical"/>
    <n v="0.02"/>
    <n v="5.34"/>
    <n v="2.99"/>
    <n v="2979"/>
    <s v="Lloyd Dolan"/>
    <s v="Regular Air"/>
    <s v="Corporate"/>
    <x v="0"/>
    <x v="8"/>
    <s v="Small Box"/>
    <s v="Wilson Jones 14 Line Acrylic Coated Pressboard Data Binders"/>
    <n v="0.38"/>
    <s v="United States"/>
    <x v="2"/>
    <s v="North Dakota"/>
    <s v="Dickinson"/>
    <n v="58601"/>
    <x v="115"/>
    <d v="2015-02-28T00:00:00"/>
    <n v="5.2954999999999997"/>
    <n v="6"/>
    <x v="1668"/>
    <n v="86545"/>
    <x v="1684"/>
  </r>
  <r>
    <n v="18170"/>
    <s v="Critical"/>
    <n v="0.03"/>
    <n v="40.98"/>
    <n v="7.47"/>
    <n v="2979"/>
    <s v="Lloyd Dolan"/>
    <s v="Regular Air"/>
    <s v="Corporate"/>
    <x v="0"/>
    <x v="8"/>
    <s v="Small Box"/>
    <s v="Wilson Jones Ledger-Size, Piano-Hinge Binder, 2&quot;, Blue"/>
    <n v="0.37"/>
    <s v="United States"/>
    <x v="2"/>
    <s v="North Dakota"/>
    <s v="Dickinson"/>
    <n v="58601"/>
    <x v="115"/>
    <d v="2015-02-27T00:00:00"/>
    <n v="170.79570000000001"/>
    <n v="6"/>
    <x v="1669"/>
    <n v="86545"/>
    <x v="1685"/>
  </r>
  <r>
    <n v="18133"/>
    <s v="Not Specified"/>
    <n v="0.01"/>
    <n v="5.84"/>
    <n v="0.83"/>
    <n v="2979"/>
    <s v="Lloyd Dolan"/>
    <s v="Regular Air"/>
    <s v="Corporate"/>
    <x v="0"/>
    <x v="0"/>
    <s v="Wrap Bag"/>
    <s v="Avery Hi-Liter® Smear-Safe Highlighters"/>
    <n v="0.49"/>
    <s v="United States"/>
    <x v="2"/>
    <s v="North Dakota"/>
    <s v="Dickinson"/>
    <n v="58601"/>
    <x v="110"/>
    <d v="2015-06-16T00:00:00"/>
    <n v="16.091999999999999"/>
    <n v="4"/>
    <x v="1670"/>
    <n v="86546"/>
    <x v="1686"/>
  </r>
  <r>
    <n v="20183"/>
    <s v="Critical"/>
    <n v="0.03"/>
    <n v="43.98"/>
    <n v="8.99"/>
    <n v="2980"/>
    <s v="Joanna Kenney"/>
    <s v="Regular Air"/>
    <s v="Corporate"/>
    <x v="0"/>
    <x v="0"/>
    <s v="Small Pack"/>
    <s v="Boston 1645 Deluxe Heavier-Duty Electric Pencil Sharpener"/>
    <n v="0.57999999999999996"/>
    <s v="United States"/>
    <x v="1"/>
    <s v="Ohio"/>
    <s v="Sandusky"/>
    <n v="44870"/>
    <x v="39"/>
    <d v="2015-01-29T00:00:00"/>
    <n v="274.0788"/>
    <n v="10"/>
    <x v="1671"/>
    <n v="86544"/>
    <x v="1687"/>
  </r>
  <r>
    <n v="20184"/>
    <s v="Critical"/>
    <n v="0.06"/>
    <n v="1.1399999999999999"/>
    <n v="0.7"/>
    <n v="2980"/>
    <s v="Joanna Kenney"/>
    <s v="Regular Air"/>
    <s v="Corporate"/>
    <x v="0"/>
    <x v="3"/>
    <s v="Wrap Bag"/>
    <s v="OIC Thumb-Tacks"/>
    <n v="0.38"/>
    <s v="United States"/>
    <x v="1"/>
    <s v="Ohio"/>
    <s v="Sandusky"/>
    <n v="44870"/>
    <x v="39"/>
    <d v="2015-01-30T00:00:00"/>
    <n v="-3.782"/>
    <n v="13"/>
    <x v="869"/>
    <n v="86544"/>
    <x v="1688"/>
  </r>
  <r>
    <n v="20435"/>
    <s v="Medium"/>
    <n v="7.0000000000000007E-2"/>
    <n v="2.61"/>
    <n v="0.5"/>
    <n v="2980"/>
    <s v="Joanna Kenney"/>
    <s v="Regular Air"/>
    <s v="Corporate"/>
    <x v="0"/>
    <x v="9"/>
    <s v="Small Box"/>
    <s v="Avery 494"/>
    <n v="0.39"/>
    <s v="United States"/>
    <x v="1"/>
    <s v="Ohio"/>
    <s v="Sandusky"/>
    <n v="44870"/>
    <x v="147"/>
    <d v="2015-02-27T00:00:00"/>
    <n v="10.798500000000001"/>
    <n v="6"/>
    <x v="1672"/>
    <n v="86547"/>
    <x v="1689"/>
  </r>
  <r>
    <n v="23110"/>
    <s v="Low"/>
    <n v="0.04"/>
    <n v="2.88"/>
    <n v="1.01"/>
    <n v="2980"/>
    <s v="Joanna Kenney"/>
    <s v="Regular Air"/>
    <s v="Corporate"/>
    <x v="0"/>
    <x v="0"/>
    <s v="Wrap Bag"/>
    <s v="Sanford Colorific Colored Pencils, 12/Box"/>
    <n v="0.55000000000000004"/>
    <s v="United States"/>
    <x v="1"/>
    <s v="Ohio"/>
    <s v="Sandusky"/>
    <n v="44870"/>
    <x v="155"/>
    <d v="2015-06-04T00:00:00"/>
    <n v="15.246"/>
    <n v="39"/>
    <x v="1673"/>
    <n v="86548"/>
    <x v="1690"/>
  </r>
  <r>
    <n v="20816"/>
    <s v="Critical"/>
    <n v="0.09"/>
    <n v="100.98"/>
    <n v="35.840000000000003"/>
    <n v="2987"/>
    <s v="Natalie Watts"/>
    <s v="Delivery Truck"/>
    <s v="Home Office"/>
    <x v="1"/>
    <x v="14"/>
    <s v="Jumbo Box"/>
    <s v="Bush Westfield Collection Bookcases, Fully Assembled"/>
    <n v="0.62"/>
    <s v="United States"/>
    <x v="2"/>
    <s v="Iowa"/>
    <s v="West Des Moines"/>
    <n v="50265"/>
    <x v="162"/>
    <d v="2015-06-28T00:00:00"/>
    <n v="-103.624"/>
    <n v="17"/>
    <x v="1674"/>
    <n v="91180"/>
    <x v="1691"/>
  </r>
  <r>
    <n v="20817"/>
    <s v="Critical"/>
    <n v="0.1"/>
    <n v="5.78"/>
    <n v="7.96"/>
    <n v="2987"/>
    <s v="Natalie Watts"/>
    <s v="Regular Air"/>
    <s v="Home Office"/>
    <x v="0"/>
    <x v="7"/>
    <s v="Small Box"/>
    <s v="Xerox 196"/>
    <n v="0.36"/>
    <s v="United States"/>
    <x v="2"/>
    <s v="Iowa"/>
    <s v="West Des Moines"/>
    <n v="50265"/>
    <x v="162"/>
    <d v="2015-06-28T00:00:00"/>
    <n v="-57.823999999999998"/>
    <n v="6"/>
    <x v="1675"/>
    <n v="91180"/>
    <x v="1692"/>
  </r>
  <r>
    <n v="22473"/>
    <s v="Low"/>
    <n v="0.05"/>
    <n v="70.97"/>
    <n v="3.5"/>
    <n v="2991"/>
    <s v="Sean Herbert"/>
    <s v="Regular Air"/>
    <s v="Home Office"/>
    <x v="0"/>
    <x v="15"/>
    <s v="Small Box"/>
    <s v="Tripp Lite Isotel 8 Ultra 8 Outlet Metal Surge"/>
    <n v="0.59"/>
    <s v="United States"/>
    <x v="2"/>
    <s v="Wisconsin"/>
    <s v="Racine"/>
    <n v="53402"/>
    <x v="100"/>
    <d v="2015-05-13T00:00:00"/>
    <n v="18.218"/>
    <n v="2"/>
    <x v="1676"/>
    <n v="91466"/>
    <x v="1693"/>
  </r>
  <r>
    <n v="22476"/>
    <s v="Low"/>
    <n v="0"/>
    <n v="5.28"/>
    <n v="6.26"/>
    <n v="2992"/>
    <s v="Lindsay Webb"/>
    <s v="Regular Air"/>
    <s v="Home Office"/>
    <x v="0"/>
    <x v="7"/>
    <s v="Small Box"/>
    <s v="Xerox 1928"/>
    <n v="0.4"/>
    <s v="United States"/>
    <x v="2"/>
    <s v="Wisconsin"/>
    <s v="Sheboygan"/>
    <n v="53081"/>
    <x v="100"/>
    <d v="2015-05-15T00:00:00"/>
    <n v="25.058"/>
    <n v="36"/>
    <x v="1677"/>
    <n v="91466"/>
    <x v="1694"/>
  </r>
  <r>
    <n v="20891"/>
    <s v="Not Specified"/>
    <n v="0.03"/>
    <n v="10.98"/>
    <n v="3.37"/>
    <n v="2999"/>
    <s v="Kim McCarthy"/>
    <s v="Regular Air"/>
    <s v="Consumer"/>
    <x v="0"/>
    <x v="12"/>
    <s v="Small Pack"/>
    <s v="Fiskars® Softgrip Scissors"/>
    <n v="0.56999999999999995"/>
    <s v="United States"/>
    <x v="2"/>
    <s v="Michigan"/>
    <s v="Oak Park"/>
    <n v="48237"/>
    <x v="98"/>
    <d v="2015-04-11T00:00:00"/>
    <n v="11.82"/>
    <n v="5"/>
    <x v="1678"/>
    <n v="87041"/>
    <x v="1695"/>
  </r>
  <r>
    <n v="21499"/>
    <s v="Low"/>
    <n v="0.01"/>
    <n v="10.14"/>
    <n v="2.27"/>
    <n v="3000"/>
    <s v="Priscilla Allen"/>
    <s v="Regular Air"/>
    <s v="Consumer"/>
    <x v="0"/>
    <x v="7"/>
    <s v="Wrap Bag"/>
    <s v="Staples Wirebound Steno Books, 6&quot; x 9&quot;, 12/Pack"/>
    <n v="0.36"/>
    <s v="United States"/>
    <x v="2"/>
    <s v="Michigan"/>
    <s v="Pontiac"/>
    <n v="48342"/>
    <x v="161"/>
    <d v="2015-01-28T00:00:00"/>
    <n v="28.152000000000001"/>
    <n v="4"/>
    <x v="1679"/>
    <n v="87042"/>
    <x v="1696"/>
  </r>
  <r>
    <n v="23836"/>
    <s v="Not Specified"/>
    <n v="0.03"/>
    <n v="5.4"/>
    <n v="7.78"/>
    <n v="3001"/>
    <s v="Anthony Foley"/>
    <s v="Regular Air"/>
    <s v="Consumer"/>
    <x v="0"/>
    <x v="8"/>
    <s v="Small Box"/>
    <s v="3M Organizer Strips"/>
    <n v="0.37"/>
    <s v="United States"/>
    <x v="2"/>
    <s v="Michigan"/>
    <s v="Port Huron"/>
    <n v="48060"/>
    <x v="83"/>
    <d v="2015-03-19T00:00:00"/>
    <n v="-237.54400000000001"/>
    <n v="21"/>
    <x v="1680"/>
    <n v="87043"/>
    <x v="1697"/>
  </r>
  <r>
    <n v="25282"/>
    <s v="Medium"/>
    <n v="0.03"/>
    <n v="85.99"/>
    <n v="0.99"/>
    <n v="3003"/>
    <s v="Roy Rouse"/>
    <s v="Regular Air"/>
    <s v="Home Office"/>
    <x v="2"/>
    <x v="5"/>
    <s v="Wrap Bag"/>
    <s v="Accessory34"/>
    <n v="0.55000000000000004"/>
    <s v="United States"/>
    <x v="0"/>
    <s v="Idaho"/>
    <s v="Coeur D Alene"/>
    <n v="83814"/>
    <x v="93"/>
    <d v="2015-03-06T00:00:00"/>
    <n v="1037.1044999999999"/>
    <n v="20"/>
    <x v="1681"/>
    <n v="91586"/>
    <x v="1698"/>
  </r>
  <r>
    <n v="7664"/>
    <s v="Low"/>
    <n v="0.08"/>
    <n v="6.48"/>
    <n v="6.81"/>
    <n v="3004"/>
    <s v="Maurice Everett"/>
    <s v="Regular Air"/>
    <s v="Corporate"/>
    <x v="0"/>
    <x v="7"/>
    <s v="Small Box"/>
    <s v="Xerox 1930"/>
    <n v="0.36"/>
    <s v="United States"/>
    <x v="0"/>
    <s v="California"/>
    <s v="Los Angeles"/>
    <n v="90049"/>
    <x v="104"/>
    <d v="2015-02-15T00:00:00"/>
    <n v="-94.59"/>
    <n v="58"/>
    <x v="1682"/>
    <n v="54949"/>
    <x v="1699"/>
  </r>
  <r>
    <n v="7665"/>
    <s v="Low"/>
    <n v="0.09"/>
    <n v="20.98"/>
    <n v="53.03"/>
    <n v="3004"/>
    <s v="Maurice Everett"/>
    <s v="Delivery Truck"/>
    <s v="Corporate"/>
    <x v="0"/>
    <x v="10"/>
    <s v="Jumbo Drum"/>
    <s v="Tennsco Lockers, Gray"/>
    <n v="0.78"/>
    <s v="United States"/>
    <x v="0"/>
    <s v="California"/>
    <s v="Los Angeles"/>
    <n v="90049"/>
    <x v="104"/>
    <d v="2015-02-17T00:00:00"/>
    <n v="-293.74"/>
    <n v="13"/>
    <x v="1683"/>
    <n v="54949"/>
    <x v="1700"/>
  </r>
  <r>
    <n v="23295"/>
    <s v="Critical"/>
    <n v="0.05"/>
    <n v="122.99"/>
    <n v="19.989999999999998"/>
    <n v="3005"/>
    <s v="Teresa Watts"/>
    <s v="Express Air"/>
    <s v="Corporate"/>
    <x v="0"/>
    <x v="8"/>
    <s v="Small Box"/>
    <s v="GBC Therma-A-Bind 250T Electric Binding System"/>
    <n v="0.37"/>
    <s v="United States"/>
    <x v="0"/>
    <s v="Idaho"/>
    <s v="Coeur D Alene"/>
    <n v="83814"/>
    <x v="178"/>
    <d v="2015-06-11T00:00:00"/>
    <n v="1039.7541000000001"/>
    <n v="12"/>
    <x v="1684"/>
    <n v="91389"/>
    <x v="1701"/>
  </r>
  <r>
    <n v="25664"/>
    <s v="Low"/>
    <n v="0.08"/>
    <n v="6.48"/>
    <n v="6.81"/>
    <n v="3006"/>
    <s v="Thomas Spence"/>
    <s v="Regular Air"/>
    <s v="Corporate"/>
    <x v="0"/>
    <x v="7"/>
    <s v="Small Box"/>
    <s v="Xerox 1930"/>
    <n v="0.36"/>
    <s v="United States"/>
    <x v="0"/>
    <s v="Idaho"/>
    <s v="Idaho Falls"/>
    <n v="83402"/>
    <x v="104"/>
    <d v="2015-02-15T00:00:00"/>
    <n v="-49.186799999999998"/>
    <n v="14"/>
    <x v="1685"/>
    <n v="91388"/>
    <x v="1702"/>
  </r>
  <r>
    <n v="25665"/>
    <s v="Low"/>
    <n v="0.09"/>
    <n v="20.98"/>
    <n v="53.03"/>
    <n v="3006"/>
    <s v="Thomas Spence"/>
    <s v="Delivery Truck"/>
    <s v="Corporate"/>
    <x v="0"/>
    <x v="10"/>
    <s v="Jumbo Drum"/>
    <s v="Tennsco Lockers, Gray"/>
    <n v="0.78"/>
    <s v="United States"/>
    <x v="0"/>
    <s v="Idaho"/>
    <s v="Idaho Falls"/>
    <n v="83402"/>
    <x v="104"/>
    <d v="2015-02-17T00:00:00"/>
    <n v="-152.7448"/>
    <n v="3"/>
    <x v="1686"/>
    <n v="91388"/>
    <x v="1703"/>
  </r>
  <r>
    <n v="23627"/>
    <s v="Critical"/>
    <n v="0.05"/>
    <n v="9.99"/>
    <n v="4.78"/>
    <n v="3008"/>
    <s v="Penny Rich"/>
    <s v="Regular Air"/>
    <s v="Home Office"/>
    <x v="0"/>
    <x v="7"/>
    <s v="Small Box"/>
    <s v="Xerox 1896"/>
    <n v="0.4"/>
    <s v="United States"/>
    <x v="2"/>
    <s v="Minnesota"/>
    <s v="Minnetonka Mills"/>
    <n v="55343"/>
    <x v="127"/>
    <d v="2015-03-07T00:00:00"/>
    <n v="41.3"/>
    <n v="20"/>
    <x v="1687"/>
    <n v="89414"/>
    <x v="1704"/>
  </r>
  <r>
    <n v="24908"/>
    <s v="High"/>
    <n v="0.01"/>
    <n v="12.28"/>
    <n v="6.47"/>
    <n v="3008"/>
    <s v="Penny Rich"/>
    <s v="Regular Air"/>
    <s v="Home Office"/>
    <x v="0"/>
    <x v="7"/>
    <s v="Small Box"/>
    <s v="Xerox 1881"/>
    <n v="0.38"/>
    <s v="United States"/>
    <x v="2"/>
    <s v="Minnesota"/>
    <s v="Minnetonka Mills"/>
    <n v="55343"/>
    <x v="164"/>
    <d v="2015-06-12T00:00:00"/>
    <n v="47.61"/>
    <n v="12"/>
    <x v="1688"/>
    <n v="89415"/>
    <x v="1705"/>
  </r>
  <r>
    <n v="7898"/>
    <s v="Critical"/>
    <n v="0.03"/>
    <n v="5.98"/>
    <n v="5.35"/>
    <n v="3011"/>
    <s v="Tammy Raynor"/>
    <s v="Regular Air"/>
    <s v="Corporate"/>
    <x v="0"/>
    <x v="7"/>
    <s v="Small Box"/>
    <s v="Xerox 1947"/>
    <n v="0.4"/>
    <s v="United States"/>
    <x v="1"/>
    <s v="Massachusetts"/>
    <s v="Boston"/>
    <n v="2113"/>
    <x v="5"/>
    <d v="2015-05-29T00:00:00"/>
    <n v="-23.5"/>
    <n v="16"/>
    <x v="1689"/>
    <n v="56486"/>
    <x v="1706"/>
  </r>
  <r>
    <n v="1041"/>
    <s v="Critical"/>
    <n v="0.03"/>
    <n v="300.64999999999998"/>
    <n v="24.49"/>
    <n v="3011"/>
    <s v="Tammy Raynor"/>
    <s v="Regular Air"/>
    <s v="Corporate"/>
    <x v="0"/>
    <x v="15"/>
    <s v="Large Box"/>
    <s v="Honeywell Enviracaire Portable HEPA Air Cleaner for 17' x 22' Room"/>
    <n v="0.52"/>
    <s v="United States"/>
    <x v="1"/>
    <s v="Massachusetts"/>
    <s v="Boston"/>
    <n v="2113"/>
    <x v="65"/>
    <d v="2015-04-30T00:00:00"/>
    <n v="1282.4960000000001"/>
    <n v="32"/>
    <x v="1690"/>
    <n v="7623"/>
    <x v="1707"/>
  </r>
  <r>
    <n v="1042"/>
    <s v="Critical"/>
    <n v="0.06"/>
    <n v="49.99"/>
    <n v="19.989999999999998"/>
    <n v="3011"/>
    <s v="Tammy Raynor"/>
    <s v="Regular Air"/>
    <s v="Corporate"/>
    <x v="2"/>
    <x v="13"/>
    <s v="Small Box"/>
    <s v="US Robotics 56K V.92 Internal PCI Faxmodem"/>
    <n v="0.45"/>
    <s v="United States"/>
    <x v="1"/>
    <s v="Massachusetts"/>
    <s v="Boston"/>
    <n v="2113"/>
    <x v="65"/>
    <d v="2015-04-30T00:00:00"/>
    <n v="17.2"/>
    <n v="67"/>
    <x v="1691"/>
    <n v="7623"/>
    <x v="1708"/>
  </r>
  <r>
    <n v="1043"/>
    <s v="Critical"/>
    <n v="0.1"/>
    <n v="104.85"/>
    <n v="4.6500000000000004"/>
    <n v="3011"/>
    <s v="Tammy Raynor"/>
    <s v="Regular Air"/>
    <s v="Corporate"/>
    <x v="0"/>
    <x v="7"/>
    <s v="Small Box"/>
    <s v="Xerox 1941"/>
    <n v="0.37"/>
    <s v="United States"/>
    <x v="1"/>
    <s v="Massachusetts"/>
    <s v="Boston"/>
    <n v="2113"/>
    <x v="65"/>
    <d v="2015-04-29T00:00:00"/>
    <n v="1184.1199999999999"/>
    <n v="58"/>
    <x v="1692"/>
    <n v="7623"/>
    <x v="1709"/>
  </r>
  <r>
    <n v="19041"/>
    <s v="Critical"/>
    <n v="0.03"/>
    <n v="300.64999999999998"/>
    <n v="24.49"/>
    <n v="3012"/>
    <s v="Annie Livingston"/>
    <s v="Regular Air"/>
    <s v="Corporate"/>
    <x v="0"/>
    <x v="15"/>
    <s v="Large Box"/>
    <s v="Honeywell Enviracaire Portable HEPA Air Cleaner for 17' x 22' Room"/>
    <n v="0.52"/>
    <s v="United States"/>
    <x v="1"/>
    <s v="New York"/>
    <s v="Rochester"/>
    <n v="14609"/>
    <x v="65"/>
    <d v="2015-04-30T00:00:00"/>
    <n v="1474.8704"/>
    <n v="8"/>
    <x v="1693"/>
    <n v="86346"/>
    <x v="1710"/>
  </r>
  <r>
    <n v="19042"/>
    <s v="Critical"/>
    <n v="0.06"/>
    <n v="49.99"/>
    <n v="19.989999999999998"/>
    <n v="3012"/>
    <s v="Annie Livingston"/>
    <s v="Regular Air"/>
    <s v="Corporate"/>
    <x v="2"/>
    <x v="13"/>
    <s v="Small Box"/>
    <s v="US Robotics 56K V.92 Internal PCI Faxmodem"/>
    <n v="0.45"/>
    <s v="United States"/>
    <x v="1"/>
    <s v="New York"/>
    <s v="Rochester"/>
    <n v="14609"/>
    <x v="65"/>
    <d v="2015-04-30T00:00:00"/>
    <n v="19.78"/>
    <n v="17"/>
    <x v="1694"/>
    <n v="86346"/>
    <x v="1711"/>
  </r>
  <r>
    <n v="19043"/>
    <s v="Critical"/>
    <n v="0.1"/>
    <n v="104.85"/>
    <n v="4.6500000000000004"/>
    <n v="3012"/>
    <s v="Annie Livingston"/>
    <s v="Regular Air"/>
    <s v="Corporate"/>
    <x v="0"/>
    <x v="7"/>
    <s v="Small Box"/>
    <s v="Xerox 1941"/>
    <n v="0.37"/>
    <s v="United States"/>
    <x v="1"/>
    <s v="New York"/>
    <s v="Rochester"/>
    <n v="14609"/>
    <x v="65"/>
    <d v="2015-04-29T00:00:00"/>
    <n v="929.79570000000001"/>
    <n v="14"/>
    <x v="1695"/>
    <n v="86346"/>
    <x v="1712"/>
  </r>
  <r>
    <n v="22064"/>
    <s v="Critical"/>
    <n v="0.01"/>
    <n v="5.58"/>
    <n v="5.3"/>
    <n v="3017"/>
    <s v="Melvin Benton"/>
    <s v="Regular Air"/>
    <s v="Corporate"/>
    <x v="0"/>
    <x v="4"/>
    <s v="Small Box"/>
    <s v="Staples Brown Kraft Recycled Clasp Envelopes"/>
    <n v="0.35"/>
    <s v="United States"/>
    <x v="0"/>
    <s v="California"/>
    <s v="Encinitas"/>
    <n v="92024"/>
    <x v="85"/>
    <d v="2015-01-10T00:00:00"/>
    <n v="-7.25"/>
    <n v="1"/>
    <x v="1696"/>
    <n v="89071"/>
    <x v="1713"/>
  </r>
  <r>
    <n v="22065"/>
    <s v="Critical"/>
    <n v="0.03"/>
    <n v="3.98"/>
    <n v="0.7"/>
    <n v="3017"/>
    <s v="Melvin Benton"/>
    <s v="Regular Air"/>
    <s v="Corporate"/>
    <x v="0"/>
    <x v="0"/>
    <s v="Wrap Bag"/>
    <s v="4009® Highlighters by Sanford"/>
    <n v="0.52"/>
    <s v="United States"/>
    <x v="0"/>
    <s v="California"/>
    <s v="Encinitas"/>
    <n v="92024"/>
    <x v="85"/>
    <d v="2015-01-10T00:00:00"/>
    <n v="31.201799999999999"/>
    <n v="11"/>
    <x v="1697"/>
    <n v="89071"/>
    <x v="1714"/>
  </r>
  <r>
    <n v="18950"/>
    <s v="Low"/>
    <n v="0.01"/>
    <n v="4.9800000000000004"/>
    <n v="4.75"/>
    <n v="3035"/>
    <s v="Tina Evans"/>
    <s v="Regular Air"/>
    <s v="Home Office"/>
    <x v="0"/>
    <x v="7"/>
    <s v="Small Box"/>
    <s v="Hammermill CopyPlus Copy Paper (20Lb. and 84 Bright)"/>
    <n v="0.36"/>
    <s v="United States"/>
    <x v="2"/>
    <s v="Illinois"/>
    <s v="Lombard"/>
    <n v="60148"/>
    <x v="43"/>
    <d v="2015-01-20T00:00:00"/>
    <n v="-75.900400000000005"/>
    <n v="10"/>
    <x v="264"/>
    <n v="89128"/>
    <x v="264"/>
  </r>
  <r>
    <n v="18951"/>
    <s v="Low"/>
    <n v="0.04"/>
    <n v="6.35"/>
    <n v="1.02"/>
    <n v="3035"/>
    <s v="Tina Evans"/>
    <s v="Regular Air"/>
    <s v="Home Office"/>
    <x v="0"/>
    <x v="7"/>
    <s v="Wrap Bag"/>
    <s v="Telephone Message Books with Fax/Mobile Section, 5 1/2&quot; x 3 3/16&quot;"/>
    <n v="0.39"/>
    <s v="United States"/>
    <x v="2"/>
    <s v="Illinois"/>
    <s v="Lombard"/>
    <n v="60148"/>
    <x v="43"/>
    <d v="2015-01-20T00:00:00"/>
    <n v="52.170900000000003"/>
    <n v="12"/>
    <x v="1698"/>
    <n v="89128"/>
    <x v="1715"/>
  </r>
  <r>
    <n v="19849"/>
    <s v="Not Specified"/>
    <n v="0.02"/>
    <n v="12.99"/>
    <n v="14.37"/>
    <n v="3036"/>
    <s v="Edith Reynolds"/>
    <s v="Regular Air"/>
    <s v="Home Office"/>
    <x v="1"/>
    <x v="2"/>
    <s v="Large Box"/>
    <s v="Tensor &quot;Hersey Kiss&quot; Styled Floor Lamp"/>
    <n v="0.73"/>
    <s v="United States"/>
    <x v="2"/>
    <s v="North Dakota"/>
    <s v="Mandan"/>
    <n v="58554"/>
    <x v="59"/>
    <d v="2015-01-18T00:00:00"/>
    <n v="-159.86000000000001"/>
    <n v="5"/>
    <x v="1699"/>
    <n v="89129"/>
    <x v="1716"/>
  </r>
  <r>
    <n v="19850"/>
    <s v="Not Specified"/>
    <n v="0.05"/>
    <n v="35.44"/>
    <n v="7.5"/>
    <n v="3036"/>
    <s v="Edith Reynolds"/>
    <s v="Regular Air"/>
    <s v="Home Office"/>
    <x v="0"/>
    <x v="7"/>
    <s v="Small Box"/>
    <s v="Xerox 1906"/>
    <n v="0.38"/>
    <s v="United States"/>
    <x v="2"/>
    <s v="North Dakota"/>
    <s v="Mandan"/>
    <n v="58554"/>
    <x v="59"/>
    <d v="2015-01-18T00:00:00"/>
    <n v="165.88980000000001"/>
    <n v="7"/>
    <x v="1700"/>
    <n v="89129"/>
    <x v="1717"/>
  </r>
  <r>
    <n v="19851"/>
    <s v="Not Specified"/>
    <n v="0.02"/>
    <n v="12.98"/>
    <n v="3.14"/>
    <n v="3036"/>
    <s v="Edith Reynolds"/>
    <s v="Regular Air"/>
    <s v="Home Office"/>
    <x v="0"/>
    <x v="12"/>
    <s v="Small Pack"/>
    <s v="Acme® 8&quot; Straight Scissors"/>
    <n v="0.6"/>
    <s v="United States"/>
    <x v="2"/>
    <s v="North Dakota"/>
    <s v="Mandan"/>
    <n v="58554"/>
    <x v="59"/>
    <d v="2015-01-19T00:00:00"/>
    <n v="75.010000000000005"/>
    <n v="14"/>
    <x v="1701"/>
    <n v="89129"/>
    <x v="1718"/>
  </r>
  <r>
    <n v="22201"/>
    <s v="Critical"/>
    <n v="0.08"/>
    <n v="178.47"/>
    <n v="19.989999999999998"/>
    <n v="3036"/>
    <s v="Edith Reynolds"/>
    <s v="Regular Air"/>
    <s v="Home Office"/>
    <x v="0"/>
    <x v="10"/>
    <s v="Small Box"/>
    <s v="Hot File® 7-Pocket, Floor Stand"/>
    <n v="0.55000000000000004"/>
    <s v="United States"/>
    <x v="2"/>
    <s v="North Dakota"/>
    <s v="Mandan"/>
    <n v="58554"/>
    <x v="114"/>
    <d v="2015-03-16T00:00:00"/>
    <n v="2267.2199999999998"/>
    <n v="22"/>
    <x v="1702"/>
    <n v="89130"/>
    <x v="1719"/>
  </r>
  <r>
    <n v="19381"/>
    <s v="Not Specified"/>
    <n v="0.08"/>
    <n v="73.98"/>
    <n v="4"/>
    <n v="3041"/>
    <s v="Carrie Duke"/>
    <s v="Regular Air"/>
    <s v="Corporate"/>
    <x v="2"/>
    <x v="13"/>
    <s v="Small Box"/>
    <s v="Keytronic 105-Key Spanish Keyboard"/>
    <n v="0.77"/>
    <s v="United States"/>
    <x v="2"/>
    <s v="Kansas"/>
    <s v="Garden City"/>
    <n v="67846"/>
    <x v="7"/>
    <d v="2015-05-18T00:00:00"/>
    <n v="97.16"/>
    <n v="17"/>
    <x v="1703"/>
    <n v="86102"/>
    <x v="1720"/>
  </r>
  <r>
    <n v="19382"/>
    <s v="Not Specified"/>
    <n v="0.02"/>
    <n v="3.68"/>
    <n v="1.32"/>
    <n v="3041"/>
    <s v="Carrie Duke"/>
    <s v="Regular Air"/>
    <s v="Corporate"/>
    <x v="0"/>
    <x v="12"/>
    <s v="Wrap Bag"/>
    <s v="*Staples* vLetter Openers, 2/Pack"/>
    <n v="0.83"/>
    <s v="United States"/>
    <x v="2"/>
    <s v="Kansas"/>
    <s v="Garden City"/>
    <n v="67846"/>
    <x v="7"/>
    <d v="2015-05-17T00:00:00"/>
    <n v="-20.65"/>
    <n v="8"/>
    <x v="1704"/>
    <n v="86102"/>
    <x v="1721"/>
  </r>
  <r>
    <n v="20049"/>
    <s v="Medium"/>
    <n v="7.0000000000000007E-2"/>
    <n v="14.48"/>
    <n v="6.46"/>
    <n v="3042"/>
    <s v="Tara Gold"/>
    <s v="Regular Air"/>
    <s v="Small Business"/>
    <x v="0"/>
    <x v="8"/>
    <s v="Small Box"/>
    <s v="GBC White Gloss Covers, Plain Front"/>
    <n v="0.38"/>
    <s v="United States"/>
    <x v="2"/>
    <s v="Kansas"/>
    <s v="Hutchinson"/>
    <n v="67501"/>
    <x v="128"/>
    <d v="2015-02-05T00:00:00"/>
    <n v="67.864000000000004"/>
    <n v="12"/>
    <x v="1705"/>
    <n v="86101"/>
    <x v="1722"/>
  </r>
  <r>
    <n v="21475"/>
    <s v="High"/>
    <n v="0"/>
    <n v="6.48"/>
    <n v="5.19"/>
    <n v="3045"/>
    <s v="Jordan Beard"/>
    <s v="Regular Air"/>
    <s v="Small Business"/>
    <x v="0"/>
    <x v="7"/>
    <s v="Small Box"/>
    <s v="Xerox 1995"/>
    <n v="0.37"/>
    <s v="United States"/>
    <x v="2"/>
    <s v="Kansas"/>
    <s v="Leavenworth"/>
    <n v="66048"/>
    <x v="132"/>
    <d v="2015-06-07T00:00:00"/>
    <n v="-14.074999999999999"/>
    <n v="12"/>
    <x v="1706"/>
    <n v="86104"/>
    <x v="1723"/>
  </r>
  <r>
    <n v="24415"/>
    <s v="High"/>
    <n v="0.05"/>
    <n v="120.98"/>
    <n v="30"/>
    <n v="3046"/>
    <s v="Andrew Pearce"/>
    <s v="Delivery Truck"/>
    <s v="Small Business"/>
    <x v="1"/>
    <x v="1"/>
    <s v="Jumbo Drum"/>
    <s v="Hon Every-Day® Chair Series Swivel Task Chairs"/>
    <n v="0.64"/>
    <s v="United States"/>
    <x v="2"/>
    <s v="Kansas"/>
    <s v="Leawood"/>
    <n v="66209"/>
    <x v="6"/>
    <d v="2015-02-14T00:00:00"/>
    <n v="-78.759200000000007"/>
    <n v="2"/>
    <x v="1707"/>
    <n v="86103"/>
    <x v="1724"/>
  </r>
  <r>
    <n v="23188"/>
    <s v="High"/>
    <n v="0.06"/>
    <n v="276.2"/>
    <n v="24.49"/>
    <n v="3048"/>
    <s v="Tracy G Starr"/>
    <s v="Express Air"/>
    <s v="Corporate"/>
    <x v="1"/>
    <x v="1"/>
    <s v="Large Box"/>
    <s v="SAFCO Arco Folding Chair"/>
    <m/>
    <s v="United States"/>
    <x v="0"/>
    <s v="California"/>
    <s v="Berkeley"/>
    <n v="94704"/>
    <x v="93"/>
    <d v="2015-03-07T00:00:00"/>
    <n v="1167.3800000000001"/>
    <n v="10"/>
    <x v="1708"/>
    <n v="89789"/>
    <x v="1725"/>
  </r>
  <r>
    <n v="25904"/>
    <s v="Medium"/>
    <n v="0.06"/>
    <n v="125.99"/>
    <n v="2.5"/>
    <n v="3053"/>
    <s v="Robin Tyler"/>
    <s v="Regular Air"/>
    <s v="Corporate"/>
    <x v="2"/>
    <x v="5"/>
    <s v="Small Box"/>
    <s v="i2000"/>
    <n v="0.6"/>
    <s v="United States"/>
    <x v="3"/>
    <s v="Kentucky"/>
    <s v="Murray"/>
    <n v="42071"/>
    <x v="118"/>
    <d v="2015-02-05T00:00:00"/>
    <n v="402.06599999999997"/>
    <n v="11"/>
    <x v="1709"/>
    <n v="86662"/>
    <x v="1726"/>
  </r>
  <r>
    <n v="20516"/>
    <s v="Medium"/>
    <n v="7.0000000000000007E-2"/>
    <n v="8.33"/>
    <n v="1.99"/>
    <n v="3063"/>
    <s v="Ann Steele"/>
    <s v="Regular Air"/>
    <s v="Consumer"/>
    <x v="2"/>
    <x v="13"/>
    <s v="Small Pack"/>
    <s v="80 Minute Slim Jewel Case CD-R , 10/Pack - Staples"/>
    <n v="0.52"/>
    <s v="United States"/>
    <x v="0"/>
    <s v="Washington"/>
    <s v="Kirkland"/>
    <n v="98034"/>
    <x v="115"/>
    <d v="2015-02-28T00:00:00"/>
    <n v="11.95"/>
    <n v="6"/>
    <x v="1710"/>
    <n v="88447"/>
    <x v="1727"/>
  </r>
  <r>
    <n v="20517"/>
    <s v="Medium"/>
    <n v="0.03"/>
    <n v="499.99"/>
    <n v="24.49"/>
    <n v="3063"/>
    <s v="Ann Steele"/>
    <s v="Regular Air"/>
    <s v="Consumer"/>
    <x v="2"/>
    <x v="16"/>
    <s v="Large Box"/>
    <s v="Sharp AL-1530CS Digital Copier"/>
    <n v="0.36"/>
    <s v="United States"/>
    <x v="0"/>
    <s v="Washington"/>
    <s v="Kirkland"/>
    <n v="98034"/>
    <x v="115"/>
    <d v="2015-02-27T00:00:00"/>
    <n v="1773.6105"/>
    <n v="5"/>
    <x v="1711"/>
    <n v="88447"/>
    <x v="1728"/>
  </r>
  <r>
    <n v="19652"/>
    <s v="Not Specified"/>
    <n v="0.03"/>
    <n v="20.99"/>
    <n v="0.99"/>
    <n v="3063"/>
    <s v="Ann Steele"/>
    <s v="Regular Air"/>
    <s v="Consumer"/>
    <x v="2"/>
    <x v="5"/>
    <s v="Wrap Bag"/>
    <s v="Accessory25"/>
    <n v="0.56999999999999995"/>
    <s v="United States"/>
    <x v="0"/>
    <s v="Washington"/>
    <s v="Kirkland"/>
    <n v="98034"/>
    <x v="84"/>
    <d v="2015-05-26T00:00:00"/>
    <n v="4.1821999999999999"/>
    <n v="9"/>
    <x v="1712"/>
    <n v="88449"/>
    <x v="1729"/>
  </r>
  <r>
    <n v="23811"/>
    <s v="Low"/>
    <n v="0.03"/>
    <n v="6.45"/>
    <n v="1.34"/>
    <n v="3064"/>
    <s v="Clarence Crowder"/>
    <s v="Regular Air"/>
    <s v="Consumer"/>
    <x v="0"/>
    <x v="7"/>
    <s v="Wrap Bag"/>
    <s v="Wirebound Four 2-3/4 x 5 Forms per Page, 400 Sets per Book"/>
    <n v="0.36"/>
    <s v="United States"/>
    <x v="0"/>
    <s v="Washington"/>
    <s v="Lacey"/>
    <n v="98503"/>
    <x v="101"/>
    <d v="2015-01-19T00:00:00"/>
    <n v="39.129899999999999"/>
    <n v="9"/>
    <x v="1713"/>
    <n v="88448"/>
    <x v="1730"/>
  </r>
  <r>
    <n v="25239"/>
    <s v="Not Specified"/>
    <n v="0.06"/>
    <n v="355.98"/>
    <n v="58.92"/>
    <n v="3067"/>
    <s v="Carole Miller"/>
    <s v="Delivery Truck"/>
    <s v="Consumer"/>
    <x v="1"/>
    <x v="1"/>
    <s v="Jumbo Drum"/>
    <s v="Hon 4700 Series Mobuis™ Mid-Back Task Chairs with Adjustable Arms"/>
    <n v="0.64"/>
    <s v="United States"/>
    <x v="1"/>
    <s v="Ohio"/>
    <s v="Austintown"/>
    <n v="44515"/>
    <x v="21"/>
    <d v="2015-03-03T00:00:00"/>
    <n v="1660.92"/>
    <n v="14"/>
    <x v="1714"/>
    <n v="91376"/>
    <x v="1731"/>
  </r>
  <r>
    <n v="21027"/>
    <s v="High"/>
    <n v="0.03"/>
    <n v="120.98"/>
    <n v="30"/>
    <n v="3069"/>
    <s v="Tiffany Merrill"/>
    <s v="Delivery Truck"/>
    <s v="Consumer"/>
    <x v="1"/>
    <x v="1"/>
    <s v="Jumbo Drum"/>
    <s v="Hon Every-Day® Chair Series Swivel Task Chairs"/>
    <n v="0.64"/>
    <s v="United States"/>
    <x v="2"/>
    <s v="Minnesota"/>
    <s v="Oakdale"/>
    <n v="55128"/>
    <x v="144"/>
    <d v="2015-06-03T00:00:00"/>
    <n v="638.02800000000002"/>
    <n v="15"/>
    <x v="1715"/>
    <n v="88191"/>
    <x v="1732"/>
  </r>
  <r>
    <n v="21028"/>
    <s v="High"/>
    <n v="0.01"/>
    <n v="15.68"/>
    <n v="3.73"/>
    <n v="3069"/>
    <s v="Tiffany Merrill"/>
    <s v="Regular Air"/>
    <s v="Consumer"/>
    <x v="1"/>
    <x v="2"/>
    <s v="Small Pack"/>
    <s v="Artistic Insta-Plaque"/>
    <n v="0.46"/>
    <s v="United States"/>
    <x v="2"/>
    <s v="Minnesota"/>
    <s v="Oakdale"/>
    <n v="55128"/>
    <x v="144"/>
    <d v="2015-06-03T00:00:00"/>
    <n v="138.49680000000001"/>
    <n v="12"/>
    <x v="1716"/>
    <n v="88191"/>
    <x v="1733"/>
  </r>
  <r>
    <n v="22213"/>
    <s v="Critical"/>
    <n v="0.09"/>
    <n v="1.82"/>
    <n v="0.83"/>
    <n v="3069"/>
    <s v="Tiffany Merrill"/>
    <s v="Regular Air"/>
    <s v="Consumer"/>
    <x v="0"/>
    <x v="0"/>
    <s v="Wrap Bag"/>
    <s v="Newell 307"/>
    <n v="0.56999999999999995"/>
    <s v="United States"/>
    <x v="2"/>
    <s v="Minnesota"/>
    <s v="Oakdale"/>
    <n v="55128"/>
    <x v="79"/>
    <d v="2015-02-15T00:00:00"/>
    <n v="-6.734"/>
    <n v="22"/>
    <x v="1717"/>
    <n v="88192"/>
    <x v="1734"/>
  </r>
  <r>
    <n v="2063"/>
    <s v="Low"/>
    <n v="0.06"/>
    <n v="19.23"/>
    <n v="6.15"/>
    <n v="3075"/>
    <s v="Gordon Brandt"/>
    <s v="Regular Air"/>
    <s v="Corporate"/>
    <x v="1"/>
    <x v="2"/>
    <s v="Small Pack"/>
    <s v="Executive Impressions 13&quot; Clairmont Wall Clock"/>
    <n v="0.44"/>
    <s v="United States"/>
    <x v="0"/>
    <s v="California"/>
    <s v="Los Angeles"/>
    <n v="90061"/>
    <x v="136"/>
    <d v="2015-02-28T00:00:00"/>
    <n v="-25.38"/>
    <n v="4"/>
    <x v="1718"/>
    <n v="14756"/>
    <x v="1735"/>
  </r>
  <r>
    <n v="19739"/>
    <s v="Medium"/>
    <n v="0"/>
    <n v="137.47999999999999"/>
    <n v="32.18"/>
    <n v="3076"/>
    <s v="Peter Hardy"/>
    <s v="Delivery Truck"/>
    <s v="Small Business"/>
    <x v="1"/>
    <x v="14"/>
    <s v="Jumbo Box"/>
    <s v="O'Sullivan Cherrywood Estates Traditional Barrister Bookcase"/>
    <n v="0.78"/>
    <s v="United States"/>
    <x v="1"/>
    <s v="Ohio"/>
    <s v="Stow"/>
    <n v="44224"/>
    <x v="0"/>
    <d v="2015-01-08T00:00:00"/>
    <n v="-203.27"/>
    <n v="2"/>
    <x v="1719"/>
    <n v="88241"/>
    <x v="1736"/>
  </r>
  <r>
    <n v="23816"/>
    <s v="Medium"/>
    <n v="7.0000000000000007E-2"/>
    <n v="300.97000000000003"/>
    <n v="7.18"/>
    <n v="3077"/>
    <s v="Lynne Reid"/>
    <s v="Regular Air"/>
    <s v="Small Business"/>
    <x v="2"/>
    <x v="13"/>
    <s v="Small Box"/>
    <s v="Gyration Ultra Professional Cordless Optical Suite"/>
    <n v="0.48"/>
    <s v="United States"/>
    <x v="1"/>
    <s v="Ohio"/>
    <s v="Strongsville"/>
    <n v="44136"/>
    <x v="163"/>
    <d v="2015-05-09T00:00:00"/>
    <n v="-807.59"/>
    <n v="2"/>
    <x v="1720"/>
    <n v="88239"/>
    <x v="1737"/>
  </r>
  <r>
    <n v="25489"/>
    <s v="Not Specified"/>
    <n v="0.04"/>
    <n v="35.44"/>
    <n v="5.09"/>
    <n v="3078"/>
    <s v="Kate McKenna"/>
    <s v="Regular Air"/>
    <s v="Small Business"/>
    <x v="0"/>
    <x v="7"/>
    <s v="Small Box"/>
    <s v="Xerox 1932"/>
    <n v="0.38"/>
    <s v="United States"/>
    <x v="1"/>
    <s v="Ohio"/>
    <s v="Toledo"/>
    <n v="43615"/>
    <x v="164"/>
    <d v="2015-06-11T00:00:00"/>
    <n v="118.6317"/>
    <n v="5"/>
    <x v="1721"/>
    <n v="88240"/>
    <x v="1738"/>
  </r>
  <r>
    <n v="25490"/>
    <s v="Not Specified"/>
    <n v="0.08"/>
    <n v="3.98"/>
    <n v="0.7"/>
    <n v="3078"/>
    <s v="Kate McKenna"/>
    <s v="Regular Air"/>
    <s v="Small Business"/>
    <x v="0"/>
    <x v="0"/>
    <s v="Wrap Bag"/>
    <s v="4009® Highlighters by Sanford"/>
    <n v="0.52"/>
    <s v="United States"/>
    <x v="1"/>
    <s v="Ohio"/>
    <s v="Toledo"/>
    <n v="43615"/>
    <x v="164"/>
    <d v="2015-06-14T00:00:00"/>
    <n v="23.303999999999998"/>
    <n v="9"/>
    <x v="1722"/>
    <n v="88240"/>
    <x v="1739"/>
  </r>
  <r>
    <n v="5816"/>
    <s v="Medium"/>
    <n v="7.0000000000000007E-2"/>
    <n v="300.97000000000003"/>
    <n v="7.18"/>
    <n v="3079"/>
    <s v="Andrew Levine"/>
    <s v="Regular Air"/>
    <s v="Small Business"/>
    <x v="2"/>
    <x v="13"/>
    <s v="Small Box"/>
    <s v="Gyration Ultra Professional Cordless Optical Suite"/>
    <n v="0.48"/>
    <s v="United States"/>
    <x v="1"/>
    <s v="Pennsylvania"/>
    <s v="Philadelphia"/>
    <n v="19112"/>
    <x v="163"/>
    <d v="2015-05-09T00:00:00"/>
    <n v="-807.59"/>
    <n v="7"/>
    <x v="1723"/>
    <n v="41253"/>
    <x v="1740"/>
  </r>
  <r>
    <n v="7489"/>
    <s v="Not Specified"/>
    <n v="0.04"/>
    <n v="35.44"/>
    <n v="5.09"/>
    <n v="3079"/>
    <s v="Andrew Levine"/>
    <s v="Regular Air"/>
    <s v="Small Business"/>
    <x v="0"/>
    <x v="7"/>
    <s v="Small Box"/>
    <s v="Xerox 1932"/>
    <n v="0.38"/>
    <s v="United States"/>
    <x v="1"/>
    <s v="Pennsylvania"/>
    <s v="Philadelphia"/>
    <n v="19112"/>
    <x v="164"/>
    <d v="2015-06-11T00:00:00"/>
    <n v="150.72"/>
    <n v="21"/>
    <x v="1724"/>
    <n v="53476"/>
    <x v="1741"/>
  </r>
  <r>
    <n v="7490"/>
    <s v="Not Specified"/>
    <n v="0.08"/>
    <n v="3.98"/>
    <n v="0.7"/>
    <n v="3079"/>
    <s v="Andrew Levine"/>
    <s v="Regular Air"/>
    <s v="Small Business"/>
    <x v="0"/>
    <x v="0"/>
    <s v="Wrap Bag"/>
    <s v="4009® Highlighters by Sanford"/>
    <n v="0.52"/>
    <s v="United States"/>
    <x v="1"/>
    <s v="Pennsylvania"/>
    <s v="Philadelphia"/>
    <n v="19112"/>
    <x v="164"/>
    <d v="2015-06-14T00:00:00"/>
    <n v="19.420000000000002"/>
    <n v="36"/>
    <x v="1725"/>
    <n v="53476"/>
    <x v="1742"/>
  </r>
  <r>
    <n v="7491"/>
    <s v="Not Specified"/>
    <n v="0.01"/>
    <n v="1.76"/>
    <n v="0.7"/>
    <n v="3079"/>
    <s v="Andrew Levine"/>
    <s v="Regular Air"/>
    <s v="Small Business"/>
    <x v="0"/>
    <x v="0"/>
    <s v="Wrap Bag"/>
    <s v="Newell 310"/>
    <n v="0.56000000000000005"/>
    <s v="United States"/>
    <x v="1"/>
    <s v="Pennsylvania"/>
    <s v="Philadelphia"/>
    <n v="19112"/>
    <x v="164"/>
    <d v="2015-06-12T00:00:00"/>
    <n v="3.13"/>
    <n v="71"/>
    <x v="1726"/>
    <n v="53476"/>
    <x v="1743"/>
  </r>
  <r>
    <n v="7492"/>
    <s v="Not Specified"/>
    <n v="0.01"/>
    <n v="193.17"/>
    <n v="19.989999999999998"/>
    <n v="3079"/>
    <s v="Andrew Levine"/>
    <s v="Express Air"/>
    <s v="Small Business"/>
    <x v="0"/>
    <x v="10"/>
    <s v="Small Box"/>
    <s v="Fellowes Staxonsteel® Drawer Files"/>
    <n v="0.71"/>
    <s v="United States"/>
    <x v="1"/>
    <s v="Pennsylvania"/>
    <s v="Philadelphia"/>
    <n v="19112"/>
    <x v="164"/>
    <d v="2015-06-11T00:00:00"/>
    <n v="1141.07"/>
    <n v="63"/>
    <x v="1727"/>
    <n v="53476"/>
    <x v="1744"/>
  </r>
  <r>
    <n v="1739"/>
    <s v="Medium"/>
    <n v="0"/>
    <n v="137.47999999999999"/>
    <n v="32.18"/>
    <n v="3079"/>
    <s v="Andrew Levine"/>
    <s v="Delivery Truck"/>
    <s v="Small Business"/>
    <x v="1"/>
    <x v="14"/>
    <s v="Jumbo Box"/>
    <s v="O'Sullivan Cherrywood Estates Traditional Barrister Bookcase"/>
    <n v="0.78"/>
    <s v="United States"/>
    <x v="1"/>
    <s v="Pennsylvania"/>
    <s v="Philadelphia"/>
    <n v="19112"/>
    <x v="0"/>
    <d v="2015-01-08T00:00:00"/>
    <n v="-203.27"/>
    <n v="10"/>
    <x v="1728"/>
    <n v="12480"/>
    <x v="1745"/>
  </r>
  <r>
    <n v="6807"/>
    <s v="Critical"/>
    <n v="0"/>
    <n v="2.21"/>
    <n v="1"/>
    <n v="3079"/>
    <s v="Andrew Levine"/>
    <s v="Express Air"/>
    <s v="Small Business"/>
    <x v="0"/>
    <x v="0"/>
    <s v="Wrap Bag"/>
    <s v="Quartet Alpha® White Chalk, 12/Pack"/>
    <n v="0.38"/>
    <s v="United States"/>
    <x v="1"/>
    <s v="Pennsylvania"/>
    <s v="Philadelphia"/>
    <n v="19112"/>
    <x v="69"/>
    <d v="2015-06-11T00:00:00"/>
    <n v="10.01"/>
    <n v="33"/>
    <x v="1729"/>
    <n v="48483"/>
    <x v="1746"/>
  </r>
  <r>
    <n v="19756"/>
    <s v="High"/>
    <n v="0"/>
    <n v="65.989999999999995"/>
    <n v="5.99"/>
    <n v="3084"/>
    <s v="Debbie Hsu"/>
    <s v="Express Air"/>
    <s v="Small Business"/>
    <x v="2"/>
    <x v="5"/>
    <s v="Small Box"/>
    <s v="i1000"/>
    <n v="0.57999999999999996"/>
    <s v="United States"/>
    <x v="0"/>
    <s v="Washington"/>
    <s v="Lacey"/>
    <n v="98503"/>
    <x v="18"/>
    <d v="2015-04-22T00:00:00"/>
    <n v="313.81200000000001"/>
    <n v="14"/>
    <x v="1730"/>
    <n v="89879"/>
    <x v="1747"/>
  </r>
  <r>
    <n v="20589"/>
    <s v="Not Specified"/>
    <n v="0.01"/>
    <n v="7.1"/>
    <n v="6.05"/>
    <n v="3084"/>
    <s v="Debbie Hsu"/>
    <s v="Regular Air"/>
    <s v="Small Business"/>
    <x v="0"/>
    <x v="8"/>
    <s v="Small Box"/>
    <s v="Wilson Jones Hanging View Binder, White, 1&quot;"/>
    <n v="0.39"/>
    <s v="United States"/>
    <x v="0"/>
    <s v="Washington"/>
    <s v="Lacey"/>
    <n v="98503"/>
    <x v="137"/>
    <d v="2015-06-25T00:00:00"/>
    <n v="-39.186250000000001"/>
    <n v="18"/>
    <x v="1731"/>
    <n v="89880"/>
    <x v="1748"/>
  </r>
  <r>
    <n v="20590"/>
    <s v="Not Specified"/>
    <n v="0.05"/>
    <n v="18.97"/>
    <n v="9.0299999999999994"/>
    <n v="3084"/>
    <s v="Debbie Hsu"/>
    <s v="Regular Air"/>
    <s v="Small Business"/>
    <x v="0"/>
    <x v="7"/>
    <s v="Small Box"/>
    <s v="Computer Printout Paper with Letter-Trim Perforations"/>
    <n v="0.37"/>
    <s v="United States"/>
    <x v="0"/>
    <s v="Washington"/>
    <s v="Lacey"/>
    <n v="98503"/>
    <x v="137"/>
    <d v="2015-06-25T00:00:00"/>
    <n v="-1.89"/>
    <n v="5"/>
    <x v="1732"/>
    <n v="89880"/>
    <x v="1749"/>
  </r>
  <r>
    <n v="20008"/>
    <s v="High"/>
    <n v="0.05"/>
    <n v="39.99"/>
    <n v="10.25"/>
    <n v="3086"/>
    <s v="Ted Durham"/>
    <s v="Express Air"/>
    <s v="Consumer"/>
    <x v="2"/>
    <x v="13"/>
    <s v="Small Box"/>
    <s v="Zoom V.92 V.44 PCI Internal Controllerless FaxModem"/>
    <n v="0.55000000000000004"/>
    <s v="United States"/>
    <x v="3"/>
    <s v="Florida"/>
    <s v="North Port"/>
    <n v="34287"/>
    <x v="73"/>
    <d v="2015-05-19T00:00:00"/>
    <n v="4.29"/>
    <n v="3"/>
    <x v="1733"/>
    <n v="88380"/>
    <x v="1750"/>
  </r>
  <r>
    <n v="21085"/>
    <s v="Low"/>
    <n v="7.0000000000000007E-2"/>
    <n v="49.43"/>
    <n v="19.989999999999998"/>
    <n v="3089"/>
    <s v="Sandy Cannon"/>
    <s v="Regular Air"/>
    <s v="Corporate"/>
    <x v="0"/>
    <x v="15"/>
    <s v="Small Box"/>
    <s v="Eureka Hand Vacuum, Bagless"/>
    <n v="0.56999999999999995"/>
    <s v="United States"/>
    <x v="2"/>
    <s v="Kansas"/>
    <s v="Leawood"/>
    <n v="66209"/>
    <x v="76"/>
    <d v="2015-01-29T00:00:00"/>
    <n v="-122.77"/>
    <n v="6"/>
    <x v="1734"/>
    <n v="91219"/>
    <x v="1751"/>
  </r>
  <r>
    <n v="20357"/>
    <s v="Critical"/>
    <n v="0.09"/>
    <n v="207.48"/>
    <n v="0.99"/>
    <n v="3095"/>
    <s v="Milton Lindsay"/>
    <s v="Regular Air"/>
    <s v="Consumer"/>
    <x v="0"/>
    <x v="15"/>
    <s v="Small Box"/>
    <s v="Kensington 7 Outlet MasterPiece Power Center with Fax/Phone Line Protection"/>
    <n v="0.55000000000000004"/>
    <s v="United States"/>
    <x v="1"/>
    <s v="Ohio"/>
    <s v="Hamilton"/>
    <n v="45011"/>
    <x v="71"/>
    <d v="2015-01-21T00:00:00"/>
    <n v="683.9556"/>
    <n v="5"/>
    <x v="1735"/>
    <n v="86220"/>
    <x v="1752"/>
  </r>
  <r>
    <n v="21235"/>
    <s v="High"/>
    <n v="0.08"/>
    <n v="40.98"/>
    <n v="7.2"/>
    <n v="3096"/>
    <s v="Mike Howard"/>
    <s v="Express Air"/>
    <s v="Consumer"/>
    <x v="0"/>
    <x v="15"/>
    <s v="Small Box"/>
    <s v="Kensington 6 Outlet SmartSocket Surge Protector"/>
    <n v="0.6"/>
    <s v="United States"/>
    <x v="1"/>
    <s v="Ohio"/>
    <s v="Hilliard"/>
    <n v="43026"/>
    <x v="84"/>
    <d v="2015-05-25T00:00:00"/>
    <n v="-16.64"/>
    <n v="3"/>
    <x v="1386"/>
    <n v="86221"/>
    <x v="1753"/>
  </r>
  <r>
    <n v="21236"/>
    <s v="High"/>
    <n v="0.08"/>
    <n v="8.1199999999999992"/>
    <n v="2.83"/>
    <n v="3096"/>
    <s v="Mike Howard"/>
    <s v="Express Air"/>
    <s v="Consumer"/>
    <x v="2"/>
    <x v="13"/>
    <s v="Small Pack"/>
    <s v="Imation Neon Mac Format Diskettes, 10/Pack"/>
    <n v="0.77"/>
    <s v="United States"/>
    <x v="1"/>
    <s v="Ohio"/>
    <s v="Hilliard"/>
    <n v="43026"/>
    <x v="84"/>
    <d v="2015-05-25T00:00:00"/>
    <n v="-59.73"/>
    <n v="12"/>
    <x v="1736"/>
    <n v="86221"/>
    <x v="1754"/>
  </r>
  <r>
    <n v="21237"/>
    <s v="High"/>
    <n v="0.02"/>
    <n v="262.11"/>
    <n v="62.74"/>
    <n v="3096"/>
    <s v="Mike Howard"/>
    <s v="Delivery Truck"/>
    <s v="Consumer"/>
    <x v="1"/>
    <x v="11"/>
    <s v="Jumbo Box"/>
    <s v="Bevis Boat-Shaped Conference Table"/>
    <n v="0.75"/>
    <s v="United States"/>
    <x v="1"/>
    <s v="Ohio"/>
    <s v="Hilliard"/>
    <n v="43026"/>
    <x v="84"/>
    <d v="2015-05-25T00:00:00"/>
    <n v="-633.441237"/>
    <n v="9"/>
    <x v="1737"/>
    <n v="86221"/>
    <x v="1755"/>
  </r>
  <r>
    <n v="25999"/>
    <s v="Critical"/>
    <n v="0.04"/>
    <n v="33.89"/>
    <n v="5.0999999999999996"/>
    <n v="3096"/>
    <s v="Mike Howard"/>
    <s v="Express Air"/>
    <s v="Consumer"/>
    <x v="0"/>
    <x v="10"/>
    <s v="Small Box"/>
    <s v="File Shuttle II and Handi-File, Black"/>
    <n v="0.6"/>
    <s v="United States"/>
    <x v="1"/>
    <s v="Ohio"/>
    <s v="Hilliard"/>
    <n v="43026"/>
    <x v="77"/>
    <d v="2015-06-18T00:00:00"/>
    <n v="72.983999999999995"/>
    <n v="6"/>
    <x v="1738"/>
    <n v="86222"/>
    <x v="1756"/>
  </r>
  <r>
    <n v="19816"/>
    <s v="Critical"/>
    <n v="0.05"/>
    <n v="35.44"/>
    <n v="5.09"/>
    <n v="3098"/>
    <s v="Lorraine Boykin"/>
    <s v="Regular Air"/>
    <s v="Consumer"/>
    <x v="0"/>
    <x v="7"/>
    <s v="Small Box"/>
    <s v="Xerox 1932"/>
    <n v="0.38"/>
    <s v="United States"/>
    <x v="1"/>
    <s v="New York"/>
    <s v="Shirley"/>
    <n v="11967"/>
    <x v="4"/>
    <d v="2015-04-09T00:00:00"/>
    <n v="240.17519999999999"/>
    <n v="10"/>
    <x v="1739"/>
    <n v="89314"/>
    <x v="1757"/>
  </r>
  <r>
    <n v="22503"/>
    <s v="Low"/>
    <n v="0"/>
    <n v="11.7"/>
    <n v="6.96"/>
    <n v="3098"/>
    <s v="Lorraine Boykin"/>
    <s v="Express Air"/>
    <s v="Consumer"/>
    <x v="0"/>
    <x v="15"/>
    <s v="Medium Box"/>
    <s v="Harmony HEPA Quiet Air Purifiers"/>
    <n v="0.5"/>
    <s v="United States"/>
    <x v="1"/>
    <s v="New York"/>
    <s v="Shirley"/>
    <n v="11967"/>
    <x v="77"/>
    <d v="2015-06-19T00:00:00"/>
    <n v="-11.247999999999999"/>
    <n v="10"/>
    <x v="1740"/>
    <n v="89315"/>
    <x v="1758"/>
  </r>
  <r>
    <n v="18930"/>
    <s v="Low"/>
    <n v="0.06"/>
    <n v="2.89"/>
    <n v="0.5"/>
    <n v="3098"/>
    <s v="Lorraine Boykin"/>
    <s v="Regular Air"/>
    <s v="Consumer"/>
    <x v="0"/>
    <x v="9"/>
    <s v="Small Box"/>
    <s v="Avery 498"/>
    <n v="0.38"/>
    <s v="United States"/>
    <x v="1"/>
    <s v="New York"/>
    <s v="Shirley"/>
    <n v="11967"/>
    <x v="136"/>
    <d v="2015-02-28T00:00:00"/>
    <n v="9.6117000000000008"/>
    <n v="5"/>
    <x v="1741"/>
    <n v="89316"/>
    <x v="1759"/>
  </r>
  <r>
    <n v="19805"/>
    <s v="Critical"/>
    <n v="7.0000000000000007E-2"/>
    <n v="35.99"/>
    <n v="5"/>
    <n v="3100"/>
    <s v="Gladys Holloway"/>
    <s v="Regular Air"/>
    <s v="Consumer"/>
    <x v="2"/>
    <x v="5"/>
    <s v="Wrap Bag"/>
    <s v="Accessory17"/>
    <n v="0.82"/>
    <s v="United States"/>
    <x v="3"/>
    <s v="Florida"/>
    <s v="Oakland Park"/>
    <n v="33334"/>
    <x v="78"/>
    <d v="2015-03-27T00:00:00"/>
    <n v="-299.81420000000003"/>
    <n v="1"/>
    <x v="1742"/>
    <n v="89988"/>
    <x v="1760"/>
  </r>
  <r>
    <n v="18087"/>
    <s v="Critical"/>
    <n v="0.04"/>
    <n v="3.08"/>
    <n v="0.99"/>
    <n v="3105"/>
    <s v="Lawrence Hester"/>
    <s v="Regular Air"/>
    <s v="Home Office"/>
    <x v="0"/>
    <x v="9"/>
    <s v="Small Box"/>
    <s v="Avery 481"/>
    <n v="0.37"/>
    <s v="United States"/>
    <x v="3"/>
    <s v="Kentucky"/>
    <s v="Murray"/>
    <n v="42071"/>
    <x v="80"/>
    <d v="2015-03-21T00:00:00"/>
    <n v="13.8"/>
    <n v="19"/>
    <x v="1743"/>
    <n v="86327"/>
    <x v="1761"/>
  </r>
  <r>
    <n v="18088"/>
    <s v="Critical"/>
    <n v="0.02"/>
    <n v="6.48"/>
    <n v="5.9"/>
    <n v="3105"/>
    <s v="Lawrence Hester"/>
    <s v="Regular Air"/>
    <s v="Home Office"/>
    <x v="0"/>
    <x v="7"/>
    <s v="Small Box"/>
    <s v="Xerox 1976"/>
    <n v="0.37"/>
    <s v="United States"/>
    <x v="3"/>
    <s v="Kentucky"/>
    <s v="Murray"/>
    <n v="42071"/>
    <x v="80"/>
    <d v="2015-03-21T00:00:00"/>
    <n v="4.3920000000000003"/>
    <n v="13"/>
    <x v="42"/>
    <n v="86327"/>
    <x v="1762"/>
  </r>
  <r>
    <n v="18089"/>
    <s v="Critical"/>
    <n v="0.04"/>
    <n v="125.99"/>
    <n v="4.2"/>
    <n v="3105"/>
    <s v="Lawrence Hester"/>
    <s v="Regular Air"/>
    <s v="Home Office"/>
    <x v="2"/>
    <x v="5"/>
    <s v="Small Box"/>
    <s v="V3682"/>
    <n v="0.59"/>
    <s v="United States"/>
    <x v="3"/>
    <s v="Kentucky"/>
    <s v="Murray"/>
    <n v="42071"/>
    <x v="80"/>
    <d v="2015-03-22T00:00:00"/>
    <n v="-236.25"/>
    <n v="12"/>
    <x v="1744"/>
    <n v="86327"/>
    <x v="1763"/>
  </r>
  <r>
    <n v="87"/>
    <s v="Critical"/>
    <n v="0.04"/>
    <n v="3.08"/>
    <n v="0.99"/>
    <n v="3106"/>
    <s v="Alexander O'Brien"/>
    <s v="Regular Air"/>
    <s v="Home Office"/>
    <x v="0"/>
    <x v="9"/>
    <s v="Small Box"/>
    <s v="Avery 481"/>
    <n v="0.37"/>
    <s v="United States"/>
    <x v="2"/>
    <s v="Texas"/>
    <s v="Houston"/>
    <n v="77041"/>
    <x v="80"/>
    <d v="2015-03-21T00:00:00"/>
    <n v="36.020000000000003"/>
    <n v="75"/>
    <x v="1745"/>
    <n v="548"/>
    <x v="1764"/>
  </r>
  <r>
    <n v="88"/>
    <s v="Critical"/>
    <n v="0.02"/>
    <n v="6.48"/>
    <n v="5.9"/>
    <n v="3106"/>
    <s v="Alexander O'Brien"/>
    <s v="Regular Air"/>
    <s v="Home Office"/>
    <x v="0"/>
    <x v="7"/>
    <s v="Small Box"/>
    <s v="Xerox 1976"/>
    <n v="0.37"/>
    <s v="United States"/>
    <x v="2"/>
    <s v="Texas"/>
    <s v="Houston"/>
    <n v="77041"/>
    <x v="80"/>
    <d v="2015-03-21T00:00:00"/>
    <n v="-50.64"/>
    <n v="53"/>
    <x v="1746"/>
    <n v="548"/>
    <x v="1765"/>
  </r>
  <r>
    <n v="89"/>
    <s v="Critical"/>
    <n v="0.04"/>
    <n v="125.99"/>
    <n v="4.2"/>
    <n v="3106"/>
    <s v="Alexander O'Brien"/>
    <s v="Regular Air"/>
    <s v="Home Office"/>
    <x v="2"/>
    <x v="5"/>
    <s v="Small Box"/>
    <s v="V3682"/>
    <n v="0.59"/>
    <s v="United States"/>
    <x v="2"/>
    <s v="Texas"/>
    <s v="Houston"/>
    <n v="77041"/>
    <x v="80"/>
    <d v="2015-03-22T00:00:00"/>
    <n v="510.48899999999998"/>
    <n v="47"/>
    <x v="1747"/>
    <n v="548"/>
    <x v="1766"/>
  </r>
  <r>
    <n v="21120"/>
    <s v="Not Specified"/>
    <n v="7.0000000000000007E-2"/>
    <n v="34.54"/>
    <n v="14.72"/>
    <n v="3113"/>
    <s v="Wayne English"/>
    <s v="Regular Air"/>
    <s v="Corporate"/>
    <x v="0"/>
    <x v="8"/>
    <s v="Small Box"/>
    <s v="GBC Recycled Grain Textured Covers"/>
    <n v="0.37"/>
    <s v="United States"/>
    <x v="3"/>
    <s v="Louisiana"/>
    <s v="New Iberia"/>
    <n v="70560"/>
    <x v="28"/>
    <d v="2015-05-18T00:00:00"/>
    <n v="-20.182259999999999"/>
    <n v="17"/>
    <x v="1748"/>
    <n v="86860"/>
    <x v="1767"/>
  </r>
  <r>
    <n v="21121"/>
    <s v="Not Specified"/>
    <n v="0.02"/>
    <n v="12.28"/>
    <n v="6.47"/>
    <n v="3113"/>
    <s v="Wayne English"/>
    <s v="Regular Air"/>
    <s v="Corporate"/>
    <x v="0"/>
    <x v="7"/>
    <s v="Small Box"/>
    <s v="Xerox 1881"/>
    <n v="0.38"/>
    <s v="United States"/>
    <x v="3"/>
    <s v="Louisiana"/>
    <s v="New Iberia"/>
    <n v="70560"/>
    <x v="28"/>
    <d v="2015-05-17T00:00:00"/>
    <n v="-156.97219999999999"/>
    <n v="9"/>
    <x v="1749"/>
    <n v="86860"/>
    <x v="1768"/>
  </r>
  <r>
    <n v="21122"/>
    <s v="Not Specified"/>
    <n v="0.06"/>
    <n v="34.58"/>
    <n v="8.99"/>
    <n v="3113"/>
    <s v="Wayne English"/>
    <s v="Express Air"/>
    <s v="Corporate"/>
    <x v="0"/>
    <x v="0"/>
    <s v="Small Pack"/>
    <s v="Panasonic KP-350BK Electric Pencil Sharpener with Auto Stop"/>
    <n v="0.56000000000000005"/>
    <s v="United States"/>
    <x v="3"/>
    <s v="Louisiana"/>
    <s v="New Iberia"/>
    <n v="70560"/>
    <x v="28"/>
    <d v="2015-05-19T00:00:00"/>
    <n v="384.5043"/>
    <n v="13"/>
    <x v="1750"/>
    <n v="86860"/>
    <x v="1769"/>
  </r>
  <r>
    <n v="20795"/>
    <s v="Critical"/>
    <n v="0.08"/>
    <n v="349.45"/>
    <n v="60"/>
    <n v="3119"/>
    <s v="Jay Hubbard"/>
    <s v="Delivery Truck"/>
    <s v="Corporate"/>
    <x v="1"/>
    <x v="11"/>
    <s v="Jumbo Drum"/>
    <s v="SAFCO PlanMaster Heigh-Adjustable Drafting Table Base, 43w x 30d x 30-37h, Black"/>
    <m/>
    <s v="United States"/>
    <x v="3"/>
    <s v="Florida"/>
    <s v="Orlando"/>
    <n v="32839"/>
    <x v="133"/>
    <d v="2015-07-02T00:00:00"/>
    <n v="513.08399999999995"/>
    <n v="11"/>
    <x v="1751"/>
    <n v="86432"/>
    <x v="1770"/>
  </r>
  <r>
    <n v="25473"/>
    <s v="Not Specified"/>
    <n v="0.08"/>
    <n v="315.98"/>
    <n v="19.989999999999998"/>
    <n v="3120"/>
    <s v="Daniel Christian"/>
    <s v="Regular Air"/>
    <s v="Home Office"/>
    <x v="0"/>
    <x v="8"/>
    <s v="Small Box"/>
    <s v="GBC ProClick™ 150 Presentation Binding System"/>
    <n v="0.38"/>
    <s v="United States"/>
    <x v="3"/>
    <s v="Louisiana"/>
    <s v="New Orleans"/>
    <n v="70117"/>
    <x v="110"/>
    <d v="2015-06-14T00:00:00"/>
    <n v="44.52"/>
    <n v="9"/>
    <x v="1752"/>
    <n v="90160"/>
    <x v="1771"/>
  </r>
  <r>
    <n v="23764"/>
    <s v="Low"/>
    <n v="0.02"/>
    <n v="7.1"/>
    <n v="6.05"/>
    <n v="3123"/>
    <s v="Jamie Manning"/>
    <s v="Regular Air"/>
    <s v="Home Office"/>
    <x v="0"/>
    <x v="8"/>
    <s v="Small Box"/>
    <s v="Wilson Jones Hanging View Binder, White, 1&quot;"/>
    <n v="0.39"/>
    <s v="United States"/>
    <x v="2"/>
    <s v="Illinois"/>
    <s v="Melrose Park"/>
    <n v="60160"/>
    <x v="0"/>
    <d v="2015-01-09T00:00:00"/>
    <n v="-48.875"/>
    <n v="8"/>
    <x v="1753"/>
    <n v="87287"/>
    <x v="1772"/>
  </r>
  <r>
    <n v="25060"/>
    <s v="Not Specified"/>
    <n v="0.05"/>
    <n v="120.98"/>
    <n v="9.07"/>
    <n v="3124"/>
    <s v="Neil Barbee"/>
    <s v="Regular Air"/>
    <s v="Home Office"/>
    <x v="0"/>
    <x v="8"/>
    <s v="Small Box"/>
    <s v="GBC VeloBinder Electric Binding Machine"/>
    <n v="0.35"/>
    <s v="United States"/>
    <x v="2"/>
    <s v="Illinois"/>
    <s v="Moline"/>
    <n v="61265"/>
    <x v="155"/>
    <d v="2015-05-31T00:00:00"/>
    <n v="881.04719999999998"/>
    <n v="11"/>
    <x v="1754"/>
    <n v="87286"/>
    <x v="1773"/>
  </r>
  <r>
    <n v="25352"/>
    <s v="High"/>
    <n v="0.08"/>
    <n v="120.97"/>
    <n v="26.3"/>
    <n v="3125"/>
    <s v="Guy McDonald"/>
    <s v="Delivery Truck"/>
    <s v="Home Office"/>
    <x v="2"/>
    <x v="6"/>
    <s v="Jumbo Drum"/>
    <s v="Canon S750 Color Inkjet Printer"/>
    <n v="0.38"/>
    <s v="United States"/>
    <x v="2"/>
    <s v="Illinois"/>
    <s v="Mount Prospect"/>
    <n v="60056"/>
    <x v="99"/>
    <d v="2015-01-07T00:00:00"/>
    <n v="-233.840688"/>
    <n v="2"/>
    <x v="1755"/>
    <n v="87285"/>
    <x v="1774"/>
  </r>
  <r>
    <n v="24457"/>
    <s v="Low"/>
    <n v="0.08"/>
    <n v="3.69"/>
    <n v="2.5"/>
    <n v="3128"/>
    <s v="Cathy Burgess"/>
    <s v="Regular Air"/>
    <s v="Small Business"/>
    <x v="0"/>
    <x v="4"/>
    <s v="Small Box"/>
    <s v="Colored Envelopes"/>
    <n v="0.39"/>
    <s v="United States"/>
    <x v="3"/>
    <s v="Louisiana"/>
    <s v="Shreveport"/>
    <n v="71109"/>
    <x v="97"/>
    <d v="2015-06-30T00:00:00"/>
    <n v="-139.07599999999999"/>
    <n v="9"/>
    <x v="1756"/>
    <n v="89810"/>
    <x v="1775"/>
  </r>
  <r>
    <n v="20483"/>
    <s v="High"/>
    <n v="0.1"/>
    <n v="180.98"/>
    <n v="26.2"/>
    <n v="3132"/>
    <s v="Anita Kang"/>
    <s v="Delivery Truck"/>
    <s v="Corporate"/>
    <x v="1"/>
    <x v="1"/>
    <s v="Jumbo Drum"/>
    <s v="Global Ergonomic Managers Chair"/>
    <n v="0.59"/>
    <s v="United States"/>
    <x v="2"/>
    <s v="Illinois"/>
    <s v="Mundelein"/>
    <n v="60060"/>
    <x v="33"/>
    <d v="2015-06-23T00:00:00"/>
    <n v="-64.664000000000001"/>
    <n v="3"/>
    <x v="1757"/>
    <n v="86790"/>
    <x v="1776"/>
  </r>
  <r>
    <n v="19258"/>
    <s v="Medium"/>
    <n v="0.04"/>
    <n v="62.05"/>
    <n v="3.99"/>
    <n v="3132"/>
    <s v="Anita Kang"/>
    <s v="Regular Air"/>
    <s v="Corporate"/>
    <x v="0"/>
    <x v="15"/>
    <s v="Small Box"/>
    <s v="Acco Smartsocket™ Table Surge Protector, 6 Color-Coded Adapter Outlets"/>
    <n v="0.55000000000000004"/>
    <s v="United States"/>
    <x v="2"/>
    <s v="Illinois"/>
    <s v="Mundelein"/>
    <n v="60060"/>
    <x v="28"/>
    <d v="2015-05-18T00:00:00"/>
    <n v="1644.0768"/>
    <n v="40"/>
    <x v="1758"/>
    <n v="86794"/>
    <x v="1777"/>
  </r>
  <r>
    <n v="22459"/>
    <s v="Medium"/>
    <n v="0.1"/>
    <n v="5.81"/>
    <n v="8.49"/>
    <n v="3133"/>
    <s v="Kristine Singleton"/>
    <s v="Regular Air"/>
    <s v="Corporate"/>
    <x v="0"/>
    <x v="8"/>
    <s v="Small Box"/>
    <s v="Fellowes Black Plastic Comb Bindings"/>
    <n v="0.39"/>
    <s v="United States"/>
    <x v="2"/>
    <s v="Illinois"/>
    <s v="Naperville"/>
    <n v="60540"/>
    <x v="59"/>
    <d v="2015-01-17T00:00:00"/>
    <n v="-350.43950000000001"/>
    <n v="12"/>
    <x v="1759"/>
    <n v="86789"/>
    <x v="1778"/>
  </r>
  <r>
    <n v="22460"/>
    <s v="Medium"/>
    <n v="0.03"/>
    <n v="1.81"/>
    <n v="0.75"/>
    <n v="3133"/>
    <s v="Kristine Singleton"/>
    <s v="Regular Air"/>
    <s v="Corporate"/>
    <x v="0"/>
    <x v="3"/>
    <s v="Wrap Bag"/>
    <s v="Assorted Color Push Pins"/>
    <n v="0.52"/>
    <s v="United States"/>
    <x v="2"/>
    <s v="Illinois"/>
    <s v="Naperville"/>
    <n v="60540"/>
    <x v="59"/>
    <d v="2015-01-17T00:00:00"/>
    <n v="4.2027999999999999"/>
    <n v="10"/>
    <x v="1760"/>
    <n v="86789"/>
    <x v="1779"/>
  </r>
  <r>
    <n v="21719"/>
    <s v="Critical"/>
    <n v="0.08"/>
    <n v="5.4"/>
    <n v="7.78"/>
    <n v="3133"/>
    <s v="Kristine Singleton"/>
    <s v="Regular Air"/>
    <s v="Corporate"/>
    <x v="0"/>
    <x v="8"/>
    <s v="Small Box"/>
    <s v="3M Organizer Strips"/>
    <n v="0.37"/>
    <s v="United States"/>
    <x v="2"/>
    <s v="Illinois"/>
    <s v="Naperville"/>
    <n v="60540"/>
    <x v="30"/>
    <d v="2015-03-04T00:00:00"/>
    <n v="-44.067999999999998"/>
    <n v="4"/>
    <x v="1190"/>
    <n v="86792"/>
    <x v="1780"/>
  </r>
  <r>
    <n v="21720"/>
    <s v="Critical"/>
    <n v="0.09"/>
    <n v="8.4600000000000009"/>
    <n v="8.99"/>
    <n v="3133"/>
    <s v="Kristine Singleton"/>
    <s v="Express Air"/>
    <s v="Corporate"/>
    <x v="2"/>
    <x v="13"/>
    <s v="Small Pack"/>
    <s v="Imation 3.5 IBM Diskettes, 10/Box"/>
    <n v="0.79"/>
    <s v="United States"/>
    <x v="2"/>
    <s v="Illinois"/>
    <s v="Naperville"/>
    <n v="60540"/>
    <x v="30"/>
    <d v="2015-03-07T00:00:00"/>
    <n v="-100.51"/>
    <n v="5"/>
    <x v="1761"/>
    <n v="86792"/>
    <x v="1781"/>
  </r>
  <r>
    <n v="21721"/>
    <s v="Critical"/>
    <n v="0.21"/>
    <n v="14.98"/>
    <n v="8.99"/>
    <n v="3133"/>
    <s v="Kristine Singleton"/>
    <s v="Regular Air"/>
    <s v="Corporate"/>
    <x v="1"/>
    <x v="2"/>
    <s v="Small Pack"/>
    <s v="GE 4 Foot Flourescent Tube, 40 Watt"/>
    <n v="0.39"/>
    <s v="United States"/>
    <x v="2"/>
    <s v="Illinois"/>
    <s v="Naperville"/>
    <n v="60540"/>
    <x v="30"/>
    <d v="2015-03-05T00:00:00"/>
    <n v="-17.75"/>
    <n v="10"/>
    <x v="1762"/>
    <n v="86792"/>
    <x v="1782"/>
  </r>
  <r>
    <n v="21722"/>
    <s v="Critical"/>
    <n v="0.04"/>
    <n v="155.99"/>
    <n v="8.08"/>
    <n v="3133"/>
    <s v="Kristine Singleton"/>
    <s v="Regular Air"/>
    <s v="Corporate"/>
    <x v="2"/>
    <x v="5"/>
    <s v="Small Box"/>
    <s v="300 Series Non-Flip"/>
    <n v="0.6"/>
    <s v="United States"/>
    <x v="2"/>
    <s v="Illinois"/>
    <s v="Naperville"/>
    <n v="60540"/>
    <x v="30"/>
    <d v="2015-03-05T00:00:00"/>
    <n v="1374.9480000000001"/>
    <n v="22"/>
    <x v="1763"/>
    <n v="86792"/>
    <x v="1783"/>
  </r>
  <r>
    <n v="23898"/>
    <s v="Critical"/>
    <n v="0.03"/>
    <n v="150.88999999999999"/>
    <n v="60.2"/>
    <n v="3136"/>
    <s v="Lee Hancock"/>
    <s v="Delivery Truck"/>
    <s v="Consumer"/>
    <x v="1"/>
    <x v="1"/>
    <s v="Jumbo Drum"/>
    <s v="Global Leather &amp; Oak Executive Chair, Burgundy"/>
    <n v="0.77"/>
    <s v="United States"/>
    <x v="1"/>
    <s v="Maine"/>
    <s v="Sanford"/>
    <n v="4073"/>
    <x v="11"/>
    <d v="2015-02-22T00:00:00"/>
    <n v="-677.87199999999996"/>
    <n v="23"/>
    <x v="1764"/>
    <n v="86791"/>
    <x v="1784"/>
  </r>
  <r>
    <n v="24691"/>
    <s v="Not Specified"/>
    <n v="0.09"/>
    <n v="304.99"/>
    <n v="19.989999999999998"/>
    <n v="3137"/>
    <s v="Alison Sharp"/>
    <s v="Regular Air"/>
    <s v="Corporate"/>
    <x v="0"/>
    <x v="8"/>
    <s v="Small Box"/>
    <s v="Ibico Hi-Tech Manual Binding System"/>
    <n v="0.4"/>
    <s v="United States"/>
    <x v="1"/>
    <s v="New Hampshire"/>
    <s v="Laconia"/>
    <n v="3246"/>
    <x v="178"/>
    <d v="2015-06-09T00:00:00"/>
    <n v="1623.9494999999999"/>
    <n v="8"/>
    <x v="1765"/>
    <n v="86795"/>
    <x v="1785"/>
  </r>
  <r>
    <n v="23706"/>
    <s v="Not Specified"/>
    <n v="0.05"/>
    <n v="4.0599999999999996"/>
    <n v="6.89"/>
    <n v="3138"/>
    <s v="Herbert Donnelly Swanson"/>
    <s v="Express Air"/>
    <s v="Corporate"/>
    <x v="0"/>
    <x v="15"/>
    <s v="Small Box"/>
    <s v="Eureka Disposable Bags for Sanitaire® Vibra Groomer I® Upright Vac"/>
    <n v="0.6"/>
    <s v="United States"/>
    <x v="1"/>
    <s v="New Hampshire"/>
    <s v="Londonderry"/>
    <n v="3053"/>
    <x v="117"/>
    <d v="2015-06-21T00:00:00"/>
    <n v="-122.83499999999999"/>
    <n v="22"/>
    <x v="1766"/>
    <n v="86796"/>
    <x v="1786"/>
  </r>
  <r>
    <n v="23427"/>
    <s v="Critical"/>
    <n v="0.09"/>
    <n v="280.98"/>
    <n v="57"/>
    <n v="3139"/>
    <s v="David Powell"/>
    <s v="Delivery Truck"/>
    <s v="Home Office"/>
    <x v="1"/>
    <x v="1"/>
    <s v="Jumbo Drum"/>
    <s v="Hon 2090 “Pillow Soft” Series Mid Back Swivel/Tilt Chairs"/>
    <n v="0.78"/>
    <s v="United States"/>
    <x v="1"/>
    <s v="New Jersey"/>
    <s v="Cranford"/>
    <n v="7016"/>
    <x v="10"/>
    <d v="2015-05-05T00:00:00"/>
    <n v="252.488"/>
    <n v="31"/>
    <x v="1767"/>
    <n v="86793"/>
    <x v="1787"/>
  </r>
  <r>
    <n v="18917"/>
    <s v="Low"/>
    <n v="0.09"/>
    <n v="6.84"/>
    <n v="8.3699999999999992"/>
    <n v="3141"/>
    <s v="Jerome McIntosh"/>
    <s v="Regular Air"/>
    <s v="Consumer"/>
    <x v="0"/>
    <x v="12"/>
    <s v="Small Pack"/>
    <s v="Acme Design Line 8&quot; Stainless Steel Bent Scissors w/Champagne Handles, 3-1/8&quot; Cut"/>
    <n v="0.57999999999999996"/>
    <s v="United States"/>
    <x v="2"/>
    <s v="Texas"/>
    <s v="Pasadena"/>
    <n v="77506"/>
    <x v="144"/>
    <d v="2015-06-08T00:00:00"/>
    <n v="-88.584999999999994"/>
    <n v="13"/>
    <x v="1768"/>
    <n v="86369"/>
    <x v="1788"/>
  </r>
  <r>
    <n v="18918"/>
    <s v="Low"/>
    <n v="7.0000000000000007E-2"/>
    <n v="48.91"/>
    <n v="35"/>
    <n v="3141"/>
    <s v="Jerome McIntosh"/>
    <s v="Express Air"/>
    <s v="Consumer"/>
    <x v="0"/>
    <x v="10"/>
    <s v="Large Box"/>
    <s v="Tennsco Industrial Shelving"/>
    <n v="0.83"/>
    <s v="United States"/>
    <x v="2"/>
    <s v="Texas"/>
    <s v="Pasadena"/>
    <n v="77506"/>
    <x v="144"/>
    <d v="2015-06-03T00:00:00"/>
    <n v="-485.68"/>
    <n v="15"/>
    <x v="1769"/>
    <n v="86369"/>
    <x v="1789"/>
  </r>
  <r>
    <n v="26039"/>
    <s v="Medium"/>
    <n v="0.02"/>
    <n v="15.42"/>
    <n v="5.41"/>
    <n v="3143"/>
    <s v="Neil Song"/>
    <s v="Regular Air"/>
    <s v="Consumer"/>
    <x v="0"/>
    <x v="10"/>
    <s v="Small Box"/>
    <s v="Decoflex Hanging Personal Folder File"/>
    <n v="0.59"/>
    <s v="United States"/>
    <x v="2"/>
    <s v="Texas"/>
    <s v="Pflugerville"/>
    <n v="78660"/>
    <x v="120"/>
    <d v="2015-03-25T00:00:00"/>
    <n v="-16.37"/>
    <n v="2"/>
    <x v="1770"/>
    <n v="86368"/>
    <x v="1790"/>
  </r>
  <r>
    <n v="19193"/>
    <s v="Critical"/>
    <n v="0.03"/>
    <n v="3.36"/>
    <n v="6.27"/>
    <n v="3146"/>
    <s v="Maureen Stout"/>
    <s v="Regular Air"/>
    <s v="Corporate"/>
    <x v="0"/>
    <x v="8"/>
    <s v="Small Box"/>
    <s v="Cardinal Poly Pocket Divider Pockets for Ring Binders"/>
    <n v="0.4"/>
    <s v="United States"/>
    <x v="2"/>
    <s v="Texas"/>
    <s v="Pharr"/>
    <n v="78577"/>
    <x v="148"/>
    <d v="2015-01-05T00:00:00"/>
    <n v="-94.258600000000001"/>
    <n v="4"/>
    <x v="1771"/>
    <n v="85850"/>
    <x v="1791"/>
  </r>
  <r>
    <n v="19194"/>
    <s v="Critical"/>
    <n v="7.0000000000000007E-2"/>
    <n v="3.71"/>
    <n v="1.93"/>
    <n v="3146"/>
    <s v="Maureen Stout"/>
    <s v="Express Air"/>
    <s v="Corporate"/>
    <x v="0"/>
    <x v="7"/>
    <s v="Wrap Bag"/>
    <s v="&quot;While you Were Out&quot; Message Book, One Form per Page"/>
    <n v="0.35"/>
    <s v="United States"/>
    <x v="2"/>
    <s v="Texas"/>
    <s v="Pharr"/>
    <n v="78577"/>
    <x v="148"/>
    <d v="2015-01-06T00:00:00"/>
    <n v="6.3308"/>
    <n v="11"/>
    <x v="1772"/>
    <n v="85850"/>
    <x v="1792"/>
  </r>
  <r>
    <n v="24200"/>
    <s v="Medium"/>
    <n v="0.06"/>
    <n v="19.989999999999998"/>
    <n v="11.17"/>
    <n v="3148"/>
    <s v="Leroy Field"/>
    <s v="Regular Air"/>
    <s v="Corporate"/>
    <x v="1"/>
    <x v="2"/>
    <s v="Large Box"/>
    <s v="Telescoping Adjustable Floor Lamp"/>
    <n v="0.6"/>
    <s v="United States"/>
    <x v="0"/>
    <s v="Idaho"/>
    <s v="Post Falls"/>
    <n v="83854"/>
    <x v="101"/>
    <d v="2015-01-14T00:00:00"/>
    <n v="-66.823599999999999"/>
    <n v="7"/>
    <x v="1773"/>
    <n v="89716"/>
    <x v="1793"/>
  </r>
  <r>
    <n v="24202"/>
    <s v="Medium"/>
    <n v="0.06"/>
    <n v="320.98"/>
    <n v="58.95"/>
    <n v="3149"/>
    <s v="Harriet Moore"/>
    <s v="Delivery Truck"/>
    <s v="Corporate"/>
    <x v="1"/>
    <x v="1"/>
    <s v="Jumbo Drum"/>
    <s v="Hon 4070 Series Pagoda™ Round Back Stacking Chairs"/>
    <n v="0.56999999999999995"/>
    <s v="United States"/>
    <x v="0"/>
    <s v="Idaho"/>
    <s v="Rexburg"/>
    <n v="83440"/>
    <x v="101"/>
    <d v="2015-01-16T00:00:00"/>
    <n v="971.62199999999996"/>
    <n v="6"/>
    <x v="1774"/>
    <n v="89716"/>
    <x v="1794"/>
  </r>
  <r>
    <n v="19625"/>
    <s v="Not Specified"/>
    <n v="0.01"/>
    <n v="145.97999999999999"/>
    <n v="46.2"/>
    <n v="3151"/>
    <s v="Glenda Hunter"/>
    <s v="Delivery Truck"/>
    <s v="Corporate"/>
    <x v="1"/>
    <x v="11"/>
    <s v="Jumbo Box"/>
    <s v="Bevis Rectangular Conference Tables"/>
    <n v="0.69"/>
    <s v="United States"/>
    <x v="0"/>
    <s v="California"/>
    <s v="Twentynine Palms"/>
    <n v="92277"/>
    <x v="26"/>
    <d v="2015-06-03T00:00:00"/>
    <n v="-134.512"/>
    <n v="9"/>
    <x v="1775"/>
    <n v="88543"/>
    <x v="1795"/>
  </r>
  <r>
    <n v="19618"/>
    <s v="Critical"/>
    <n v="0.01"/>
    <n v="3502.14"/>
    <n v="8.73"/>
    <n v="3151"/>
    <s v="Glenda Hunter"/>
    <s v="Delivery Truck"/>
    <s v="Corporate"/>
    <x v="2"/>
    <x v="6"/>
    <s v="Jumbo Box"/>
    <s v="Okidata Pacemark 4410N Wide Format Dot Matrix Printer"/>
    <n v="0.56999999999999995"/>
    <s v="United States"/>
    <x v="0"/>
    <s v="California"/>
    <s v="Twentynine Palms"/>
    <n v="92277"/>
    <x v="128"/>
    <d v="2015-02-05T00:00:00"/>
    <n v="-4075.9339920000002"/>
    <n v="1"/>
    <x v="1776"/>
    <n v="88544"/>
    <x v="1796"/>
  </r>
  <r>
    <n v="19619"/>
    <s v="Critical"/>
    <n v="0.06"/>
    <n v="15.73"/>
    <n v="7.42"/>
    <n v="3151"/>
    <s v="Glenda Hunter"/>
    <s v="Regular Air"/>
    <s v="Corporate"/>
    <x v="0"/>
    <x v="12"/>
    <s v="Small Pack"/>
    <s v="Acme Galleria® Hot Forged Steel Scissors with Colored Handles"/>
    <n v="0.56000000000000005"/>
    <s v="United States"/>
    <x v="0"/>
    <s v="California"/>
    <s v="Twentynine Palms"/>
    <n v="92277"/>
    <x v="128"/>
    <d v="2015-02-05T00:00:00"/>
    <n v="-18.558800000000002"/>
    <n v="4"/>
    <x v="1777"/>
    <n v="88544"/>
    <x v="1797"/>
  </r>
  <r>
    <n v="23322"/>
    <s v="Not Specified"/>
    <n v="0.05"/>
    <n v="25.99"/>
    <n v="5.37"/>
    <n v="3151"/>
    <s v="Glenda Hunter"/>
    <s v="Express Air"/>
    <s v="Corporate"/>
    <x v="0"/>
    <x v="0"/>
    <s v="Small Box"/>
    <s v="BOSTON® Ranger® #55 Pencil Sharpener, Black"/>
    <n v="0.56000000000000005"/>
    <s v="United States"/>
    <x v="0"/>
    <s v="California"/>
    <s v="Twentynine Palms"/>
    <n v="92277"/>
    <x v="160"/>
    <d v="2015-02-18T00:00:00"/>
    <n v="220.35720000000001"/>
    <n v="18"/>
    <x v="1778"/>
    <n v="88545"/>
    <x v="1798"/>
  </r>
  <r>
    <n v="24723"/>
    <s v="Medium"/>
    <n v="0.04"/>
    <n v="17.239999999999998"/>
    <n v="3.26"/>
    <n v="3151"/>
    <s v="Glenda Hunter"/>
    <s v="Regular Air"/>
    <s v="Home Office"/>
    <x v="0"/>
    <x v="12"/>
    <s v="Small Pack"/>
    <s v="Fiskars 8&quot; Scissors, 2/Pack"/>
    <n v="0.56000000000000005"/>
    <s v="United States"/>
    <x v="0"/>
    <s v="California"/>
    <s v="Twentynine Palms"/>
    <n v="92277"/>
    <x v="136"/>
    <d v="2015-02-28T00:00:00"/>
    <n v="47.73"/>
    <n v="7"/>
    <x v="1779"/>
    <n v="88546"/>
    <x v="1799"/>
  </r>
  <r>
    <n v="24329"/>
    <s v="Medium"/>
    <n v="0.02"/>
    <n v="5.98"/>
    <n v="1.49"/>
    <n v="3151"/>
    <s v="Glenda Hunter"/>
    <s v="Regular Air"/>
    <s v="Corporate"/>
    <x v="0"/>
    <x v="8"/>
    <s v="Small Box"/>
    <s v="Avery Hanging File Binders"/>
    <n v="0.39"/>
    <s v="United States"/>
    <x v="0"/>
    <s v="California"/>
    <s v="Twentynine Palms"/>
    <n v="92277"/>
    <x v="140"/>
    <d v="2015-03-12T00:00:00"/>
    <n v="28.526"/>
    <n v="10"/>
    <x v="1780"/>
    <n v="88547"/>
    <x v="1800"/>
  </r>
  <r>
    <n v="21734"/>
    <s v="High"/>
    <n v="0.01"/>
    <n v="99.23"/>
    <n v="8.99"/>
    <n v="3151"/>
    <s v="Glenda Hunter"/>
    <s v="Regular Air"/>
    <s v="Corporate"/>
    <x v="1"/>
    <x v="2"/>
    <s v="Small Pack"/>
    <s v="GE 48&quot; Fluorescent Tube, Cool White Energy Saver, 34 Watts, 30/Box"/>
    <n v="0.35"/>
    <s v="United States"/>
    <x v="0"/>
    <s v="California"/>
    <s v="Twentynine Palms"/>
    <n v="92277"/>
    <x v="48"/>
    <d v="2015-04-02T00:00:00"/>
    <n v="-87.46"/>
    <n v="1"/>
    <x v="1781"/>
    <n v="88548"/>
    <x v="1801"/>
  </r>
  <r>
    <n v="21436"/>
    <s v="High"/>
    <n v="0.08"/>
    <n v="150.97999999999999"/>
    <n v="13.99"/>
    <n v="3154"/>
    <s v="Faye Manning"/>
    <s v="Express Air"/>
    <s v="Corporate"/>
    <x v="2"/>
    <x v="6"/>
    <s v="Medium Box"/>
    <s v="Canon MP41DH Printing Calculator"/>
    <n v="0.38"/>
    <s v="United States"/>
    <x v="3"/>
    <s v="Florida"/>
    <s v="Saint Petersburg"/>
    <n v="33710"/>
    <x v="161"/>
    <d v="2015-01-27T00:00:00"/>
    <n v="-3.948"/>
    <n v="8"/>
    <x v="1782"/>
    <n v="86899"/>
    <x v="1802"/>
  </r>
  <r>
    <n v="20253"/>
    <s v="Critical"/>
    <n v="0.03"/>
    <n v="17.7"/>
    <n v="9.4700000000000006"/>
    <n v="3154"/>
    <s v="Faye Manning"/>
    <s v="Regular Air"/>
    <s v="Consumer"/>
    <x v="0"/>
    <x v="10"/>
    <s v="Small Box"/>
    <s v="Portfile® Personal File Boxes"/>
    <n v="0.59"/>
    <s v="United States"/>
    <x v="3"/>
    <s v="Florida"/>
    <s v="Saint Petersburg"/>
    <n v="33710"/>
    <x v="5"/>
    <d v="2015-05-30T00:00:00"/>
    <n v="28.182600000000001"/>
    <n v="11"/>
    <x v="1783"/>
    <n v="86900"/>
    <x v="1803"/>
  </r>
  <r>
    <n v="18635"/>
    <s v="Critical"/>
    <n v="0.04"/>
    <n v="21.38"/>
    <n v="8.99"/>
    <n v="3154"/>
    <s v="Faye Manning"/>
    <s v="Regular Air"/>
    <s v="Corporate"/>
    <x v="0"/>
    <x v="0"/>
    <s v="Small Pack"/>
    <s v="Boston 1730 StandUp Electric Pencil Sharpener"/>
    <n v="0.59"/>
    <s v="United States"/>
    <x v="3"/>
    <s v="Florida"/>
    <s v="Saint Petersburg"/>
    <n v="33710"/>
    <x v="25"/>
    <d v="2015-03-30T00:00:00"/>
    <n v="-51.66"/>
    <n v="21"/>
    <x v="1784"/>
    <n v="86901"/>
    <x v="1804"/>
  </r>
  <r>
    <n v="23392"/>
    <s v="Critical"/>
    <n v="0.02"/>
    <n v="60.22"/>
    <n v="3.5"/>
    <n v="3155"/>
    <s v="Julian Keith Mayer"/>
    <s v="Regular Air"/>
    <s v="Corporate"/>
    <x v="0"/>
    <x v="15"/>
    <s v="Small Box"/>
    <s v="Fellowes Smart Surge Ten-Outlet Protector, Platinum"/>
    <n v="0.56999999999999995"/>
    <s v="United States"/>
    <x v="3"/>
    <s v="Florida"/>
    <s v="Sanford"/>
    <n v="32771"/>
    <x v="13"/>
    <d v="2015-01-21T00:00:00"/>
    <n v="-193.91399999999999"/>
    <n v="9"/>
    <x v="1785"/>
    <n v="86898"/>
    <x v="1805"/>
  </r>
  <r>
    <n v="21437"/>
    <s v="High"/>
    <n v="0.03"/>
    <n v="25.98"/>
    <n v="14.36"/>
    <n v="3155"/>
    <s v="Julian Keith Mayer"/>
    <s v="Delivery Truck"/>
    <s v="Corporate"/>
    <x v="1"/>
    <x v="1"/>
    <s v="Jumbo Drum"/>
    <s v="Global Stack Chair without Arms, Black"/>
    <n v="0.6"/>
    <s v="United States"/>
    <x v="3"/>
    <s v="Florida"/>
    <s v="Sanford"/>
    <n v="32771"/>
    <x v="161"/>
    <d v="2015-01-27T00:00:00"/>
    <n v="57.545999999999999"/>
    <n v="4"/>
    <x v="1786"/>
    <n v="86899"/>
    <x v="1023"/>
  </r>
  <r>
    <n v="21438"/>
    <s v="High"/>
    <n v="0.1"/>
    <n v="32.479999999999997"/>
    <n v="35"/>
    <n v="3155"/>
    <s v="Julian Keith Mayer"/>
    <s v="Regular Air"/>
    <s v="Corporate"/>
    <x v="0"/>
    <x v="10"/>
    <s v="Large Box"/>
    <s v="Fellowes Neat Ideas® Storage Cubes"/>
    <n v="0.81"/>
    <s v="United States"/>
    <x v="3"/>
    <s v="Florida"/>
    <s v="Sanford"/>
    <n v="32771"/>
    <x v="161"/>
    <d v="2015-01-27T00:00:00"/>
    <n v="-333.42540000000002"/>
    <n v="10"/>
    <x v="1787"/>
    <n v="86899"/>
    <x v="1806"/>
  </r>
  <r>
    <n v="22015"/>
    <s v="Critical"/>
    <n v="0.05"/>
    <n v="159.99"/>
    <n v="5.5"/>
    <n v="3155"/>
    <s v="Julian Keith Mayer"/>
    <s v="Regular Air"/>
    <s v="Consumer"/>
    <x v="2"/>
    <x v="13"/>
    <s v="Small Box"/>
    <s v="Gyration RF Keyboard"/>
    <n v="0.49"/>
    <s v="United States"/>
    <x v="3"/>
    <s v="Florida"/>
    <s v="Sanford"/>
    <n v="32771"/>
    <x v="47"/>
    <d v="2015-04-21T00:00:00"/>
    <n v="12.263999999999999"/>
    <n v="23"/>
    <x v="1788"/>
    <n v="86902"/>
    <x v="1807"/>
  </r>
  <r>
    <n v="19374"/>
    <s v="Not Specified"/>
    <n v="7.0000000000000007E-2"/>
    <n v="280.98"/>
    <n v="57"/>
    <n v="3167"/>
    <s v="Ray Silverman"/>
    <s v="Delivery Truck"/>
    <s v="Corporate"/>
    <x v="1"/>
    <x v="1"/>
    <s v="Jumbo Drum"/>
    <s v="Hon 2090 “Pillow Soft” Series Mid Back Swivel/Tilt Chairs"/>
    <n v="0.78"/>
    <s v="United States"/>
    <x v="3"/>
    <s v="Florida"/>
    <s v="Ponte Vedra Beach"/>
    <n v="32004"/>
    <x v="117"/>
    <d v="2015-06-20T00:00:00"/>
    <n v="-283.9914"/>
    <n v="14"/>
    <x v="1789"/>
    <n v="86491"/>
    <x v="1808"/>
  </r>
  <r>
    <n v="19375"/>
    <s v="Not Specified"/>
    <n v="0"/>
    <n v="4.9800000000000004"/>
    <n v="7.44"/>
    <n v="3167"/>
    <s v="Ray Silverman"/>
    <s v="Regular Air"/>
    <s v="Corporate"/>
    <x v="0"/>
    <x v="7"/>
    <s v="Small Box"/>
    <s v="Xerox 1922"/>
    <n v="0.36"/>
    <s v="United States"/>
    <x v="3"/>
    <s v="Florida"/>
    <s v="Ponte Vedra Beach"/>
    <n v="32004"/>
    <x v="117"/>
    <d v="2015-06-21T00:00:00"/>
    <n v="-195.34200000000001"/>
    <n v="15"/>
    <x v="1790"/>
    <n v="86491"/>
    <x v="1809"/>
  </r>
  <r>
    <n v="19376"/>
    <s v="Not Specified"/>
    <n v="0.1"/>
    <n v="3.98"/>
    <n v="0.83"/>
    <n v="3167"/>
    <s v="Ray Silverman"/>
    <s v="Regular Air"/>
    <s v="Corporate"/>
    <x v="0"/>
    <x v="0"/>
    <s v="Wrap Bag"/>
    <s v="Fluorescent Highlighters by Dixon"/>
    <n v="0.51"/>
    <s v="United States"/>
    <x v="3"/>
    <s v="Florida"/>
    <s v="Ponte Vedra Beach"/>
    <n v="32004"/>
    <x v="117"/>
    <d v="2015-06-21T00:00:00"/>
    <n v="-89.709199999999996"/>
    <n v="11"/>
    <x v="1315"/>
    <n v="86491"/>
    <x v="1810"/>
  </r>
  <r>
    <n v="25683"/>
    <s v="Critical"/>
    <n v="0.08"/>
    <n v="7.28"/>
    <n v="11.15"/>
    <n v="3169"/>
    <s v="Janice Boswell"/>
    <s v="Express Air"/>
    <s v="Small Business"/>
    <x v="0"/>
    <x v="7"/>
    <s v="Small Box"/>
    <s v="Array® Parchment Paper, Assorted Colors"/>
    <n v="0.37"/>
    <s v="United States"/>
    <x v="3"/>
    <s v="Florida"/>
    <s v="Port Orange"/>
    <n v="32127"/>
    <x v="53"/>
    <d v="2015-04-14T00:00:00"/>
    <n v="-44.414999999999999"/>
    <n v="1"/>
    <x v="1791"/>
    <n v="86490"/>
    <x v="1811"/>
  </r>
  <r>
    <n v="26055"/>
    <s v="Medium"/>
    <n v="0.1"/>
    <n v="7.28"/>
    <n v="5.47"/>
    <n v="3170"/>
    <s v="Lawrence Haas"/>
    <s v="Regular Air"/>
    <s v="Corporate"/>
    <x v="0"/>
    <x v="7"/>
    <s v="Small Box"/>
    <s v="Southworth Structures Collection™"/>
    <n v="0.35"/>
    <s v="United States"/>
    <x v="3"/>
    <s v="Florida"/>
    <s v="Port Saint Lucie"/>
    <n v="34952"/>
    <x v="169"/>
    <d v="2015-02-13T00:00:00"/>
    <n v="167.334"/>
    <n v="12"/>
    <x v="1792"/>
    <n v="86489"/>
    <x v="1812"/>
  </r>
  <r>
    <n v="21961"/>
    <s v="High"/>
    <n v="0.06"/>
    <n v="10.97"/>
    <n v="6.5"/>
    <n v="3176"/>
    <s v="Jackie McCullough"/>
    <s v="Regular Air"/>
    <s v="Consumer"/>
    <x v="2"/>
    <x v="13"/>
    <s v="Small Box"/>
    <s v="Micro Innovations 104 Keyboard"/>
    <n v="0.64"/>
    <s v="United States"/>
    <x v="3"/>
    <s v="Florida"/>
    <s v="Jacksonville"/>
    <n v="32216"/>
    <x v="82"/>
    <d v="2015-05-06T00:00:00"/>
    <n v="65.597999999999999"/>
    <n v="19"/>
    <x v="1793"/>
    <n v="90820"/>
    <x v="1813"/>
  </r>
  <r>
    <n v="20964"/>
    <s v="Low"/>
    <n v="0.02"/>
    <n v="58.14"/>
    <n v="36.61"/>
    <n v="3176"/>
    <s v="Jackie McCullough"/>
    <s v="Delivery Truck"/>
    <s v="Consumer"/>
    <x v="1"/>
    <x v="14"/>
    <s v="Jumbo Box"/>
    <s v="O'Sullivan 3-Shelf Heavy-Duty Bookcases"/>
    <n v="0.61"/>
    <s v="United States"/>
    <x v="3"/>
    <s v="Florida"/>
    <s v="Jacksonville"/>
    <n v="32216"/>
    <x v="97"/>
    <d v="2015-07-01T00:00:00"/>
    <n v="0.25800000000000001"/>
    <n v="22"/>
    <x v="1794"/>
    <n v="90821"/>
    <x v="1814"/>
  </r>
  <r>
    <n v="20965"/>
    <s v="Low"/>
    <n v="0.03"/>
    <n v="15.57"/>
    <n v="1.39"/>
    <n v="3176"/>
    <s v="Jackie McCullough"/>
    <s v="Regular Air"/>
    <s v="Consumer"/>
    <x v="0"/>
    <x v="4"/>
    <s v="Small Box"/>
    <s v="Park Ridge™ Embossed Executive Business Envelopes"/>
    <n v="0.38"/>
    <s v="United States"/>
    <x v="3"/>
    <s v="Florida"/>
    <s v="Jacksonville"/>
    <n v="32216"/>
    <x v="97"/>
    <d v="2015-07-01T00:00:00"/>
    <n v="63.222000000000001"/>
    <n v="22"/>
    <x v="1795"/>
    <n v="90821"/>
    <x v="1815"/>
  </r>
  <r>
    <n v="24493"/>
    <s v="Not Specified"/>
    <n v="0.1"/>
    <n v="62.18"/>
    <n v="10.84"/>
    <n v="3177"/>
    <s v="Laurie Petty"/>
    <s v="Regular Air"/>
    <s v="Consumer"/>
    <x v="1"/>
    <x v="2"/>
    <s v="Medium Box"/>
    <s v="Deflect-o Glass Clear Studded Chair Mats"/>
    <n v="0.63"/>
    <s v="United States"/>
    <x v="3"/>
    <s v="Florida"/>
    <s v="Jupiter"/>
    <n v="33458"/>
    <x v="88"/>
    <d v="2015-03-16T00:00:00"/>
    <n v="-29.666"/>
    <n v="9"/>
    <x v="1796"/>
    <n v="90818"/>
    <x v="1816"/>
  </r>
  <r>
    <n v="22086"/>
    <s v="Critical"/>
    <n v="0.06"/>
    <n v="1.68"/>
    <n v="1"/>
    <n v="3177"/>
    <s v="Laurie Petty"/>
    <s v="Regular Air"/>
    <s v="Consumer"/>
    <x v="0"/>
    <x v="0"/>
    <s v="Wrap Bag"/>
    <s v="Prang Dustless Chalk Sticks"/>
    <n v="0.35"/>
    <s v="United States"/>
    <x v="3"/>
    <s v="Florida"/>
    <s v="Jupiter"/>
    <n v="33458"/>
    <x v="157"/>
    <d v="2015-04-02T00:00:00"/>
    <n v="-1319.5"/>
    <n v="5"/>
    <x v="1797"/>
    <n v="90819"/>
    <x v="1817"/>
  </r>
  <r>
    <n v="21554"/>
    <s v="Low"/>
    <n v="7.0000000000000007E-2"/>
    <n v="35.44"/>
    <n v="7.5"/>
    <n v="3179"/>
    <s v="Marie Pittman"/>
    <s v="Regular Air"/>
    <s v="Corporate"/>
    <x v="0"/>
    <x v="7"/>
    <s v="Small Box"/>
    <s v="Xerox 1906"/>
    <n v="0.38"/>
    <s v="United States"/>
    <x v="2"/>
    <s v="Minnesota"/>
    <s v="Owatonna"/>
    <n v="55060"/>
    <x v="20"/>
    <d v="2015-06-19T00:00:00"/>
    <n v="262.2"/>
    <n v="11"/>
    <x v="1798"/>
    <n v="86989"/>
    <x v="1818"/>
  </r>
  <r>
    <n v="24464"/>
    <s v="High"/>
    <n v="0.08"/>
    <n v="170.98"/>
    <n v="35.89"/>
    <n v="3187"/>
    <s v="Sidney Gilliam"/>
    <s v="Delivery Truck"/>
    <s v="Small Business"/>
    <x v="1"/>
    <x v="14"/>
    <s v="Jumbo Box"/>
    <s v="Rush Hierlooms Collection 1&quot; Thick Stackable Bookcases"/>
    <n v="0.66"/>
    <s v="United States"/>
    <x v="3"/>
    <s v="Florida"/>
    <s v="Riverview"/>
    <n v="33569"/>
    <x v="21"/>
    <d v="2015-03-04T00:00:00"/>
    <n v="-119.812"/>
    <n v="1"/>
    <x v="1799"/>
    <n v="89025"/>
    <x v="1819"/>
  </r>
  <r>
    <n v="20127"/>
    <s v="Critical"/>
    <n v="0.01"/>
    <n v="20.99"/>
    <n v="4.8099999999999996"/>
    <n v="3191"/>
    <s v="Jenny Hawkins"/>
    <s v="Regular Air"/>
    <s v="Corporate"/>
    <x v="2"/>
    <x v="5"/>
    <s v="Medium Box"/>
    <s v="1726 Digital Answering Machine"/>
    <n v="0.57999999999999996"/>
    <s v="United States"/>
    <x v="2"/>
    <s v="Wisconsin"/>
    <s v="Stevens Point"/>
    <n v="54481"/>
    <x v="103"/>
    <d v="2015-03-18T00:00:00"/>
    <n v="-9.1080000000000005"/>
    <n v="5"/>
    <x v="1800"/>
    <n v="86447"/>
    <x v="1820"/>
  </r>
  <r>
    <n v="20303"/>
    <s v="High"/>
    <n v="0.09"/>
    <n v="35.94"/>
    <n v="6.66"/>
    <n v="3191"/>
    <s v="Jenny Hawkins"/>
    <s v="Regular Air"/>
    <s v="Corporate"/>
    <x v="0"/>
    <x v="4"/>
    <s v="Small Box"/>
    <s v="Tyvek ® Top-Opening Peel &amp; Seel ® Envelopes, Gray"/>
    <n v="0.4"/>
    <s v="United States"/>
    <x v="2"/>
    <s v="Wisconsin"/>
    <s v="Stevens Point"/>
    <n v="54481"/>
    <x v="98"/>
    <d v="2015-04-12T00:00:00"/>
    <n v="172.56440000000001"/>
    <n v="9"/>
    <x v="1801"/>
    <n v="86448"/>
    <x v="1821"/>
  </r>
  <r>
    <n v="22846"/>
    <s v="Medium"/>
    <n v="0.1"/>
    <n v="4.9800000000000004"/>
    <n v="7.54"/>
    <n v="3194"/>
    <s v="Angela Rose"/>
    <s v="Regular Air"/>
    <s v="Consumer"/>
    <x v="0"/>
    <x v="7"/>
    <s v="Small Box"/>
    <s v="Xerox 1961"/>
    <n v="0.38"/>
    <s v="United States"/>
    <x v="3"/>
    <s v="Florida"/>
    <s v="Spring Hill"/>
    <n v="34609"/>
    <x v="17"/>
    <d v="2015-03-11T00:00:00"/>
    <n v="45.078000000000003"/>
    <n v="9"/>
    <x v="1802"/>
    <n v="89805"/>
    <x v="1822"/>
  </r>
  <r>
    <n v="22847"/>
    <s v="Medium"/>
    <n v="0"/>
    <n v="22.84"/>
    <n v="8.18"/>
    <n v="3194"/>
    <s v="Angela Rose"/>
    <s v="Regular Air"/>
    <s v="Consumer"/>
    <x v="0"/>
    <x v="7"/>
    <s v="Small Box"/>
    <s v="Xerox 1991"/>
    <n v="0.39"/>
    <s v="United States"/>
    <x v="3"/>
    <s v="Florida"/>
    <s v="Spring Hill"/>
    <n v="34609"/>
    <x v="17"/>
    <d v="2015-03-12T00:00:00"/>
    <n v="-110.376"/>
    <n v="6"/>
    <x v="1803"/>
    <n v="89805"/>
    <x v="1823"/>
  </r>
  <r>
    <n v="3406"/>
    <s v="Not Specified"/>
    <n v="0.03"/>
    <n v="200.97"/>
    <n v="15.59"/>
    <n v="3196"/>
    <s v="Rick Foster Hawkins"/>
    <s v="Delivery Truck"/>
    <s v="Home Office"/>
    <x v="2"/>
    <x v="6"/>
    <s v="Jumbo Drum"/>
    <s v="Hewlett-Packard Deskjet 6122 Color Inkjet Printer"/>
    <n v="0.36"/>
    <s v="United States"/>
    <x v="0"/>
    <s v="California"/>
    <s v="San Francisco"/>
    <n v="94109"/>
    <x v="23"/>
    <d v="2015-02-03T00:00:00"/>
    <n v="1951.3"/>
    <n v="43"/>
    <x v="1804"/>
    <n v="24294"/>
    <x v="1824"/>
  </r>
  <r>
    <n v="21406"/>
    <s v="Not Specified"/>
    <n v="0.03"/>
    <n v="200.97"/>
    <n v="15.59"/>
    <n v="3197"/>
    <s v="Wallace Pugh"/>
    <s v="Delivery Truck"/>
    <s v="Home Office"/>
    <x v="2"/>
    <x v="6"/>
    <s v="Jumbo Drum"/>
    <s v="Hewlett-Packard Deskjet 6122 Color Inkjet Printer"/>
    <n v="0.36"/>
    <s v="United States"/>
    <x v="2"/>
    <s v="Illinois"/>
    <s v="Northbrook"/>
    <n v="60062"/>
    <x v="23"/>
    <d v="2015-02-03T00:00:00"/>
    <n v="1538.7828"/>
    <n v="11"/>
    <x v="1805"/>
    <n v="90850"/>
    <x v="1825"/>
  </r>
  <r>
    <n v="18437"/>
    <s v="Low"/>
    <n v="7.0000000000000007E-2"/>
    <n v="5.98"/>
    <n v="0.96"/>
    <n v="3205"/>
    <s v="Alvin Mullins"/>
    <s v="Regular Air"/>
    <s v="Consumer"/>
    <x v="0"/>
    <x v="0"/>
    <s v="Wrap Bag"/>
    <s v="Newell 315"/>
    <n v="0.6"/>
    <s v="United States"/>
    <x v="0"/>
    <s v="Idaho"/>
    <s v="Rexburg"/>
    <n v="83440"/>
    <x v="25"/>
    <d v="2015-04-03T00:00:00"/>
    <n v="32.83"/>
    <n v="10"/>
    <x v="1806"/>
    <n v="87933"/>
    <x v="1826"/>
  </r>
  <r>
    <n v="18438"/>
    <s v="Low"/>
    <n v="0.01"/>
    <n v="39.979999999999997"/>
    <n v="4"/>
    <n v="3206"/>
    <s v="Dana Rankin"/>
    <s v="Regular Air"/>
    <s v="Consumer"/>
    <x v="2"/>
    <x v="13"/>
    <s v="Small Box"/>
    <s v="Microsoft Natural Keyboard Elite"/>
    <n v="0.7"/>
    <s v="United States"/>
    <x v="0"/>
    <s v="Idaho"/>
    <s v="Twin Falls"/>
    <n v="83301"/>
    <x v="25"/>
    <d v="2015-04-04T00:00:00"/>
    <n v="51.59"/>
    <n v="6"/>
    <x v="427"/>
    <n v="87933"/>
    <x v="1827"/>
  </r>
  <r>
    <n v="21229"/>
    <s v="Not Specified"/>
    <n v="0.06"/>
    <n v="218.08"/>
    <n v="18.059999999999999"/>
    <n v="3206"/>
    <s v="Dana Rankin"/>
    <s v="Express Air"/>
    <s v="Consumer"/>
    <x v="1"/>
    <x v="1"/>
    <s v="Large Box"/>
    <s v="Lifetime Advantage™ Folding Chairs, 4/Carton"/>
    <n v="0.56999999999999995"/>
    <s v="United States"/>
    <x v="0"/>
    <s v="Idaho"/>
    <s v="Twin Falls"/>
    <n v="83301"/>
    <x v="8"/>
    <d v="2015-05-23T00:00:00"/>
    <n v="969.42"/>
    <n v="7"/>
    <x v="1807"/>
    <n v="87934"/>
    <x v="1828"/>
  </r>
  <r>
    <n v="20156"/>
    <s v="Not Specified"/>
    <n v="0.05"/>
    <n v="35.44"/>
    <n v="5.09"/>
    <n v="3206"/>
    <s v="Dana Rankin"/>
    <s v="Regular Air"/>
    <s v="Consumer"/>
    <x v="0"/>
    <x v="7"/>
    <s v="Small Box"/>
    <s v="Xerox 1932"/>
    <n v="0.38"/>
    <s v="United States"/>
    <x v="0"/>
    <s v="Idaho"/>
    <s v="Twin Falls"/>
    <n v="83301"/>
    <x v="5"/>
    <d v="2015-05-29T00:00:00"/>
    <n v="553.33169999999996"/>
    <n v="23"/>
    <x v="1808"/>
    <n v="87935"/>
    <x v="1829"/>
  </r>
  <r>
    <n v="24637"/>
    <s v="Critical"/>
    <n v="0.03"/>
    <n v="4.9800000000000004"/>
    <n v="4.62"/>
    <n v="3209"/>
    <s v="Elsie Floyd"/>
    <s v="Express Air"/>
    <s v="Corporate"/>
    <x v="2"/>
    <x v="13"/>
    <s v="Small Pack"/>
    <s v="Imation 3.5&quot;, DISKETTE 44766 HGHLD3.52HD/FM, 10/Pack"/>
    <n v="0.64"/>
    <s v="United States"/>
    <x v="0"/>
    <s v="California"/>
    <s v="Beverly Hills"/>
    <n v="90210"/>
    <x v="162"/>
    <d v="2015-06-29T00:00:00"/>
    <n v="-30.45"/>
    <n v="8"/>
    <x v="1809"/>
    <n v="90739"/>
    <x v="1830"/>
  </r>
  <r>
    <n v="22804"/>
    <s v="High"/>
    <n v="0.1"/>
    <n v="7.31"/>
    <n v="0.49"/>
    <n v="3211"/>
    <s v="Jonathan Crabtree"/>
    <s v="Regular Air"/>
    <s v="Corporate"/>
    <x v="0"/>
    <x v="9"/>
    <s v="Small Box"/>
    <s v="Self-Adhesive Address Labels for Typewriters by Universal"/>
    <n v="0.38"/>
    <s v="United States"/>
    <x v="2"/>
    <s v="Illinois"/>
    <s v="Addison"/>
    <n v="60101"/>
    <x v="2"/>
    <d v="2015-02-16T00:00:00"/>
    <n v="55.020600000000002"/>
    <n v="12"/>
    <x v="1810"/>
    <n v="91522"/>
    <x v="1831"/>
  </r>
  <r>
    <n v="22805"/>
    <s v="High"/>
    <n v="0.1"/>
    <n v="20.99"/>
    <n v="2.5"/>
    <n v="3211"/>
    <s v="Jonathan Crabtree"/>
    <s v="Regular Air"/>
    <s v="Corporate"/>
    <x v="2"/>
    <x v="5"/>
    <s v="Wrap Bag"/>
    <s v="Accessory37"/>
    <n v="0.81"/>
    <s v="United States"/>
    <x v="2"/>
    <s v="Illinois"/>
    <s v="Addison"/>
    <n v="60101"/>
    <x v="2"/>
    <d v="2015-02-16T00:00:00"/>
    <n v="-43.65504"/>
    <n v="23"/>
    <x v="1488"/>
    <n v="91522"/>
    <x v="1832"/>
  </r>
  <r>
    <n v="23736"/>
    <s v="Not Specified"/>
    <n v="0.03"/>
    <n v="6.68"/>
    <n v="1.5"/>
    <n v="3221"/>
    <s v="Sean Pugh"/>
    <s v="Regular Air"/>
    <s v="Corporate"/>
    <x v="0"/>
    <x v="0"/>
    <s v="Wrap Bag"/>
    <s v="Sanford Liquid Accent Highlighters"/>
    <n v="0.48"/>
    <s v="United States"/>
    <x v="3"/>
    <s v="Florida"/>
    <s v="Sunrise"/>
    <n v="33322"/>
    <x v="142"/>
    <d v="2015-04-13T00:00:00"/>
    <n v="-577.30399999999997"/>
    <n v="7"/>
    <x v="1811"/>
    <n v="90815"/>
    <x v="760"/>
  </r>
  <r>
    <n v="25605"/>
    <s v="High"/>
    <n v="0.04"/>
    <n v="39.479999999999997"/>
    <n v="1.99"/>
    <n v="3222"/>
    <s v="Diane Lu"/>
    <s v="Express Air"/>
    <s v="Corporate"/>
    <x v="2"/>
    <x v="13"/>
    <s v="Small Pack"/>
    <s v="80 Minute CD-R Spindle, 100/Pack - Staples"/>
    <n v="0.54"/>
    <s v="United States"/>
    <x v="3"/>
    <s v="Florida"/>
    <s v="Tallahassee"/>
    <n v="32303"/>
    <x v="91"/>
    <d v="2015-03-19T00:00:00"/>
    <n v="-1535.4864"/>
    <n v="8"/>
    <x v="1812"/>
    <n v="90814"/>
    <x v="1833"/>
  </r>
  <r>
    <n v="25606"/>
    <s v="High"/>
    <n v="0"/>
    <n v="8.1199999999999992"/>
    <n v="2.83"/>
    <n v="3222"/>
    <s v="Diane Lu"/>
    <s v="Regular Air"/>
    <s v="Corporate"/>
    <x v="2"/>
    <x v="13"/>
    <s v="Small Pack"/>
    <s v="Imation Neon Mac Format Diskettes, 10/Pack"/>
    <n v="0.77"/>
    <s v="United States"/>
    <x v="3"/>
    <s v="Florida"/>
    <s v="Tallahassee"/>
    <n v="32303"/>
    <x v="91"/>
    <d v="2015-03-20T00:00:00"/>
    <n v="-159.32"/>
    <n v="17"/>
    <x v="1813"/>
    <n v="90814"/>
    <x v="1834"/>
  </r>
  <r>
    <n v="19517"/>
    <s v="Critical"/>
    <n v="0.06"/>
    <n v="60.98"/>
    <n v="30"/>
    <n v="3224"/>
    <s v="Claudia White"/>
    <s v="Delivery Truck"/>
    <s v="Small Business"/>
    <x v="1"/>
    <x v="1"/>
    <s v="Jumbo Drum"/>
    <s v="Novimex Fabric Task Chair"/>
    <n v="0.7"/>
    <s v="United States"/>
    <x v="3"/>
    <s v="Tennessee"/>
    <s v="Gallatin"/>
    <n v="37066"/>
    <x v="113"/>
    <d v="2015-04-02T00:00:00"/>
    <n v="-74.087999999999994"/>
    <n v="2"/>
    <x v="1814"/>
    <n v="86508"/>
    <x v="1835"/>
  </r>
  <r>
    <n v="22291"/>
    <s v="Not Specified"/>
    <n v="0.1"/>
    <n v="208.16"/>
    <n v="68.02"/>
    <n v="3225"/>
    <s v="Robyn Crawford"/>
    <s v="Delivery Truck"/>
    <s v="Small Business"/>
    <x v="0"/>
    <x v="15"/>
    <s v="Jumbo Drum"/>
    <s v="1.7 Cubic Foot Compact &quot;Cube&quot; Office Refrigerators"/>
    <n v="0.57999999999999996"/>
    <s v="United States"/>
    <x v="3"/>
    <s v="Tennessee"/>
    <s v="Germantown"/>
    <n v="38138"/>
    <x v="101"/>
    <d v="2015-01-14T00:00:00"/>
    <n v="-137.52199999999999"/>
    <n v="4"/>
    <x v="1815"/>
    <n v="86507"/>
    <x v="1836"/>
  </r>
  <r>
    <n v="22292"/>
    <s v="Not Specified"/>
    <n v="7.0000000000000007E-2"/>
    <n v="90.48"/>
    <n v="19.989999999999998"/>
    <n v="3226"/>
    <s v="Arthur Gold"/>
    <s v="Regular Air"/>
    <s v="Small Business"/>
    <x v="0"/>
    <x v="4"/>
    <s v="Small Box"/>
    <s v="Tyvek® Side-Opening Peel &amp; Seel® Expanding Envelopes"/>
    <n v="0.4"/>
    <s v="United States"/>
    <x v="3"/>
    <s v="Tennessee"/>
    <s v="Hendersonville"/>
    <n v="37075"/>
    <x v="101"/>
    <d v="2015-01-15T00:00:00"/>
    <n v="-11.816000000000001"/>
    <n v="2"/>
    <x v="1816"/>
    <n v="86507"/>
    <x v="1837"/>
  </r>
  <r>
    <n v="22293"/>
    <s v="Not Specified"/>
    <n v="0.01"/>
    <n v="9.48"/>
    <n v="7.29"/>
    <n v="3226"/>
    <s v="Arthur Gold"/>
    <s v="Express Air"/>
    <s v="Small Business"/>
    <x v="1"/>
    <x v="2"/>
    <s v="Small Pack"/>
    <s v="DAX Two-Tone Rosewood/Black Document Frame, Desktop, 5 x 7"/>
    <n v="0.45"/>
    <s v="United States"/>
    <x v="3"/>
    <s v="Tennessee"/>
    <s v="Hendersonville"/>
    <n v="37075"/>
    <x v="101"/>
    <d v="2015-01-16T00:00:00"/>
    <n v="238.93379999999999"/>
    <n v="1"/>
    <x v="1817"/>
    <n v="86507"/>
    <x v="1838"/>
  </r>
  <r>
    <n v="22294"/>
    <s v="Not Specified"/>
    <n v="0.02"/>
    <n v="4.28"/>
    <n v="0.94"/>
    <n v="3226"/>
    <s v="Arthur Gold"/>
    <s v="Regular Air"/>
    <s v="Small Business"/>
    <x v="0"/>
    <x v="0"/>
    <s v="Wrap Bag"/>
    <s v="Newell 336"/>
    <n v="0.56000000000000005"/>
    <s v="United States"/>
    <x v="3"/>
    <s v="Tennessee"/>
    <s v="Hendersonville"/>
    <n v="37075"/>
    <x v="101"/>
    <d v="2015-01-15T00:00:00"/>
    <n v="-105.126"/>
    <n v="4"/>
    <x v="1818"/>
    <n v="86507"/>
    <x v="1839"/>
  </r>
  <r>
    <n v="24343"/>
    <s v="Medium"/>
    <n v="0.06"/>
    <n v="22.24"/>
    <n v="1.99"/>
    <n v="3226"/>
    <s v="Arthur Gold"/>
    <s v="Regular Air"/>
    <s v="Small Business"/>
    <x v="2"/>
    <x v="13"/>
    <s v="Small Pack"/>
    <s v="Verbatim DVD-R, 3.95GB, SR, Mitsubishi Branded, Jewel"/>
    <n v="0.43"/>
    <s v="United States"/>
    <x v="3"/>
    <s v="Tennessee"/>
    <s v="Hendersonville"/>
    <n v="37075"/>
    <x v="162"/>
    <d v="2015-06-30T00:00:00"/>
    <n v="95.388000000000005"/>
    <n v="12"/>
    <x v="1819"/>
    <n v="86509"/>
    <x v="1840"/>
  </r>
  <r>
    <n v="18940"/>
    <s v="Not Specified"/>
    <n v="0.01"/>
    <n v="24.95"/>
    <n v="2.99"/>
    <n v="3229"/>
    <s v="Sharon Kessler"/>
    <s v="Regular Air"/>
    <s v="Small Business"/>
    <x v="0"/>
    <x v="8"/>
    <s v="Small Box"/>
    <s v="Large Capacity Hanging Post Binders"/>
    <n v="0.39"/>
    <s v="United States"/>
    <x v="2"/>
    <s v="Wisconsin"/>
    <s v="Superior"/>
    <n v="54880"/>
    <x v="72"/>
    <d v="2015-01-22T00:00:00"/>
    <n v="261.38580000000002"/>
    <n v="15"/>
    <x v="1820"/>
    <n v="87435"/>
    <x v="1841"/>
  </r>
  <r>
    <n v="18941"/>
    <s v="Not Specified"/>
    <n v="0"/>
    <n v="15.98"/>
    <n v="8.99"/>
    <n v="3230"/>
    <s v="Monica Stuart"/>
    <s v="Regular Air"/>
    <s v="Small Business"/>
    <x v="2"/>
    <x v="13"/>
    <s v="Small Pack"/>
    <s v="Imation 3.5&quot; DS/HD IBM Formatted Diskettes, 50/Pack"/>
    <n v="0.64"/>
    <s v="United States"/>
    <x v="2"/>
    <s v="Wisconsin"/>
    <s v="Waukesha"/>
    <n v="53186"/>
    <x v="72"/>
    <d v="2015-01-23T00:00:00"/>
    <n v="-135.46"/>
    <n v="9"/>
    <x v="1821"/>
    <n v="87435"/>
    <x v="1842"/>
  </r>
  <r>
    <n v="19062"/>
    <s v="Critical"/>
    <n v="0.06"/>
    <n v="4.91"/>
    <n v="5.68"/>
    <n v="3230"/>
    <s v="Monica Stuart"/>
    <s v="Express Air"/>
    <s v="Small Business"/>
    <x v="0"/>
    <x v="8"/>
    <s v="Small Box"/>
    <s v="Acco Pressboard Covers with Storage Hooks, 14 7/8&quot; x 11&quot;, Light Blue"/>
    <n v="0.36"/>
    <s v="United States"/>
    <x v="2"/>
    <s v="Wisconsin"/>
    <s v="Waukesha"/>
    <n v="53186"/>
    <x v="1"/>
    <d v="2015-06-13T00:00:00"/>
    <n v="-31.68825"/>
    <n v="10"/>
    <x v="1822"/>
    <n v="87436"/>
    <x v="1843"/>
  </r>
  <r>
    <n v="19063"/>
    <s v="Critical"/>
    <n v="7.0000000000000007E-2"/>
    <n v="48.94"/>
    <n v="5.86"/>
    <n v="3230"/>
    <s v="Monica Stuart"/>
    <s v="Express Air"/>
    <s v="Small Business"/>
    <x v="0"/>
    <x v="7"/>
    <s v="Small Box"/>
    <s v="Xerox 1916"/>
    <n v="0.35"/>
    <s v="United States"/>
    <x v="2"/>
    <s v="Wisconsin"/>
    <s v="Waukesha"/>
    <n v="53186"/>
    <x v="1"/>
    <d v="2015-06-14T00:00:00"/>
    <n v="690.7038"/>
    <n v="21"/>
    <x v="1823"/>
    <n v="87436"/>
    <x v="1844"/>
  </r>
  <r>
    <n v="19179"/>
    <s v="Low"/>
    <n v="0.06"/>
    <n v="115.99"/>
    <n v="5.92"/>
    <n v="3238"/>
    <s v="Kathleen P Bloom"/>
    <s v="Regular Air"/>
    <s v="Corporate"/>
    <x v="2"/>
    <x v="5"/>
    <s v="Small Box"/>
    <n v="8890"/>
    <n v="0.57999999999999996"/>
    <s v="United States"/>
    <x v="0"/>
    <s v="Oregon"/>
    <s v="Corvallis"/>
    <n v="97330"/>
    <x v="141"/>
    <d v="2015-06-06T00:00:00"/>
    <n v="-13.068"/>
    <n v="5"/>
    <x v="1824"/>
    <n v="89564"/>
    <x v="1845"/>
  </r>
  <r>
    <n v="23084"/>
    <s v="High"/>
    <n v="0"/>
    <n v="7.28"/>
    <n v="3.52"/>
    <n v="3243"/>
    <s v="Marlene Phillips"/>
    <s v="Regular Air"/>
    <s v="Small Business"/>
    <x v="2"/>
    <x v="13"/>
    <s v="Small Pack"/>
    <s v="Imation 3.5&quot; DS-HD Macintosh Formatted Diskettes, 10/Pack"/>
    <n v="0.68"/>
    <s v="United States"/>
    <x v="1"/>
    <s v="Connecticut"/>
    <s v="Bristol"/>
    <n v="6010"/>
    <x v="69"/>
    <d v="2015-06-10T00:00:00"/>
    <n v="-25.103999999999999"/>
    <n v="3"/>
    <x v="1825"/>
    <n v="88329"/>
    <x v="1846"/>
  </r>
  <r>
    <n v="23267"/>
    <s v="Low"/>
    <n v="0.06"/>
    <n v="5.18"/>
    <n v="2.04"/>
    <n v="3246"/>
    <s v="Wanda Harris"/>
    <s v="Regular Air"/>
    <s v="Small Business"/>
    <x v="0"/>
    <x v="7"/>
    <s v="Wrap Bag"/>
    <s v="Array® Memo Cubes"/>
    <n v="0.36"/>
    <s v="United States"/>
    <x v="1"/>
    <s v="New Hampshire"/>
    <s v="Hudson"/>
    <n v="3051"/>
    <x v="113"/>
    <d v="2015-04-01T00:00:00"/>
    <n v="1.9503999999999999"/>
    <n v="4"/>
    <x v="1826"/>
    <n v="88330"/>
    <x v="1847"/>
  </r>
  <r>
    <n v="18265"/>
    <s v="High"/>
    <n v="7.0000000000000007E-2"/>
    <n v="2.78"/>
    <n v="1.49"/>
    <n v="3248"/>
    <s v="Earl Donnelly"/>
    <s v="Regular Air"/>
    <s v="Small Business"/>
    <x v="0"/>
    <x v="8"/>
    <s v="Small Box"/>
    <s v="Wilson Jones Suede Grain Vinyl Binders"/>
    <n v="0.36"/>
    <s v="United States"/>
    <x v="3"/>
    <s v="Louisiana"/>
    <s v="Slidell"/>
    <n v="70458"/>
    <x v="163"/>
    <d v="2015-05-08T00:00:00"/>
    <n v="-340.53109999999998"/>
    <n v="17"/>
    <x v="1827"/>
    <n v="87297"/>
    <x v="1848"/>
  </r>
  <r>
    <n v="25820"/>
    <s v="High"/>
    <n v="0.03"/>
    <n v="42.8"/>
    <n v="2.99"/>
    <n v="3249"/>
    <s v="Nicole Goldstein"/>
    <s v="Regular Air"/>
    <s v="Corporate"/>
    <x v="0"/>
    <x v="8"/>
    <s v="Small Box"/>
    <s v="Wilson Jones Elliptical Ring 3 1/2&quot; Capacity Binders, 800 sheets"/>
    <n v="0.36"/>
    <s v="United States"/>
    <x v="1"/>
    <s v="Maryland"/>
    <s v="Annapolis"/>
    <n v="21403"/>
    <x v="94"/>
    <d v="2015-05-24T00:00:00"/>
    <n v="462.92099999999999"/>
    <n v="16"/>
    <x v="1828"/>
    <n v="87298"/>
    <x v="1849"/>
  </r>
  <r>
    <n v="5511"/>
    <s v="Critical"/>
    <n v="0.02"/>
    <n v="5.28"/>
    <n v="6.26"/>
    <n v="3251"/>
    <s v="Peter Brooks"/>
    <s v="Regular Air"/>
    <s v="Corporate"/>
    <x v="0"/>
    <x v="7"/>
    <s v="Small Box"/>
    <s v="Xerox 1928"/>
    <n v="0.4"/>
    <s v="United States"/>
    <x v="1"/>
    <s v="New York"/>
    <s v="New York City"/>
    <n v="10112"/>
    <x v="164"/>
    <d v="2015-06-12T00:00:00"/>
    <n v="-131.16"/>
    <n v="76"/>
    <x v="1829"/>
    <n v="39076"/>
    <x v="1850"/>
  </r>
  <r>
    <n v="23324"/>
    <s v="Critical"/>
    <n v="0.01"/>
    <n v="11.34"/>
    <n v="5.01"/>
    <n v="3252"/>
    <s v="Milton Harrell"/>
    <s v="Regular Air"/>
    <s v="Small Business"/>
    <x v="0"/>
    <x v="7"/>
    <s v="Small Box"/>
    <s v="Xerox 188"/>
    <n v="0.36"/>
    <s v="United States"/>
    <x v="1"/>
    <s v="New York"/>
    <s v="Rotterdam"/>
    <n v="12306"/>
    <x v="25"/>
    <d v="2015-04-01T00:00:00"/>
    <n v="-11.83"/>
    <n v="1"/>
    <x v="1830"/>
    <n v="87296"/>
    <x v="1851"/>
  </r>
  <r>
    <n v="23511"/>
    <s v="Critical"/>
    <n v="0.02"/>
    <n v="5.28"/>
    <n v="6.26"/>
    <n v="3252"/>
    <s v="Milton Harrell"/>
    <s v="Regular Air"/>
    <s v="Corporate"/>
    <x v="0"/>
    <x v="7"/>
    <s v="Small Box"/>
    <s v="Xerox 1928"/>
    <n v="0.4"/>
    <s v="United States"/>
    <x v="1"/>
    <s v="New York"/>
    <s v="Rotterdam"/>
    <n v="12306"/>
    <x v="164"/>
    <d v="2015-06-12T00:00:00"/>
    <n v="-65.58"/>
    <n v="19"/>
    <x v="1831"/>
    <n v="87299"/>
    <x v="1852"/>
  </r>
  <r>
    <n v="21046"/>
    <s v="Critical"/>
    <n v="0.06"/>
    <n v="47.98"/>
    <n v="3.61"/>
    <n v="3255"/>
    <s v="Maureen Whitley"/>
    <s v="Regular Air"/>
    <s v="Home Office"/>
    <x v="2"/>
    <x v="13"/>
    <s v="Small Pack"/>
    <s v="DS/HD IBM Formatted Diskettes, 200/Pack - Staples"/>
    <n v="0.71"/>
    <s v="United States"/>
    <x v="3"/>
    <s v="Florida"/>
    <s v="Tamarac"/>
    <n v="33319"/>
    <x v="29"/>
    <d v="2015-02-20T00:00:00"/>
    <n v="596.80799999999999"/>
    <n v="2"/>
    <x v="1832"/>
    <n v="90488"/>
    <x v="1853"/>
  </r>
  <r>
    <n v="18728"/>
    <s v="Not Specified"/>
    <n v="0.01"/>
    <n v="349.45"/>
    <n v="60"/>
    <n v="3257"/>
    <s v="Sharon Marcus"/>
    <s v="Delivery Truck"/>
    <s v="Consumer"/>
    <x v="1"/>
    <x v="11"/>
    <s v="Jumbo Drum"/>
    <s v="SAFCO PlanMaster Heigh-Adjustable Drafting Table Base, 43w x 30d x 30-37h, Black"/>
    <m/>
    <s v="United States"/>
    <x v="0"/>
    <s v="Washington"/>
    <s v="Longview"/>
    <n v="98632"/>
    <x v="66"/>
    <d v="2015-05-27T00:00:00"/>
    <n v="3739.3928999999998"/>
    <n v="15"/>
    <x v="1833"/>
    <n v="88825"/>
    <x v="1854"/>
  </r>
  <r>
    <n v="21852"/>
    <s v="Medium"/>
    <n v="0"/>
    <n v="25.38"/>
    <n v="8.99"/>
    <n v="3257"/>
    <s v="Sharon Marcus"/>
    <s v="Regular Air"/>
    <s v="Consumer"/>
    <x v="1"/>
    <x v="2"/>
    <s v="Small Pack"/>
    <s v="Executive Impressions 13&quot; Chairman Wall Clock"/>
    <n v="0.5"/>
    <s v="United States"/>
    <x v="0"/>
    <s v="Washington"/>
    <s v="Longview"/>
    <n v="98632"/>
    <x v="116"/>
    <d v="2015-05-15T00:00:00"/>
    <n v="470.33800000000002"/>
    <n v="26"/>
    <x v="1834"/>
    <n v="88826"/>
    <x v="1855"/>
  </r>
  <r>
    <n v="23010"/>
    <s v="Not Specified"/>
    <n v="0.02"/>
    <n v="55.94"/>
    <n v="6.55"/>
    <n v="3258"/>
    <s v="Gretchen Best Wilkins"/>
    <s v="Regular Air"/>
    <s v="Consumer"/>
    <x v="2"/>
    <x v="13"/>
    <s v="Small Box"/>
    <s v="Fellowes Smart Design 104-Key Enhanced Keyboard, PS/2 Adapter, Platinum"/>
    <n v="0.68"/>
    <s v="United States"/>
    <x v="0"/>
    <s v="Washington"/>
    <s v="Lynnwood"/>
    <n v="98037"/>
    <x v="68"/>
    <d v="2015-03-23T00:00:00"/>
    <n v="401.85"/>
    <n v="11"/>
    <x v="1835"/>
    <n v="88824"/>
    <x v="1856"/>
  </r>
  <r>
    <n v="22576"/>
    <s v="Not Specified"/>
    <n v="7.0000000000000007E-2"/>
    <n v="105.34"/>
    <n v="24.49"/>
    <n v="3261"/>
    <s v="Steven Long"/>
    <s v="Express Air"/>
    <s v="Consumer"/>
    <x v="1"/>
    <x v="2"/>
    <s v="Large Box"/>
    <s v="Deflect-o DuraMat Antistatic Studded Beveled Mat for Medium Pile Carpeting"/>
    <n v="0.61"/>
    <s v="United States"/>
    <x v="2"/>
    <s v="Michigan"/>
    <s v="Adrian"/>
    <n v="49221"/>
    <x v="97"/>
    <d v="2015-06-26T00:00:00"/>
    <n v="710.67240000000004"/>
    <n v="10"/>
    <x v="1836"/>
    <n v="90296"/>
    <x v="1857"/>
  </r>
  <r>
    <n v="19214"/>
    <s v="Medium"/>
    <n v="0.04"/>
    <n v="9.99"/>
    <n v="11.59"/>
    <n v="3264"/>
    <s v="Becky Puckett"/>
    <s v="Regular Air"/>
    <s v="Corporate"/>
    <x v="0"/>
    <x v="7"/>
    <s v="Small Box"/>
    <s v="Hammermill Color Copier Paper (28Lb. and 96 Bright)"/>
    <n v="0.4"/>
    <s v="United States"/>
    <x v="0"/>
    <s v="California"/>
    <s v="Eureka"/>
    <n v="95501"/>
    <x v="168"/>
    <d v="2015-05-21T00:00:00"/>
    <n v="-92.32"/>
    <n v="5"/>
    <x v="1837"/>
    <n v="89835"/>
    <x v="1858"/>
  </r>
  <r>
    <n v="21459"/>
    <s v="Critical"/>
    <n v="0"/>
    <n v="122.99"/>
    <n v="70.2"/>
    <n v="3266"/>
    <s v="Edgar Kumar"/>
    <s v="Delivery Truck"/>
    <s v="Corporate"/>
    <x v="1"/>
    <x v="1"/>
    <s v="Jumbo Drum"/>
    <s v="Global High-Back Leather Tilter, Burgundy"/>
    <n v="0.74"/>
    <s v="United States"/>
    <x v="1"/>
    <s v="Maine"/>
    <s v="Sanford"/>
    <n v="4073"/>
    <x v="9"/>
    <d v="2015-01-29T00:00:00"/>
    <n v="-1764.29"/>
    <n v="14"/>
    <x v="1838"/>
    <n v="89836"/>
    <x v="1859"/>
  </r>
  <r>
    <n v="21458"/>
    <s v="Critical"/>
    <n v="0.01"/>
    <n v="60.97"/>
    <n v="4.5"/>
    <n v="3269"/>
    <s v="Billie Stern"/>
    <s v="Express Air"/>
    <s v="Corporate"/>
    <x v="0"/>
    <x v="15"/>
    <s v="Small Box"/>
    <s v="Tripp Lite Isotel 6 Outlet Surge Protector with Fax/Modem Protection"/>
    <n v="0.56000000000000005"/>
    <s v="United States"/>
    <x v="1"/>
    <s v="New Jersey"/>
    <s v="North Plainfield"/>
    <n v="7060"/>
    <x v="9"/>
    <d v="2015-01-30T00:00:00"/>
    <n v="527.87760000000003"/>
    <n v="12"/>
    <x v="1839"/>
    <n v="89836"/>
    <x v="1860"/>
  </r>
  <r>
    <n v="19047"/>
    <s v="Low"/>
    <n v="0.02"/>
    <n v="13.48"/>
    <n v="4.51"/>
    <n v="3275"/>
    <s v="Tamara Dickinson"/>
    <s v="Regular Air"/>
    <s v="Home Office"/>
    <x v="0"/>
    <x v="10"/>
    <s v="Small Box"/>
    <s v="Tenex Personal Project File with Scoop Front Design, Black"/>
    <n v="0.59"/>
    <s v="United States"/>
    <x v="0"/>
    <s v="Washington"/>
    <s v="Mount Vernon"/>
    <n v="98273"/>
    <x v="68"/>
    <d v="2015-03-23T00:00:00"/>
    <n v="34.520000000000003"/>
    <n v="9"/>
    <x v="1840"/>
    <n v="86233"/>
    <x v="1861"/>
  </r>
  <r>
    <n v="19232"/>
    <s v="Low"/>
    <n v="0.04"/>
    <n v="449.99"/>
    <n v="24.49"/>
    <n v="3275"/>
    <s v="Tamara Dickinson"/>
    <s v="Regular Air"/>
    <s v="Small Business"/>
    <x v="2"/>
    <x v="16"/>
    <s v="Large Box"/>
    <s v="Canon PC940 Copier"/>
    <n v="0.52"/>
    <s v="United States"/>
    <x v="0"/>
    <s v="Washington"/>
    <s v="Mount Vernon"/>
    <n v="98273"/>
    <x v="167"/>
    <d v="2015-01-05T00:00:00"/>
    <n v="3576.8841000000002"/>
    <n v="12"/>
    <x v="1841"/>
    <n v="86234"/>
    <x v="1862"/>
  </r>
  <r>
    <n v="19233"/>
    <s v="Low"/>
    <n v="0.01"/>
    <n v="5.84"/>
    <n v="1.2"/>
    <n v="3275"/>
    <s v="Tamara Dickinson"/>
    <s v="Regular Air"/>
    <s v="Small Business"/>
    <x v="0"/>
    <x v="0"/>
    <s v="Wrap Bag"/>
    <s v="Newell 312"/>
    <n v="0.55000000000000004"/>
    <s v="United States"/>
    <x v="0"/>
    <s v="Washington"/>
    <s v="Mount Vernon"/>
    <n v="98273"/>
    <x v="167"/>
    <d v="2015-01-10T00:00:00"/>
    <n v="20.38"/>
    <n v="6"/>
    <x v="1842"/>
    <n v="86234"/>
    <x v="1863"/>
  </r>
  <r>
    <n v="20039"/>
    <s v="High"/>
    <n v="0.06"/>
    <n v="89.83"/>
    <n v="35"/>
    <n v="3279"/>
    <s v="Ricky Allred"/>
    <s v="Regular Air"/>
    <s v="Home Office"/>
    <x v="0"/>
    <x v="10"/>
    <s v="Large Box"/>
    <s v="Fellowes Officeware™ Wire Shelving"/>
    <n v="0.83"/>
    <s v="United States"/>
    <x v="3"/>
    <s v="South Carolina"/>
    <s v="Columbia"/>
    <n v="29203"/>
    <x v="34"/>
    <d v="2015-04-08T00:00:00"/>
    <n v="31.11"/>
    <n v="4"/>
    <x v="1843"/>
    <n v="90766"/>
    <x v="1864"/>
  </r>
  <r>
    <n v="20040"/>
    <s v="High"/>
    <n v="0.1"/>
    <n v="13.43"/>
    <n v="5.5"/>
    <n v="3279"/>
    <s v="Ricky Allred"/>
    <s v="Regular Air"/>
    <s v="Home Office"/>
    <x v="0"/>
    <x v="10"/>
    <s v="Small Box"/>
    <s v="Fellowes Personal Hanging Folder Files, Navy"/>
    <n v="0.56999999999999995"/>
    <s v="United States"/>
    <x v="3"/>
    <s v="South Carolina"/>
    <s v="Columbia"/>
    <n v="29203"/>
    <x v="34"/>
    <d v="2015-04-08T00:00:00"/>
    <n v="358.29539999999997"/>
    <n v="12"/>
    <x v="1844"/>
    <n v="90766"/>
    <x v="1865"/>
  </r>
  <r>
    <n v="20041"/>
    <s v="High"/>
    <n v="0.01"/>
    <n v="125.99"/>
    <n v="7.69"/>
    <n v="3279"/>
    <s v="Ricky Allred"/>
    <s v="Regular Air"/>
    <s v="Home Office"/>
    <x v="2"/>
    <x v="5"/>
    <s v="Small Box"/>
    <s v="Timeport L7089"/>
    <n v="0.57999999999999996"/>
    <s v="United States"/>
    <x v="3"/>
    <s v="South Carolina"/>
    <s v="Columbia"/>
    <n v="29203"/>
    <x v="34"/>
    <d v="2015-04-06T00:00:00"/>
    <n v="8.3219999999999992"/>
    <n v="11"/>
    <x v="1845"/>
    <n v="90766"/>
    <x v="1866"/>
  </r>
  <r>
    <n v="21620"/>
    <s v="Medium"/>
    <n v="0.01"/>
    <n v="45.99"/>
    <n v="4.99"/>
    <n v="3279"/>
    <s v="Ricky Allred"/>
    <s v="Regular Air"/>
    <s v="Home Office"/>
    <x v="2"/>
    <x v="5"/>
    <s v="Small Box"/>
    <s v="KF 788"/>
    <n v="0.56000000000000005"/>
    <s v="United States"/>
    <x v="3"/>
    <s v="South Carolina"/>
    <s v="Columbia"/>
    <n v="29203"/>
    <x v="88"/>
    <d v="2015-03-16T00:00:00"/>
    <n v="24.018000000000001"/>
    <n v="3"/>
    <x v="1846"/>
    <n v="90767"/>
    <x v="1867"/>
  </r>
  <r>
    <n v="23022"/>
    <s v="Critical"/>
    <n v="0.05"/>
    <n v="363.25"/>
    <n v="19.989999999999998"/>
    <n v="3283"/>
    <s v="William Woodard"/>
    <s v="Express Air"/>
    <s v="Corporate"/>
    <x v="0"/>
    <x v="15"/>
    <s v="Small Box"/>
    <s v="Hoover WindTunnel™ Plus Canister Vacuum"/>
    <n v="0.56999999999999995"/>
    <s v="United States"/>
    <x v="3"/>
    <s v="Florida"/>
    <s v="Kendall"/>
    <n v="33156"/>
    <x v="109"/>
    <d v="2015-04-21T00:00:00"/>
    <n v="-269.75549999999998"/>
    <n v="5"/>
    <x v="1847"/>
    <n v="90752"/>
    <x v="1868"/>
  </r>
  <r>
    <n v="23211"/>
    <s v="High"/>
    <n v="0.03"/>
    <n v="17.48"/>
    <n v="1.99"/>
    <n v="3283"/>
    <s v="William Woodard"/>
    <s v="Regular Air"/>
    <s v="Corporate"/>
    <x v="2"/>
    <x v="13"/>
    <s v="Small Pack"/>
    <s v="Maxell Pro 80 Minute CD-R, 10/Pack"/>
    <n v="0.45"/>
    <s v="United States"/>
    <x v="3"/>
    <s v="Florida"/>
    <s v="Kendall"/>
    <n v="33156"/>
    <x v="16"/>
    <d v="2015-05-11T00:00:00"/>
    <n v="710.80740000000003"/>
    <n v="31"/>
    <x v="1848"/>
    <n v="90753"/>
    <x v="1869"/>
  </r>
  <r>
    <n v="26141"/>
    <s v="High"/>
    <n v="0.05"/>
    <n v="19.23"/>
    <n v="6.15"/>
    <n v="3284"/>
    <s v="Michael Shaffer"/>
    <s v="Express Air"/>
    <s v="Corporate"/>
    <x v="1"/>
    <x v="2"/>
    <s v="Small Pack"/>
    <s v="Executive Impressions 13&quot; Clairmont Wall Clock"/>
    <n v="0.44"/>
    <s v="United States"/>
    <x v="3"/>
    <s v="Florida"/>
    <s v="Kissimmee"/>
    <n v="34741"/>
    <x v="63"/>
    <d v="2015-02-22T00:00:00"/>
    <n v="-2133.2779999999998"/>
    <n v="6"/>
    <x v="1849"/>
    <n v="90751"/>
    <x v="1870"/>
  </r>
  <r>
    <n v="20350"/>
    <s v="Not Specified"/>
    <n v="0.06"/>
    <n v="1.7"/>
    <n v="1.99"/>
    <n v="3285"/>
    <s v="Ricky Garner"/>
    <s v="Regular Air"/>
    <s v="Consumer"/>
    <x v="2"/>
    <x v="13"/>
    <s v="Small Pack"/>
    <s v="BASF Silver 74 Minute CD-R"/>
    <n v="0.51"/>
    <s v="United States"/>
    <x v="3"/>
    <s v="Virginia"/>
    <s v="Herndon"/>
    <n v="20170"/>
    <x v="61"/>
    <d v="2015-01-07T00:00:00"/>
    <n v="80.071200000000005"/>
    <n v="7"/>
    <x v="1850"/>
    <n v="90750"/>
    <x v="1871"/>
  </r>
  <r>
    <n v="20351"/>
    <s v="Not Specified"/>
    <n v="0.01"/>
    <n v="30.98"/>
    <n v="5.09"/>
    <n v="3285"/>
    <s v="Ricky Garner"/>
    <s v="Regular Air"/>
    <s v="Consumer"/>
    <x v="0"/>
    <x v="7"/>
    <s v="Small Box"/>
    <s v="Xerox 19"/>
    <n v="0.4"/>
    <s v="United States"/>
    <x v="3"/>
    <s v="Virginia"/>
    <s v="Herndon"/>
    <n v="20170"/>
    <x v="61"/>
    <d v="2015-01-08T00:00:00"/>
    <n v="896.40599999999995"/>
    <n v="9"/>
    <x v="1851"/>
    <n v="90750"/>
    <x v="1872"/>
  </r>
  <r>
    <n v="21567"/>
    <s v="Low"/>
    <n v="0.08"/>
    <n v="30.56"/>
    <n v="2.99"/>
    <n v="3287"/>
    <s v="Mary Norman"/>
    <s v="Regular Air"/>
    <s v="Small Business"/>
    <x v="0"/>
    <x v="8"/>
    <s v="Small Box"/>
    <s v="Surelock™ Post Binders"/>
    <n v="0.35"/>
    <s v="United States"/>
    <x v="0"/>
    <s v="California"/>
    <s v="Granite Bay"/>
    <n v="95746"/>
    <x v="40"/>
    <d v="2015-05-27T00:00:00"/>
    <n v="352.87979999999999"/>
    <n v="17"/>
    <x v="1852"/>
    <n v="89897"/>
    <x v="1873"/>
  </r>
  <r>
    <n v="23198"/>
    <s v="Low"/>
    <n v="0.04"/>
    <n v="33.89"/>
    <n v="5.0999999999999996"/>
    <n v="3303"/>
    <s v="Carole Creech"/>
    <s v="Regular Air"/>
    <s v="Home Office"/>
    <x v="0"/>
    <x v="10"/>
    <s v="Small Box"/>
    <s v="File Shuttle II and Handi-File, Black"/>
    <n v="0.6"/>
    <s v="United States"/>
    <x v="3"/>
    <s v="Florida"/>
    <s v="Lake Worth"/>
    <n v="33461"/>
    <x v="0"/>
    <d v="2015-01-12T00:00:00"/>
    <n v="68.676000000000002"/>
    <n v="6"/>
    <x v="1853"/>
    <n v="87795"/>
    <x v="1874"/>
  </r>
  <r>
    <n v="20447"/>
    <s v="Medium"/>
    <n v="0.06"/>
    <n v="11.33"/>
    <n v="6.12"/>
    <n v="3306"/>
    <s v="Claire Warren"/>
    <s v="Regular Air"/>
    <s v="Small Business"/>
    <x v="0"/>
    <x v="15"/>
    <s v="Medium Box"/>
    <s v="Holmes Replacement Filter for HEPA Air Cleaner, Medium Room"/>
    <n v="0.42"/>
    <s v="United States"/>
    <x v="1"/>
    <s v="Connecticut"/>
    <s v="New London"/>
    <n v="6320"/>
    <x v="113"/>
    <d v="2015-04-03T00:00:00"/>
    <n v="-15.92"/>
    <n v="1"/>
    <x v="1854"/>
    <n v="90461"/>
    <x v="1875"/>
  </r>
  <r>
    <n v="22732"/>
    <s v="Low"/>
    <n v="7.0000000000000007E-2"/>
    <n v="16.739999999999998"/>
    <n v="7.04"/>
    <n v="3307"/>
    <s v="Edwin Blackburn"/>
    <s v="Regular Air"/>
    <s v="Small Business"/>
    <x v="0"/>
    <x v="10"/>
    <s v="Small Box"/>
    <s v="Rogers® Profile Extra Capacity Storage Tub"/>
    <n v="0.81"/>
    <s v="United States"/>
    <x v="1"/>
    <s v="Massachusetts"/>
    <s v="Agawam"/>
    <n v="1001"/>
    <x v="161"/>
    <d v="2015-02-02T00:00:00"/>
    <n v="-114.2"/>
    <n v="5"/>
    <x v="1855"/>
    <n v="90462"/>
    <x v="1876"/>
  </r>
  <r>
    <n v="23451"/>
    <s v="Critical"/>
    <n v="0.1"/>
    <n v="6.64"/>
    <n v="54.95"/>
    <n v="3309"/>
    <s v="Edwin Chung"/>
    <s v="Regular Air"/>
    <s v="Small Business"/>
    <x v="1"/>
    <x v="2"/>
    <s v="Small Pack"/>
    <s v="G.E. Longer-Life Indoor Recessed Floodlight Bulbs"/>
    <n v="0.37"/>
    <s v="United States"/>
    <x v="1"/>
    <s v="Massachusetts"/>
    <s v="Natick"/>
    <n v="1760"/>
    <x v="120"/>
    <d v="2015-03-26T00:00:00"/>
    <n v="-25"/>
    <n v="4"/>
    <x v="1856"/>
    <n v="90460"/>
    <x v="1877"/>
  </r>
  <r>
    <n v="23452"/>
    <s v="Critical"/>
    <n v="0.05"/>
    <n v="90.48"/>
    <n v="19.989999999999998"/>
    <n v="3310"/>
    <s v="Tiffany Grossman Hardin"/>
    <s v="Regular Air"/>
    <s v="Small Business"/>
    <x v="0"/>
    <x v="4"/>
    <s v="Small Box"/>
    <s v="Tyvek® Side-Opening Peel &amp; Seel® Expanding Envelopes"/>
    <n v="0.4"/>
    <s v="United States"/>
    <x v="1"/>
    <s v="Massachusetts"/>
    <s v="Sandwich"/>
    <n v="2563"/>
    <x v="120"/>
    <d v="2015-03-25T00:00:00"/>
    <n v="255.1482"/>
    <n v="4"/>
    <x v="1857"/>
    <n v="90460"/>
    <x v="1878"/>
  </r>
  <r>
    <n v="22734"/>
    <s v="Low"/>
    <n v="0.06"/>
    <n v="6.45"/>
    <n v="1.34"/>
    <n v="3311"/>
    <s v="Jackie Flynn"/>
    <s v="Regular Air"/>
    <s v="Small Business"/>
    <x v="0"/>
    <x v="7"/>
    <s v="Wrap Bag"/>
    <s v="Wirebound Four 2-3/4 x 5 Forms per Page, 400 Sets per Book"/>
    <n v="0.36"/>
    <s v="United States"/>
    <x v="1"/>
    <s v="Massachusetts"/>
    <s v="Winchester"/>
    <n v="1890"/>
    <x v="161"/>
    <d v="2015-01-31T00:00:00"/>
    <n v="39.426600000000001"/>
    <n v="9"/>
    <x v="1858"/>
    <n v="90462"/>
    <x v="1879"/>
  </r>
  <r>
    <n v="22733"/>
    <s v="Low"/>
    <n v="0.05"/>
    <n v="122.99"/>
    <n v="70.2"/>
    <n v="3314"/>
    <s v="Billy Hale"/>
    <s v="Delivery Truck"/>
    <s v="Small Business"/>
    <x v="1"/>
    <x v="1"/>
    <s v="Jumbo Drum"/>
    <s v="Global High-Back Leather Tilter, Burgundy"/>
    <n v="0.74"/>
    <s v="United States"/>
    <x v="1"/>
    <s v="New Jersey"/>
    <s v="Fort Lee"/>
    <n v="7024"/>
    <x v="161"/>
    <d v="2015-01-30T00:00:00"/>
    <n v="-722.23"/>
    <n v="4"/>
    <x v="1859"/>
    <n v="90462"/>
    <x v="1880"/>
  </r>
  <r>
    <n v="19422"/>
    <s v="Low"/>
    <n v="0.03"/>
    <n v="20.98"/>
    <n v="1.49"/>
    <n v="3319"/>
    <s v="Marlene Davidson"/>
    <s v="Regular Air"/>
    <s v="Small Business"/>
    <x v="0"/>
    <x v="8"/>
    <s v="Small Box"/>
    <s v="Avery Legal 4-Ring Binder"/>
    <n v="0.35"/>
    <s v="United States"/>
    <x v="3"/>
    <s v="Tennessee"/>
    <s v="Hendersonville"/>
    <n v="37075"/>
    <x v="8"/>
    <d v="2015-05-21T00:00:00"/>
    <n v="30.024000000000001"/>
    <n v="20"/>
    <x v="1860"/>
    <n v="90104"/>
    <x v="1881"/>
  </r>
  <r>
    <n v="20203"/>
    <s v="Not Specified"/>
    <n v="0.08"/>
    <n v="3.28"/>
    <n v="3.97"/>
    <n v="3320"/>
    <s v="Alicia Maynard"/>
    <s v="Regular Air"/>
    <s v="Small Business"/>
    <x v="0"/>
    <x v="0"/>
    <s v="Wrap Bag"/>
    <s v="Newell 342"/>
    <n v="0.56000000000000005"/>
    <s v="United States"/>
    <x v="3"/>
    <s v="Tennessee"/>
    <s v="Jackson"/>
    <n v="38301"/>
    <x v="58"/>
    <d v="2015-04-28T00:00:00"/>
    <n v="0.42659999999999998"/>
    <n v="18"/>
    <x v="1861"/>
    <n v="90103"/>
    <x v="1882"/>
  </r>
  <r>
    <n v="20204"/>
    <s v="Not Specified"/>
    <n v="0.09"/>
    <n v="40.97"/>
    <n v="8.99"/>
    <n v="3320"/>
    <s v="Alicia Maynard"/>
    <s v="Express Air"/>
    <s v="Small Business"/>
    <x v="0"/>
    <x v="0"/>
    <s v="Small Pack"/>
    <s v="Sanford 52201 APSCO Electric Pencil Sharpener"/>
    <n v="0.59"/>
    <s v="United States"/>
    <x v="3"/>
    <s v="Tennessee"/>
    <s v="Jackson"/>
    <n v="38301"/>
    <x v="58"/>
    <d v="2015-04-29T00:00:00"/>
    <n v="66.215999999999994"/>
    <n v="22"/>
    <x v="1862"/>
    <n v="90103"/>
    <x v="1883"/>
  </r>
  <r>
    <n v="25330"/>
    <s v="Medium"/>
    <n v="0.05"/>
    <n v="6.48"/>
    <n v="8.19"/>
    <n v="3324"/>
    <s v="Leslie Jacobson"/>
    <s v="Regular Air"/>
    <s v="Consumer"/>
    <x v="0"/>
    <x v="7"/>
    <s v="Small Box"/>
    <s v="Xerox 217"/>
    <n v="0.37"/>
    <s v="United States"/>
    <x v="0"/>
    <s v="Arizona"/>
    <s v="El Mirage"/>
    <n v="85335"/>
    <x v="6"/>
    <d v="2015-02-15T00:00:00"/>
    <n v="-164.18"/>
    <n v="9"/>
    <x v="1863"/>
    <n v="90985"/>
    <x v="1884"/>
  </r>
  <r>
    <n v="20488"/>
    <s v="Low"/>
    <n v="0"/>
    <n v="8.74"/>
    <n v="8.2899999999999991"/>
    <n v="3325"/>
    <s v="Diane Barr"/>
    <s v="Regular Air"/>
    <s v="Consumer"/>
    <x v="0"/>
    <x v="4"/>
    <s v="Small Box"/>
    <s v="#10- 4 1/8&quot; x 9 1/2&quot; Recycled Envelopes"/>
    <n v="0.38"/>
    <s v="United States"/>
    <x v="0"/>
    <s v="Oregon"/>
    <s v="Coos Bay"/>
    <n v="97420"/>
    <x v="137"/>
    <d v="2015-06-26T00:00:00"/>
    <n v="-79.400000000000006"/>
    <n v="14"/>
    <x v="1864"/>
    <n v="90986"/>
    <x v="1885"/>
  </r>
  <r>
    <n v="23476"/>
    <s v="Critical"/>
    <n v="7.0000000000000007E-2"/>
    <n v="5.58"/>
    <n v="1.99"/>
    <n v="3325"/>
    <s v="Diane Barr"/>
    <s v="Regular Air"/>
    <s v="Consumer"/>
    <x v="0"/>
    <x v="0"/>
    <s v="Wrap Bag"/>
    <s v="DIXON Ticonderoga® Erasable Checking Pencils"/>
    <n v="0.46"/>
    <s v="United States"/>
    <x v="0"/>
    <s v="Oregon"/>
    <s v="Coos Bay"/>
    <n v="97420"/>
    <x v="158"/>
    <d v="2015-04-26T00:00:00"/>
    <n v="23.045999999999999"/>
    <n v="23"/>
    <x v="1865"/>
    <n v="90987"/>
    <x v="1886"/>
  </r>
  <r>
    <n v="18259"/>
    <s v="Not Specified"/>
    <n v="0.06"/>
    <n v="113.98"/>
    <n v="30"/>
    <n v="3327"/>
    <s v="Bob Gibson"/>
    <s v="Delivery Truck"/>
    <s v="Small Business"/>
    <x v="1"/>
    <x v="1"/>
    <s v="Jumbo Drum"/>
    <s v="Hon Comfortask® Task/Swivel Chairs"/>
    <n v="0.69"/>
    <s v="United States"/>
    <x v="2"/>
    <s v="Michigan"/>
    <s v="Port Huron"/>
    <n v="48060"/>
    <x v="127"/>
    <d v="2015-03-08T00:00:00"/>
    <n v="-127.3"/>
    <n v="3"/>
    <x v="1866"/>
    <n v="87272"/>
    <x v="1887"/>
  </r>
  <r>
    <n v="18260"/>
    <s v="Not Specified"/>
    <n v="0.05"/>
    <n v="6.48"/>
    <n v="6.86"/>
    <n v="3327"/>
    <s v="Bob Gibson"/>
    <s v="Regular Air"/>
    <s v="Small Business"/>
    <x v="0"/>
    <x v="7"/>
    <s v="Small Box"/>
    <s v="Xerox 204"/>
    <n v="0.37"/>
    <s v="United States"/>
    <x v="2"/>
    <s v="Michigan"/>
    <s v="Port Huron"/>
    <n v="48060"/>
    <x v="127"/>
    <d v="2015-03-08T00:00:00"/>
    <n v="-52.77"/>
    <n v="4"/>
    <x v="1867"/>
    <n v="87272"/>
    <x v="1888"/>
  </r>
  <r>
    <n v="21588"/>
    <s v="Medium"/>
    <n v="0.09"/>
    <n v="5.98"/>
    <n v="4.6900000000000004"/>
    <n v="3331"/>
    <s v="Elisabeth Shaw"/>
    <s v="Regular Air"/>
    <s v="Corporate"/>
    <x v="0"/>
    <x v="10"/>
    <s v="Small Box"/>
    <s v="Perma STOR-ALL™ Hanging File Box, 13 1/8&quot;W x 12 1/4&quot;D x 10 1/2&quot;H"/>
    <n v="0.68"/>
    <s v="United States"/>
    <x v="3"/>
    <s v="Florida"/>
    <s v="Ormond Beach"/>
    <n v="32174"/>
    <x v="99"/>
    <d v="2015-01-06T00:00:00"/>
    <n v="-781.13419999999996"/>
    <n v="11"/>
    <x v="1868"/>
    <n v="86283"/>
    <x v="1889"/>
  </r>
  <r>
    <n v="23294"/>
    <s v="Not Specified"/>
    <n v="0.02"/>
    <n v="4"/>
    <n v="1.3"/>
    <n v="3331"/>
    <s v="Elisabeth Shaw"/>
    <s v="Regular Air"/>
    <s v="Corporate"/>
    <x v="0"/>
    <x v="7"/>
    <s v="Wrap Bag"/>
    <s v="EcoTones® Memo Sheets"/>
    <n v="0.37"/>
    <s v="United States"/>
    <x v="3"/>
    <s v="Florida"/>
    <s v="Ormond Beach"/>
    <n v="32174"/>
    <x v="85"/>
    <d v="2015-01-09T00:00:00"/>
    <n v="-23.295999999999999"/>
    <n v="12"/>
    <x v="1869"/>
    <n v="86284"/>
    <x v="1890"/>
  </r>
  <r>
    <n v="21429"/>
    <s v="High"/>
    <n v="0.08"/>
    <n v="6.48"/>
    <n v="8.4"/>
    <n v="3338"/>
    <s v="Constance Robertson"/>
    <s v="Regular Air"/>
    <s v="Consumer"/>
    <x v="0"/>
    <x v="7"/>
    <s v="Small Box"/>
    <s v="Xerox 212"/>
    <n v="0.37"/>
    <s v="United States"/>
    <x v="3"/>
    <s v="Florida"/>
    <s v="Tampa"/>
    <n v="33614"/>
    <x v="163"/>
    <d v="2015-05-07T00:00:00"/>
    <n v="58.811999999999998"/>
    <n v="7"/>
    <x v="1098"/>
    <n v="85979"/>
    <x v="1891"/>
  </r>
  <r>
    <n v="25613"/>
    <s v="High"/>
    <n v="0.03"/>
    <n v="2.61"/>
    <n v="0.5"/>
    <n v="3339"/>
    <s v="Lester Copeland"/>
    <s v="Regular Air"/>
    <s v="Consumer"/>
    <x v="0"/>
    <x v="9"/>
    <s v="Small Box"/>
    <s v="Avery 494"/>
    <n v="0.39"/>
    <s v="United States"/>
    <x v="3"/>
    <s v="Florida"/>
    <s v="Titusville"/>
    <n v="32780"/>
    <x v="110"/>
    <d v="2015-06-15T00:00:00"/>
    <n v="4.0442999999999998"/>
    <n v="7"/>
    <x v="1870"/>
    <n v="85981"/>
    <x v="1892"/>
  </r>
  <r>
    <n v="25614"/>
    <s v="High"/>
    <n v="0.01"/>
    <n v="11.66"/>
    <n v="7.95"/>
    <n v="3339"/>
    <s v="Lester Copeland"/>
    <s v="Regular Air"/>
    <s v="Consumer"/>
    <x v="0"/>
    <x v="0"/>
    <s v="Small Pack"/>
    <s v="Hunt BOSTON® Vista® Battery-Operated Pencil Sharpener, Black"/>
    <n v="0.57999999999999996"/>
    <s v="United States"/>
    <x v="3"/>
    <s v="Florida"/>
    <s v="Titusville"/>
    <n v="32780"/>
    <x v="110"/>
    <d v="2015-06-15T00:00:00"/>
    <n v="-10.368399999999999"/>
    <n v="16"/>
    <x v="1871"/>
    <n v="85981"/>
    <x v="1893"/>
  </r>
  <r>
    <n v="22857"/>
    <s v="Medium"/>
    <n v="0.08"/>
    <n v="125.99"/>
    <n v="4.2"/>
    <n v="3340"/>
    <s v="Phillip Blum"/>
    <s v="Regular Air"/>
    <s v="Consumer"/>
    <x v="2"/>
    <x v="5"/>
    <s v="Small Box"/>
    <s v="i1000plus"/>
    <n v="0.56999999999999995"/>
    <s v="United States"/>
    <x v="0"/>
    <s v="Oregon"/>
    <s v="Troutdale"/>
    <n v="97060"/>
    <x v="107"/>
    <d v="2015-01-14T00:00:00"/>
    <n v="989.81190000000004"/>
    <n v="14"/>
    <x v="1872"/>
    <n v="85980"/>
    <x v="1894"/>
  </r>
  <r>
    <n v="2986"/>
    <s v="Critical"/>
    <n v="0.03"/>
    <n v="194.3"/>
    <n v="11.54"/>
    <n v="3342"/>
    <s v="Paul Tate"/>
    <s v="Regular Air"/>
    <s v="Home Office"/>
    <x v="1"/>
    <x v="2"/>
    <s v="Large Box"/>
    <s v="Electrix Halogen Magnifier Lamp"/>
    <n v="0.59"/>
    <s v="United States"/>
    <x v="1"/>
    <s v="District of Columbia"/>
    <s v="Washington"/>
    <n v="20006"/>
    <x v="169"/>
    <d v="2015-02-15T00:00:00"/>
    <n v="2861.01"/>
    <n v="42"/>
    <x v="1873"/>
    <n v="21572"/>
    <x v="1895"/>
  </r>
  <r>
    <n v="20986"/>
    <s v="Critical"/>
    <n v="0.03"/>
    <n v="194.3"/>
    <n v="11.54"/>
    <n v="3344"/>
    <s v="Jim Hinson"/>
    <s v="Regular Air"/>
    <s v="Home Office"/>
    <x v="1"/>
    <x v="2"/>
    <s v="Large Box"/>
    <s v="Electrix Halogen Magnifier Lamp"/>
    <n v="0.59"/>
    <s v="United States"/>
    <x v="2"/>
    <s v="Michigan"/>
    <s v="Rochester Hills"/>
    <n v="48307"/>
    <x v="169"/>
    <d v="2015-02-15T00:00:00"/>
    <n v="1544.9306999999999"/>
    <n v="11"/>
    <x v="1874"/>
    <n v="89928"/>
    <x v="1896"/>
  </r>
  <r>
    <n v="18947"/>
    <s v="Medium"/>
    <n v="7.0000000000000007E-2"/>
    <n v="7.68"/>
    <n v="6.16"/>
    <n v="3347"/>
    <s v="Carrie McIntosh"/>
    <s v="Express Air"/>
    <s v="Consumer"/>
    <x v="0"/>
    <x v="8"/>
    <s v="Small Box"/>
    <s v="GBC VeloBinder Strips"/>
    <n v="0.35"/>
    <s v="United States"/>
    <x v="3"/>
    <s v="Florida"/>
    <s v="Royal Palm Beach"/>
    <n v="33411"/>
    <x v="61"/>
    <d v="2015-01-08T00:00:00"/>
    <n v="125.9982"/>
    <n v="1"/>
    <x v="1875"/>
    <n v="89355"/>
    <x v="1897"/>
  </r>
  <r>
    <n v="18948"/>
    <s v="Medium"/>
    <n v="0.05"/>
    <n v="6.64"/>
    <n v="4.95"/>
    <n v="3347"/>
    <s v="Carrie McIntosh"/>
    <s v="Express Air"/>
    <s v="Consumer"/>
    <x v="1"/>
    <x v="2"/>
    <s v="Small Pack"/>
    <s v="G.E. Longer-Life Indoor Recessed Floodlight Bulbs"/>
    <n v="0.37"/>
    <s v="United States"/>
    <x v="3"/>
    <s v="Florida"/>
    <s v="Royal Palm Beach"/>
    <n v="33411"/>
    <x v="61"/>
    <d v="2015-01-08T00:00:00"/>
    <n v="-92.929199999999994"/>
    <n v="5"/>
    <x v="1876"/>
    <n v="89355"/>
    <x v="1898"/>
  </r>
  <r>
    <n v="19461"/>
    <s v="Medium"/>
    <n v="0.02"/>
    <n v="110.99"/>
    <n v="2.5"/>
    <n v="3347"/>
    <s v="Carrie McIntosh"/>
    <s v="Regular Air"/>
    <s v="Consumer"/>
    <x v="2"/>
    <x v="5"/>
    <s v="Small Box"/>
    <s v="T18"/>
    <n v="0.56999999999999995"/>
    <s v="United States"/>
    <x v="3"/>
    <s v="Florida"/>
    <s v="Royal Palm Beach"/>
    <n v="33411"/>
    <x v="39"/>
    <d v="2015-01-29T00:00:00"/>
    <n v="-39.808999999999997"/>
    <n v="1"/>
    <x v="1877"/>
    <n v="89356"/>
    <x v="1899"/>
  </r>
  <r>
    <n v="21485"/>
    <s v="Medium"/>
    <n v="0.01"/>
    <n v="73.98"/>
    <n v="12.14"/>
    <n v="3350"/>
    <s v="Amy York"/>
    <s v="Regular Air"/>
    <s v="Small Business"/>
    <x v="2"/>
    <x v="13"/>
    <s v="Small Box"/>
    <s v="Keytronic 105-Key Spanish Keyboard"/>
    <n v="0.67"/>
    <s v="United States"/>
    <x v="0"/>
    <s v="Washington"/>
    <s v="Parkland"/>
    <n v="98444"/>
    <x v="172"/>
    <d v="2015-01-25T00:00:00"/>
    <n v="-29.0656"/>
    <n v="5"/>
    <x v="1119"/>
    <n v="91296"/>
    <x v="1900"/>
  </r>
  <r>
    <n v="23248"/>
    <s v="Critical"/>
    <n v="0.1"/>
    <n v="10.89"/>
    <n v="4.5"/>
    <n v="3351"/>
    <s v="Nathan Wyatt"/>
    <s v="Regular Air"/>
    <s v="Small Business"/>
    <x v="0"/>
    <x v="15"/>
    <s v="Small Box"/>
    <s v="Belkin 6 Outlet Metallic Surge Strip"/>
    <n v="0.59"/>
    <s v="United States"/>
    <x v="0"/>
    <s v="Washington"/>
    <s v="Pasco"/>
    <n v="99301"/>
    <x v="128"/>
    <d v="2015-02-06T00:00:00"/>
    <n v="-19.2972"/>
    <n v="17"/>
    <x v="1878"/>
    <n v="91297"/>
    <x v="1901"/>
  </r>
  <r>
    <n v="23474"/>
    <s v="High"/>
    <n v="0.06"/>
    <n v="6.7"/>
    <n v="1.56"/>
    <n v="3351"/>
    <s v="Nathan Wyatt"/>
    <s v="Express Air"/>
    <s v="Small Business"/>
    <x v="0"/>
    <x v="0"/>
    <s v="Wrap Bag"/>
    <s v="Turquoise Lead Holder with Pocket Clip"/>
    <n v="0.52"/>
    <s v="United States"/>
    <x v="0"/>
    <s v="Washington"/>
    <s v="Pasco"/>
    <n v="99301"/>
    <x v="131"/>
    <d v="2015-02-09T00:00:00"/>
    <n v="40.6556"/>
    <n v="12"/>
    <x v="1879"/>
    <n v="91298"/>
    <x v="1902"/>
  </r>
  <r>
    <n v="19838"/>
    <s v="High"/>
    <n v="0.03"/>
    <n v="28.53"/>
    <n v="1.49"/>
    <n v="3354"/>
    <s v="Sara Faulkner"/>
    <s v="Regular Air"/>
    <s v="Corporate"/>
    <x v="0"/>
    <x v="8"/>
    <s v="Small Box"/>
    <s v="Lock-Up Easel 'Spel-Binder'"/>
    <n v="0.38"/>
    <s v="United States"/>
    <x v="0"/>
    <s v="California"/>
    <s v="Calexico"/>
    <n v="92231"/>
    <x v="41"/>
    <d v="2015-05-17T00:00:00"/>
    <n v="137.67570000000001"/>
    <n v="7"/>
    <x v="1880"/>
    <n v="88589"/>
    <x v="1903"/>
  </r>
  <r>
    <n v="19839"/>
    <s v="High"/>
    <n v="7.0000000000000007E-2"/>
    <n v="5.98"/>
    <n v="7.15"/>
    <n v="3354"/>
    <s v="Sara Faulkner"/>
    <s v="Regular Air"/>
    <s v="Corporate"/>
    <x v="0"/>
    <x v="7"/>
    <s v="Small Box"/>
    <s v="Universal Premium White Copier/Laser Paper (20Lb. and 87 Bright)"/>
    <n v="0.36"/>
    <s v="United States"/>
    <x v="0"/>
    <s v="California"/>
    <s v="Calexico"/>
    <n v="92231"/>
    <x v="41"/>
    <d v="2015-05-18T00:00:00"/>
    <n v="-62"/>
    <n v="6"/>
    <x v="1881"/>
    <n v="88589"/>
    <x v="1904"/>
  </r>
  <r>
    <n v="19666"/>
    <s v="Not Specified"/>
    <n v="0.04"/>
    <n v="3.69"/>
    <n v="0.5"/>
    <n v="3354"/>
    <s v="Sara Faulkner"/>
    <s v="Regular Air"/>
    <s v="Corporate"/>
    <x v="0"/>
    <x v="9"/>
    <s v="Small Box"/>
    <s v="Avery 487"/>
    <n v="0.38"/>
    <s v="United States"/>
    <x v="0"/>
    <s v="California"/>
    <s v="Calexico"/>
    <n v="92231"/>
    <x v="12"/>
    <d v="2015-03-29T00:00:00"/>
    <n v="47.527200000000001"/>
    <n v="19"/>
    <x v="1882"/>
    <n v="88590"/>
    <x v="1905"/>
  </r>
  <r>
    <n v="23906"/>
    <s v="Low"/>
    <n v="0.1"/>
    <n v="120.98"/>
    <n v="9.07"/>
    <n v="3355"/>
    <s v="Glenda Simon"/>
    <s v="Regular Air"/>
    <s v="Corporate"/>
    <x v="0"/>
    <x v="8"/>
    <s v="Small Box"/>
    <s v="GBC VeloBinder Electric Binding Machine"/>
    <n v="0.35"/>
    <s v="United States"/>
    <x v="0"/>
    <s v="California"/>
    <s v="Camarillo"/>
    <n v="93010"/>
    <x v="136"/>
    <d v="2015-03-09T00:00:00"/>
    <n v="379.3965"/>
    <n v="5"/>
    <x v="1883"/>
    <n v="88587"/>
    <x v="1906"/>
  </r>
  <r>
    <n v="23907"/>
    <s v="Low"/>
    <n v="0.08"/>
    <n v="8.32"/>
    <n v="2.38"/>
    <n v="3355"/>
    <s v="Glenda Simon"/>
    <s v="Express Air"/>
    <s v="Corporate"/>
    <x v="2"/>
    <x v="13"/>
    <s v="Small Pack"/>
    <s v="Imation 3.5 IBM Formatted Diskettes, 10/Box"/>
    <n v="0.74"/>
    <s v="United States"/>
    <x v="0"/>
    <s v="California"/>
    <s v="Camarillo"/>
    <n v="93010"/>
    <x v="136"/>
    <d v="2015-03-04T00:00:00"/>
    <n v="-41.83"/>
    <n v="6"/>
    <x v="1884"/>
    <n v="88587"/>
    <x v="1907"/>
  </r>
  <r>
    <n v="23908"/>
    <s v="Low"/>
    <n v="0.1"/>
    <n v="125.99"/>
    <n v="4.2"/>
    <n v="3355"/>
    <s v="Glenda Simon"/>
    <s v="Regular Air"/>
    <s v="Corporate"/>
    <x v="2"/>
    <x v="5"/>
    <s v="Small Box"/>
    <s v="V3682"/>
    <n v="0.59"/>
    <s v="United States"/>
    <x v="0"/>
    <s v="California"/>
    <s v="Camarillo"/>
    <n v="93010"/>
    <x v="136"/>
    <d v="2015-02-28T00:00:00"/>
    <n v="372.40199999999999"/>
    <n v="7"/>
    <x v="1885"/>
    <n v="88587"/>
    <x v="1908"/>
  </r>
  <r>
    <n v="18628"/>
    <s v="Medium"/>
    <n v="7.0000000000000007E-2"/>
    <n v="5.34"/>
    <n v="5.63"/>
    <n v="3356"/>
    <s v="Richard Tan"/>
    <s v="Regular Air"/>
    <s v="Corporate"/>
    <x v="0"/>
    <x v="8"/>
    <s v="Small Box"/>
    <s v="Pressboard Data Binder, Crimson, 12&quot; X 8 1/2&quot;"/>
    <n v="0.39"/>
    <s v="United States"/>
    <x v="0"/>
    <s v="Idaho"/>
    <s v="Eagle"/>
    <n v="83616"/>
    <x v="82"/>
    <d v="2015-05-06T00:00:00"/>
    <n v="-116.3455"/>
    <n v="13"/>
    <x v="1886"/>
    <n v="88588"/>
    <x v="1909"/>
  </r>
  <r>
    <n v="18629"/>
    <s v="Medium"/>
    <n v="0.03"/>
    <n v="160.97999999999999"/>
    <n v="30"/>
    <n v="3356"/>
    <s v="Richard Tan"/>
    <s v="Delivery Truck"/>
    <s v="Corporate"/>
    <x v="1"/>
    <x v="1"/>
    <s v="Jumbo Drum"/>
    <s v="Office Star - Mid Back Dual function Ergonomic High Back Chair with 2-Way Adjustable Arms"/>
    <n v="0.62"/>
    <s v="United States"/>
    <x v="0"/>
    <s v="Idaho"/>
    <s v="Eagle"/>
    <n v="83616"/>
    <x v="82"/>
    <d v="2015-05-05T00:00:00"/>
    <n v="1304.9000000000001"/>
    <n v="18"/>
    <x v="1887"/>
    <n v="88588"/>
    <x v="1910"/>
  </r>
  <r>
    <n v="18630"/>
    <s v="Medium"/>
    <n v="0.04"/>
    <n v="65.989999999999995"/>
    <n v="5.63"/>
    <n v="3356"/>
    <s v="Richard Tan"/>
    <s v="Express Air"/>
    <s v="Corporate"/>
    <x v="2"/>
    <x v="5"/>
    <s v="Small Box"/>
    <n v="2190"/>
    <n v="0.56000000000000005"/>
    <s v="United States"/>
    <x v="0"/>
    <s v="Idaho"/>
    <s v="Eagle"/>
    <n v="83616"/>
    <x v="82"/>
    <d v="2015-05-04T00:00:00"/>
    <n v="605.04719999999998"/>
    <n v="15"/>
    <x v="1888"/>
    <n v="88588"/>
    <x v="1911"/>
  </r>
  <r>
    <n v="22597"/>
    <s v="High"/>
    <n v="0.09"/>
    <n v="28.53"/>
    <n v="1.49"/>
    <n v="3359"/>
    <s v="Jeffrey Cheng"/>
    <s v="Regular Air"/>
    <s v="Home Office"/>
    <x v="0"/>
    <x v="8"/>
    <s v="Small Box"/>
    <s v="Lock-Up Easel 'Spel-Binder'"/>
    <n v="0.38"/>
    <s v="United States"/>
    <x v="2"/>
    <s v="Wisconsin"/>
    <s v="Wauwatosa"/>
    <n v="53213"/>
    <x v="65"/>
    <d v="2015-04-30T00:00:00"/>
    <n v="107.45462000000001"/>
    <n v="6"/>
    <x v="1889"/>
    <n v="91437"/>
    <x v="1912"/>
  </r>
  <r>
    <n v="23359"/>
    <s v="Not Specified"/>
    <n v="0.02"/>
    <n v="9.11"/>
    <n v="2.15"/>
    <n v="3360"/>
    <s v="Daniel Huff"/>
    <s v="Regular Air"/>
    <s v="Home Office"/>
    <x v="0"/>
    <x v="7"/>
    <s v="Wrap Bag"/>
    <s v="Black Print Carbonless Snap-Off® Rapid Letter, 8 1/2&quot; x 7&quot;"/>
    <n v="0.4"/>
    <s v="United States"/>
    <x v="2"/>
    <s v="Wisconsin"/>
    <s v="West Allis"/>
    <n v="53214"/>
    <x v="80"/>
    <d v="2015-03-22T00:00:00"/>
    <n v="18.41"/>
    <n v="3"/>
    <x v="1890"/>
    <n v="91435"/>
    <x v="1913"/>
  </r>
  <r>
    <n v="23360"/>
    <s v="Not Specified"/>
    <n v="0.06"/>
    <n v="12.64"/>
    <n v="4.9800000000000004"/>
    <n v="3361"/>
    <s v="Oscar Kenney"/>
    <s v="Regular Air"/>
    <s v="Home Office"/>
    <x v="1"/>
    <x v="2"/>
    <s v="Small Pack"/>
    <s v="Nu-Dell Executive Frame"/>
    <n v="0.48"/>
    <s v="United States"/>
    <x v="2"/>
    <s v="Wisconsin"/>
    <s v="West Bend"/>
    <n v="53095"/>
    <x v="80"/>
    <d v="2015-03-22T00:00:00"/>
    <n v="65.63"/>
    <n v="8"/>
    <x v="1891"/>
    <n v="91435"/>
    <x v="1914"/>
  </r>
  <r>
    <n v="24802"/>
    <s v="Medium"/>
    <n v="0.04"/>
    <n v="7.96"/>
    <n v="4.95"/>
    <n v="3361"/>
    <s v="Oscar Kenney"/>
    <s v="Regular Air"/>
    <s v="Home Office"/>
    <x v="1"/>
    <x v="2"/>
    <s v="Small Box"/>
    <s v="Staples Plastic Wall Frames"/>
    <n v="0.41"/>
    <s v="United States"/>
    <x v="2"/>
    <s v="Wisconsin"/>
    <s v="West Bend"/>
    <n v="53095"/>
    <x v="161"/>
    <d v="2015-01-26T00:00:00"/>
    <n v="-7.73"/>
    <n v="15"/>
    <x v="1892"/>
    <n v="91436"/>
    <x v="1915"/>
  </r>
  <r>
    <n v="23887"/>
    <s v="Medium"/>
    <n v="0.03"/>
    <n v="4.9800000000000004"/>
    <n v="4.95"/>
    <n v="3361"/>
    <s v="Oscar Kenney"/>
    <s v="Regular Air"/>
    <s v="Home Office"/>
    <x v="0"/>
    <x v="8"/>
    <s v="Small Box"/>
    <s v="Cardinal Holdit Business Card Pockets"/>
    <n v="0.37"/>
    <s v="United States"/>
    <x v="2"/>
    <s v="Wisconsin"/>
    <s v="West Bend"/>
    <n v="53095"/>
    <x v="62"/>
    <d v="2015-06-11T00:00:00"/>
    <n v="-47.995249999999999"/>
    <n v="19"/>
    <x v="1893"/>
    <n v="91438"/>
    <x v="1916"/>
  </r>
  <r>
    <n v="19749"/>
    <s v="Low"/>
    <n v="0.1"/>
    <n v="80.97"/>
    <n v="33.6"/>
    <n v="3366"/>
    <s v="Dana Boyle"/>
    <s v="Delivery Truck"/>
    <s v="Home Office"/>
    <x v="2"/>
    <x v="6"/>
    <s v="Jumbo Drum"/>
    <s v="Lexmark Z25 Color Inkjet Printer"/>
    <n v="0.37"/>
    <s v="United States"/>
    <x v="1"/>
    <s v="Ohio"/>
    <s v="Troy"/>
    <n v="45373"/>
    <x v="84"/>
    <d v="2015-05-29T00:00:00"/>
    <n v="66.22"/>
    <n v="11"/>
    <x v="1894"/>
    <n v="90501"/>
    <x v="1917"/>
  </r>
  <r>
    <n v="19750"/>
    <s v="Low"/>
    <n v="0.02"/>
    <n v="6.48"/>
    <n v="5.1100000000000003"/>
    <n v="3366"/>
    <s v="Dana Boyle"/>
    <s v="Regular Air"/>
    <s v="Home Office"/>
    <x v="0"/>
    <x v="7"/>
    <s v="Small Box"/>
    <s v="Xerox 231"/>
    <n v="0.37"/>
    <s v="United States"/>
    <x v="1"/>
    <s v="Ohio"/>
    <s v="Troy"/>
    <n v="45373"/>
    <x v="84"/>
    <d v="2015-05-28T00:00:00"/>
    <n v="-23.53"/>
    <n v="8"/>
    <x v="1895"/>
    <n v="90501"/>
    <x v="1918"/>
  </r>
  <r>
    <n v="23428"/>
    <s v="Critical"/>
    <n v="0.08"/>
    <n v="30.97"/>
    <n v="4"/>
    <n v="3367"/>
    <s v="Renee McKenzie"/>
    <s v="Regular Air"/>
    <s v="Home Office"/>
    <x v="2"/>
    <x v="13"/>
    <s v="Small Box"/>
    <s v="Microsoft Multimedia Keyboard"/>
    <n v="0.74"/>
    <s v="United States"/>
    <x v="1"/>
    <s v="Ohio"/>
    <s v="Upper Arlington"/>
    <n v="43221"/>
    <x v="10"/>
    <d v="2015-05-03T00:00:00"/>
    <n v="10.68"/>
    <n v="26"/>
    <x v="1896"/>
    <n v="90502"/>
    <x v="1919"/>
  </r>
  <r>
    <n v="23429"/>
    <s v="Critical"/>
    <n v="0.1"/>
    <n v="4.13"/>
    <n v="0.5"/>
    <n v="3367"/>
    <s v="Renee McKenzie"/>
    <s v="Express Air"/>
    <s v="Home Office"/>
    <x v="0"/>
    <x v="9"/>
    <s v="Small Box"/>
    <s v="Avery 506"/>
    <n v="0.39"/>
    <s v="United States"/>
    <x v="1"/>
    <s v="Ohio"/>
    <s v="Upper Arlington"/>
    <n v="43221"/>
    <x v="10"/>
    <d v="2015-05-04T00:00:00"/>
    <n v="58.263599999999997"/>
    <n v="18"/>
    <x v="1897"/>
    <n v="90502"/>
    <x v="1920"/>
  </r>
  <r>
    <n v="26104"/>
    <s v="Medium"/>
    <n v="0.06"/>
    <n v="7.1"/>
    <n v="6.05"/>
    <n v="3369"/>
    <s v="Stacy Byrne"/>
    <s v="Regular Air"/>
    <s v="Home Office"/>
    <x v="0"/>
    <x v="8"/>
    <s v="Small Box"/>
    <s v="Wilson Jones Hanging View Binder, White, 1&quot;"/>
    <n v="0.39"/>
    <s v="United States"/>
    <x v="1"/>
    <s v="Ohio"/>
    <s v="Westerville"/>
    <n v="43081"/>
    <x v="6"/>
    <d v="2015-02-13T00:00:00"/>
    <n v="-42.170499999999997"/>
    <n v="4"/>
    <x v="1898"/>
    <n v="90500"/>
    <x v="1921"/>
  </r>
  <r>
    <n v="18311"/>
    <s v="Medium"/>
    <n v="0.01"/>
    <n v="179.29"/>
    <n v="29.21"/>
    <n v="3374"/>
    <s v="Jamie Ward"/>
    <s v="Delivery Truck"/>
    <s v="Corporate"/>
    <x v="1"/>
    <x v="11"/>
    <s v="Jumbo Box"/>
    <s v="Bevis Round Conference Table Top, X-Base"/>
    <n v="0.76"/>
    <s v="United States"/>
    <x v="1"/>
    <s v="Maryland"/>
    <s v="Odenton"/>
    <n v="21113"/>
    <x v="42"/>
    <d v="2015-06-04T00:00:00"/>
    <n v="66.362219999999994"/>
    <n v="8"/>
    <x v="1899"/>
    <n v="87473"/>
    <x v="1922"/>
  </r>
  <r>
    <n v="18320"/>
    <s v="High"/>
    <n v="0.05"/>
    <n v="73.98"/>
    <n v="12.14"/>
    <n v="3374"/>
    <s v="Jamie Ward"/>
    <s v="Regular Air"/>
    <s v="Home Office"/>
    <x v="2"/>
    <x v="13"/>
    <s v="Small Box"/>
    <s v="Keytronic 105-Key Spanish Keyboard"/>
    <n v="0.67"/>
    <s v="United States"/>
    <x v="1"/>
    <s v="Maryland"/>
    <s v="Odenton"/>
    <n v="21113"/>
    <x v="159"/>
    <d v="2015-06-30T00:00:00"/>
    <n v="-1.9039999999999999"/>
    <n v="8"/>
    <x v="1900"/>
    <n v="87474"/>
    <x v="1923"/>
  </r>
  <r>
    <n v="18321"/>
    <s v="High"/>
    <n v="0"/>
    <n v="5.98"/>
    <n v="7.15"/>
    <n v="3374"/>
    <s v="Jamie Ward"/>
    <s v="Regular Air"/>
    <s v="Home Office"/>
    <x v="0"/>
    <x v="7"/>
    <s v="Small Box"/>
    <s v="Universal Premium White Copier/Laser Paper (20Lb. and 87 Bright)"/>
    <n v="0.36"/>
    <s v="United States"/>
    <x v="1"/>
    <s v="Maryland"/>
    <s v="Odenton"/>
    <n v="21113"/>
    <x v="159"/>
    <d v="2015-07-01T00:00:00"/>
    <n v="-37.048000000000002"/>
    <n v="5"/>
    <x v="1901"/>
    <n v="87474"/>
    <x v="1924"/>
  </r>
  <r>
    <n v="18322"/>
    <s v="High"/>
    <n v="0.09"/>
    <n v="3.57"/>
    <n v="4.17"/>
    <n v="3374"/>
    <s v="Jamie Ward"/>
    <s v="Regular Air"/>
    <s v="Home Office"/>
    <x v="0"/>
    <x v="0"/>
    <s v="Small Pack"/>
    <s v="Barrel Sharpener"/>
    <n v="0.59"/>
    <s v="United States"/>
    <x v="1"/>
    <s v="Maryland"/>
    <s v="Odenton"/>
    <n v="21113"/>
    <x v="159"/>
    <d v="2015-07-01T00:00:00"/>
    <n v="-56.887999999999998"/>
    <n v="9"/>
    <x v="1902"/>
    <n v="87474"/>
    <x v="1925"/>
  </r>
  <r>
    <n v="22378"/>
    <s v="Critical"/>
    <n v="0"/>
    <n v="19.98"/>
    <n v="5.97"/>
    <n v="3379"/>
    <s v="Annette McIntyre"/>
    <s v="Express Air"/>
    <s v="Corporate"/>
    <x v="0"/>
    <x v="7"/>
    <s v="Small Box"/>
    <s v="Xerox 1936"/>
    <n v="0.38"/>
    <s v="United States"/>
    <x v="3"/>
    <s v="Georgia"/>
    <s v="Kennesaw"/>
    <n v="30144"/>
    <x v="173"/>
    <d v="2015-03-29T00:00:00"/>
    <n v="-189.714"/>
    <n v="12"/>
    <x v="1903"/>
    <n v="88837"/>
    <x v="1926"/>
  </r>
  <r>
    <n v="20366"/>
    <s v="Critical"/>
    <n v="0.05"/>
    <n v="3.14"/>
    <n v="1.92"/>
    <n v="3379"/>
    <s v="Annette McIntyre"/>
    <s v="Express Air"/>
    <s v="Home Office"/>
    <x v="0"/>
    <x v="12"/>
    <s v="Wrap Bag"/>
    <s v="Serrated Blade or Curved Handle Hand Letter Openers"/>
    <n v="0.84"/>
    <s v="United States"/>
    <x v="3"/>
    <s v="Georgia"/>
    <s v="Kennesaw"/>
    <n v="30144"/>
    <x v="177"/>
    <d v="2015-04-26T00:00:00"/>
    <n v="1628.37"/>
    <n v="18"/>
    <x v="1904"/>
    <n v="88839"/>
    <x v="1927"/>
  </r>
  <r>
    <n v="23181"/>
    <s v="Critical"/>
    <n v="0.03"/>
    <n v="315.98"/>
    <n v="19.989999999999998"/>
    <n v="3380"/>
    <s v="Eva Decker"/>
    <s v="Regular Air"/>
    <s v="Home Office"/>
    <x v="0"/>
    <x v="8"/>
    <s v="Small Box"/>
    <s v="GBC ProClick™ 150 Presentation Binding System"/>
    <n v="0.38"/>
    <s v="United States"/>
    <x v="3"/>
    <s v="Georgia"/>
    <s v="La Grange"/>
    <n v="30240"/>
    <x v="18"/>
    <d v="2015-04-22T00:00:00"/>
    <n v="-4.4800000000000004"/>
    <n v="18"/>
    <x v="1905"/>
    <n v="88838"/>
    <x v="1928"/>
  </r>
  <r>
    <n v="23182"/>
    <s v="Critical"/>
    <n v="0.09"/>
    <n v="276.2"/>
    <n v="24.49"/>
    <n v="3380"/>
    <s v="Eva Decker"/>
    <s v="Regular Air"/>
    <s v="Home Office"/>
    <x v="1"/>
    <x v="1"/>
    <s v="Large Box"/>
    <s v="SAFCO Arco Folding Chair"/>
    <m/>
    <s v="United States"/>
    <x v="3"/>
    <s v="Georgia"/>
    <s v="La Grange"/>
    <n v="30240"/>
    <x v="18"/>
    <d v="2015-04-21T00:00:00"/>
    <n v="3193.2840000000001"/>
    <n v="11"/>
    <x v="1906"/>
    <n v="88838"/>
    <x v="1929"/>
  </r>
  <r>
    <n v="23183"/>
    <s v="Critical"/>
    <n v="0.03"/>
    <n v="63.94"/>
    <n v="14.48"/>
    <n v="3380"/>
    <s v="Eva Decker"/>
    <s v="Regular Air"/>
    <s v="Home Office"/>
    <x v="1"/>
    <x v="2"/>
    <s v="Small Box"/>
    <s v="Howard Miller 16&quot; Diameter Gallery Wall Clock"/>
    <n v="0.46"/>
    <s v="United States"/>
    <x v="3"/>
    <s v="Georgia"/>
    <s v="La Grange"/>
    <n v="30240"/>
    <x v="18"/>
    <d v="2015-04-21T00:00:00"/>
    <n v="43.691699999999997"/>
    <n v="8"/>
    <x v="1907"/>
    <n v="88838"/>
    <x v="1930"/>
  </r>
  <r>
    <n v="24161"/>
    <s v="Not Specified"/>
    <n v="0.05"/>
    <n v="11.97"/>
    <n v="5.81"/>
    <n v="3381"/>
    <s v="Christopher Norton Patterson"/>
    <s v="Regular Air"/>
    <s v="Corporate"/>
    <x v="0"/>
    <x v="0"/>
    <s v="Small Pack"/>
    <s v="Staples SlimLine Pencil Sharpener"/>
    <n v="0.6"/>
    <s v="United States"/>
    <x v="3"/>
    <s v="Georgia"/>
    <s v="Macon"/>
    <n v="31204"/>
    <x v="165"/>
    <d v="2015-03-25T00:00:00"/>
    <n v="349.05930000000001"/>
    <n v="2"/>
    <x v="1856"/>
    <n v="88836"/>
    <x v="1931"/>
  </r>
  <r>
    <n v="25841"/>
    <s v="Medium"/>
    <n v="0.02"/>
    <n v="28.53"/>
    <n v="1.49"/>
    <n v="3381"/>
    <s v="Christopher Norton Patterson"/>
    <s v="Regular Air"/>
    <s v="Home Office"/>
    <x v="0"/>
    <x v="8"/>
    <s v="Small Box"/>
    <s v="Lock-Up Easel 'Spel-Binder'"/>
    <n v="0.38"/>
    <s v="United States"/>
    <x v="3"/>
    <s v="Georgia"/>
    <s v="Macon"/>
    <n v="31204"/>
    <x v="119"/>
    <d v="2015-04-29T00:00:00"/>
    <n v="1.992"/>
    <n v="18"/>
    <x v="1908"/>
    <n v="88840"/>
    <x v="1932"/>
  </r>
  <r>
    <n v="22341"/>
    <s v="Low"/>
    <n v="0.04"/>
    <n v="2.98"/>
    <n v="2.0299999999999998"/>
    <n v="3385"/>
    <s v="Daniel Richmond"/>
    <s v="Express Air"/>
    <s v="Corporate"/>
    <x v="0"/>
    <x v="0"/>
    <s v="Wrap Bag"/>
    <s v="Premium Writing Pencils, Soft, #2 by Central Association for the Blind"/>
    <n v="0.56999999999999995"/>
    <s v="United States"/>
    <x v="1"/>
    <s v="Ohio"/>
    <s v="Boardman"/>
    <n v="44512"/>
    <x v="59"/>
    <d v="2015-01-16T00:00:00"/>
    <n v="-22.01"/>
    <n v="5"/>
    <x v="1909"/>
    <n v="88745"/>
    <x v="1933"/>
  </r>
  <r>
    <n v="22342"/>
    <s v="Low"/>
    <n v="0.01"/>
    <n v="125.99"/>
    <n v="8.99"/>
    <n v="3385"/>
    <s v="Daniel Richmond"/>
    <s v="Regular Air"/>
    <s v="Corporate"/>
    <x v="2"/>
    <x v="5"/>
    <s v="Small Box"/>
    <s v="M70"/>
    <n v="0.59"/>
    <s v="United States"/>
    <x v="1"/>
    <s v="Ohio"/>
    <s v="Boardman"/>
    <n v="44512"/>
    <x v="59"/>
    <d v="2015-01-21T00:00:00"/>
    <n v="426.46032000000002"/>
    <n v="6"/>
    <x v="1910"/>
    <n v="88745"/>
    <x v="1934"/>
  </r>
  <r>
    <n v="23190"/>
    <s v="Critical"/>
    <n v="0"/>
    <n v="2.61"/>
    <n v="0.5"/>
    <n v="3386"/>
    <s v="Carmen Elmore"/>
    <s v="Regular Air"/>
    <s v="Corporate"/>
    <x v="0"/>
    <x v="9"/>
    <s v="Small Box"/>
    <s v="Avery 494"/>
    <n v="0.39"/>
    <s v="United States"/>
    <x v="1"/>
    <s v="Ohio"/>
    <s v="Bowling Green"/>
    <n v="43402"/>
    <x v="32"/>
    <d v="2015-05-05T00:00:00"/>
    <n v="19.554600000000001"/>
    <n v="10"/>
    <x v="1911"/>
    <n v="88746"/>
    <x v="1935"/>
  </r>
  <r>
    <n v="23191"/>
    <s v="Critical"/>
    <n v="0.04"/>
    <n v="25.38"/>
    <n v="8.99"/>
    <n v="3386"/>
    <s v="Carmen Elmore"/>
    <s v="Express Air"/>
    <s v="Corporate"/>
    <x v="1"/>
    <x v="2"/>
    <s v="Small Pack"/>
    <s v="Executive Impressions 13&quot; Chairman Wall Clock"/>
    <n v="0.5"/>
    <s v="United States"/>
    <x v="1"/>
    <s v="Ohio"/>
    <s v="Bowling Green"/>
    <n v="43402"/>
    <x v="32"/>
    <d v="2015-05-06T00:00:00"/>
    <n v="152.482"/>
    <n v="35"/>
    <x v="1912"/>
    <n v="88746"/>
    <x v="1936"/>
  </r>
  <r>
    <n v="19464"/>
    <s v="Not Specified"/>
    <n v="0.03"/>
    <n v="95.99"/>
    <n v="35"/>
    <n v="3388"/>
    <s v="Aaron Shaffer"/>
    <s v="Regular Air"/>
    <s v="Corporate"/>
    <x v="0"/>
    <x v="10"/>
    <s v="Large Box"/>
    <s v="Safco Industrial Wire Shelving"/>
    <m/>
    <s v="United States"/>
    <x v="0"/>
    <s v="California"/>
    <s v="Fairfield"/>
    <n v="94533"/>
    <x v="171"/>
    <d v="2015-05-12T00:00:00"/>
    <n v="67.012"/>
    <n v="9"/>
    <x v="1913"/>
    <n v="90154"/>
    <x v="1937"/>
  </r>
  <r>
    <n v="18640"/>
    <s v="Medium"/>
    <n v="0.08"/>
    <n v="125.99"/>
    <n v="7.69"/>
    <n v="3393"/>
    <s v="Irene Murphy"/>
    <s v="Regular Air"/>
    <s v="Consumer"/>
    <x v="2"/>
    <x v="5"/>
    <s v="Small Box"/>
    <s v="StarTAC 3000"/>
    <n v="0.59"/>
    <s v="United States"/>
    <x v="0"/>
    <s v="Washington"/>
    <s v="Pullman"/>
    <n v="99163"/>
    <x v="119"/>
    <d v="2015-04-30T00:00:00"/>
    <n v="374.625"/>
    <n v="7"/>
    <x v="1914"/>
    <n v="87908"/>
    <x v="1938"/>
  </r>
  <r>
    <n v="19635"/>
    <s v="Critical"/>
    <n v="0.08"/>
    <n v="4.4800000000000004"/>
    <n v="2.5"/>
    <n v="3393"/>
    <s v="Irene Murphy"/>
    <s v="Regular Air"/>
    <s v="Consumer"/>
    <x v="0"/>
    <x v="4"/>
    <s v="Small Box"/>
    <s v="Ampad #10 Peel &amp; Seel® Holiday Envelopes"/>
    <n v="0.37"/>
    <s v="United States"/>
    <x v="0"/>
    <s v="Washington"/>
    <s v="Pullman"/>
    <n v="99163"/>
    <x v="79"/>
    <d v="2015-02-15T00:00:00"/>
    <n v="-3.2448000000000001"/>
    <n v="19"/>
    <x v="1915"/>
    <n v="87909"/>
    <x v="1939"/>
  </r>
  <r>
    <n v="20624"/>
    <s v="Low"/>
    <n v="0"/>
    <n v="1270.99"/>
    <n v="19.989999999999998"/>
    <n v="3397"/>
    <s v="Andrea Shaw"/>
    <s v="Regular Air"/>
    <s v="Small Business"/>
    <x v="0"/>
    <x v="8"/>
    <s v="Small Box"/>
    <s v="Fellowes PB500 Electric Punch Plastic Comb Binding Machine with Manual Bind"/>
    <n v="0.35"/>
    <s v="United States"/>
    <x v="2"/>
    <s v="Illinois"/>
    <s v="Danville"/>
    <n v="61832"/>
    <x v="31"/>
    <d v="2015-06-09T00:00:00"/>
    <n v="6384.4389000000001"/>
    <n v="7"/>
    <x v="1916"/>
    <n v="87535"/>
    <x v="1940"/>
  </r>
  <r>
    <n v="19842"/>
    <s v="High"/>
    <n v="0.01"/>
    <n v="10.9"/>
    <n v="7.46"/>
    <n v="3397"/>
    <s v="Andrea Shaw"/>
    <s v="Regular Air"/>
    <s v="Small Business"/>
    <x v="0"/>
    <x v="10"/>
    <s v="Small Box"/>
    <s v="Crate-A-Files™"/>
    <n v="0.59"/>
    <s v="United States"/>
    <x v="2"/>
    <s v="Illinois"/>
    <s v="Danville"/>
    <n v="61832"/>
    <x v="140"/>
    <d v="2015-03-12T00:00:00"/>
    <n v="-116.76"/>
    <n v="18"/>
    <x v="1917"/>
    <n v="87536"/>
    <x v="1941"/>
  </r>
  <r>
    <n v="19843"/>
    <s v="High"/>
    <n v="0.1"/>
    <n v="7.99"/>
    <n v="5.03"/>
    <n v="3397"/>
    <s v="Andrea Shaw"/>
    <s v="Regular Air"/>
    <s v="Small Business"/>
    <x v="2"/>
    <x v="5"/>
    <s v="Medium Box"/>
    <s v="Bell Sonecor JB700 Caller ID"/>
    <n v="0.6"/>
    <s v="United States"/>
    <x v="2"/>
    <s v="Illinois"/>
    <s v="Danville"/>
    <n v="61832"/>
    <x v="140"/>
    <d v="2015-03-12T00:00:00"/>
    <n v="-160.952"/>
    <n v="22"/>
    <x v="1918"/>
    <n v="87536"/>
    <x v="1942"/>
  </r>
  <r>
    <n v="26208"/>
    <s v="Not Specified"/>
    <n v="0.08"/>
    <n v="11.97"/>
    <n v="5.81"/>
    <n v="3399"/>
    <s v="Marvin Reid"/>
    <s v="Regular Air"/>
    <s v="Small Business"/>
    <x v="0"/>
    <x v="0"/>
    <s v="Small Pack"/>
    <s v="Staples SlimLine Pencil Sharpener"/>
    <n v="0.6"/>
    <s v="United States"/>
    <x v="2"/>
    <s v="Illinois"/>
    <s v="Des Plaines"/>
    <n v="60016"/>
    <x v="48"/>
    <d v="2015-03-31T00:00:00"/>
    <n v="-41.87"/>
    <n v="5"/>
    <x v="1919"/>
    <n v="87534"/>
    <x v="1943"/>
  </r>
  <r>
    <n v="24911"/>
    <s v="Medium"/>
    <n v="0.1"/>
    <n v="9.3800000000000008"/>
    <n v="4.93"/>
    <n v="3400"/>
    <s v="Florence Gold"/>
    <s v="Express Air"/>
    <s v="Small Business"/>
    <x v="1"/>
    <x v="2"/>
    <s v="Small Box"/>
    <s v="Eldon Expressions Punched Metal &amp; Wood Desk Accessories, Black &amp; Cherry"/>
    <n v="0.56999999999999995"/>
    <s v="United States"/>
    <x v="1"/>
    <s v="West Virginia"/>
    <s v="Fairmont"/>
    <n v="26554"/>
    <x v="36"/>
    <d v="2015-04-04T00:00:00"/>
    <n v="-24.7104"/>
    <n v="15"/>
    <x v="1920"/>
    <n v="87537"/>
    <x v="1944"/>
  </r>
  <r>
    <n v="25914"/>
    <s v="High"/>
    <n v="0.1"/>
    <n v="105.98"/>
    <n v="13.99"/>
    <n v="3403"/>
    <s v="Tammy Buckley"/>
    <s v="Express Air"/>
    <s v="Consumer"/>
    <x v="1"/>
    <x v="2"/>
    <s v="Medium Box"/>
    <s v="Tenex 46&quot; x 60&quot; Computer Anti-Static Chairmat, Rectangular Shaped"/>
    <n v="0.65"/>
    <s v="United States"/>
    <x v="0"/>
    <s v="Wyoming"/>
    <s v="Cheyenne"/>
    <n v="82001"/>
    <x v="102"/>
    <d v="2015-02-11T00:00:00"/>
    <n v="349.48500000000001"/>
    <n v="5"/>
    <x v="1921"/>
    <n v="87530"/>
    <x v="19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R8:AM15" firstHeaderRow="1" firstDataRow="3" firstDataCol="1"/>
  <pivotFields count="26"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Col" showAll="0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numFmtId="164" showAll="0"/>
    <pivotField showAll="0"/>
    <pivotField dataField="1" numFmtId="164"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2">
    <field x="9"/>
    <field x="10"/>
  </colFields>
  <colItems count="21">
    <i>
      <x/>
      <x v="2"/>
    </i>
    <i r="1">
      <x v="3"/>
    </i>
    <i r="1">
      <x v="8"/>
    </i>
    <i r="1">
      <x v="15"/>
    </i>
    <i t="default">
      <x/>
    </i>
    <i>
      <x v="1"/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t="default">
      <x v="1"/>
    </i>
    <i>
      <x v="2"/>
      <x v="4"/>
    </i>
    <i r="1">
      <x v="5"/>
    </i>
    <i r="1">
      <x v="9"/>
    </i>
    <i r="1">
      <x v="16"/>
    </i>
    <i t="default">
      <x v="2"/>
    </i>
    <i t="grand">
      <x/>
    </i>
  </colItems>
  <dataFields count="1">
    <dataField name="Sum of Sales" fld="23" baseField="0" baseItem="0"/>
  </dataFields>
  <chartFormats count="17">
    <chartFormat chart="0" format="0" series="1">
      <pivotArea type="data" outline="0" fieldPosition="0">
        <references count="2"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9" count="1" selected="0">
            <x v="0"/>
          </reference>
          <reference field="10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9" count="1" selected="0">
            <x v="0"/>
          </reference>
          <reference field="10" count="1" selected="0">
            <x v="8"/>
          </reference>
        </references>
      </pivotArea>
    </chartFormat>
    <chartFormat chart="0" format="3" series="1">
      <pivotArea type="data" outline="0" fieldPosition="0">
        <references count="2">
          <reference field="9" count="1" selected="0">
            <x v="0"/>
          </reference>
          <reference field="10" count="1" selected="0">
            <x v="15"/>
          </reference>
        </references>
      </pivotArea>
    </chartFormat>
    <chartFormat chart="0" format="4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10"/>
          </reference>
        </references>
      </pivotArea>
    </chartFormat>
    <chartFormat chart="0" format="9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11"/>
          </reference>
        </references>
      </pivotArea>
    </chartFormat>
    <chartFormat chart="0" format="10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12"/>
          </reference>
        </references>
      </pivotArea>
    </chartFormat>
    <chartFormat chart="0" format="11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13"/>
          </reference>
        </references>
      </pivotArea>
    </chartFormat>
    <chartFormat chart="0" format="12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14"/>
          </reference>
        </references>
      </pivotArea>
    </chartFormat>
    <chartFormat chart="0" format="13" series="1">
      <pivotArea type="data" outline="0" fieldPosition="0">
        <references count="2">
          <reference field="9" count="1" selected="0">
            <x v="2"/>
          </reference>
          <reference field="10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9" count="1" selected="0">
            <x v="2"/>
          </reference>
          <reference field="10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9" count="1" selected="0">
            <x v="2"/>
          </reference>
          <reference field="10" count="1" selected="0">
            <x v="9"/>
          </reference>
        </references>
      </pivotArea>
    </chartFormat>
    <chartFormat chart="0" format="16" series="1">
      <pivotArea type="data" outline="0" fieldPosition="0">
        <references count="2">
          <reference field="9" count="1" selected="0">
            <x v="2"/>
          </reference>
          <reference field="1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9">
  <location ref="L11:P192" firstHeaderRow="1" firstDataRow="2" firstDataCol="1" rowPageCount="1" colPageCount="1"/>
  <pivotFields count="26"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numFmtId="14" showAll="0"/>
    <pivotField numFmtId="164" showAll="0"/>
    <pivotField showAll="0"/>
    <pivotField dataField="1" numFmtId="164" showAll="0">
      <items count="1923">
        <item x="17"/>
        <item x="779"/>
        <item x="1155"/>
        <item x="765"/>
        <item x="718"/>
        <item x="98"/>
        <item x="539"/>
        <item x="877"/>
        <item x="1040"/>
        <item x="33"/>
        <item x="1353"/>
        <item x="535"/>
        <item x="1235"/>
        <item x="1552"/>
        <item x="471"/>
        <item x="1547"/>
        <item x="86"/>
        <item x="276"/>
        <item x="307"/>
        <item x="460"/>
        <item x="406"/>
        <item x="912"/>
        <item x="541"/>
        <item x="720"/>
        <item x="1306"/>
        <item x="1178"/>
        <item x="559"/>
        <item x="784"/>
        <item x="1074"/>
        <item x="161"/>
        <item x="1043"/>
        <item x="1059"/>
        <item x="523"/>
        <item x="1303"/>
        <item x="182"/>
        <item x="1797"/>
        <item x="1394"/>
        <item x="1326"/>
        <item x="737"/>
        <item x="252"/>
        <item x="1589"/>
        <item x="545"/>
        <item x="250"/>
        <item x="646"/>
        <item x="1143"/>
        <item x="1284"/>
        <item x="761"/>
        <item x="373"/>
        <item x="974"/>
        <item x="74"/>
        <item x="1362"/>
        <item x="1103"/>
        <item x="1011"/>
        <item x="1403"/>
        <item x="1422"/>
        <item x="1660"/>
        <item x="1540"/>
        <item x="62"/>
        <item x="1696"/>
        <item x="415"/>
        <item x="1034"/>
        <item x="563"/>
        <item x="684"/>
        <item x="1502"/>
        <item x="1850"/>
        <item x="1564"/>
        <item x="554"/>
        <item x="1817"/>
        <item x="0"/>
        <item x="679"/>
        <item x="333"/>
        <item x="937"/>
        <item x="1741"/>
        <item x="5"/>
        <item x="836"/>
        <item x="1543"/>
        <item x="1481"/>
        <item x="6"/>
        <item x="935"/>
        <item x="1830"/>
        <item x="869"/>
        <item x="80"/>
        <item x="1791"/>
        <item x="1218"/>
        <item x="1366"/>
        <item x="1097"/>
        <item x="1771"/>
        <item x="1514"/>
        <item x="449"/>
        <item x="1672"/>
        <item x="1909"/>
        <item x="521"/>
        <item x="1020"/>
        <item x="1358"/>
        <item x="1189"/>
        <item x="1633"/>
        <item x="1631"/>
        <item x="1319"/>
        <item x="510"/>
        <item x="496"/>
        <item x="861"/>
        <item x="1092"/>
        <item x="882"/>
        <item x="263"/>
        <item x="379"/>
        <item x="317"/>
        <item x="429"/>
        <item x="117"/>
        <item x="1854"/>
        <item x="1507"/>
        <item x="589"/>
        <item x="1818"/>
        <item x="1063"/>
        <item x="187"/>
        <item x="450"/>
        <item x="150"/>
        <item x="1187"/>
        <item x="544"/>
        <item x="163"/>
        <item x="889"/>
        <item x="289"/>
        <item x="9"/>
        <item x="1870"/>
        <item x="875"/>
        <item x="1760"/>
        <item x="892"/>
        <item x="1551"/>
        <item x="1191"/>
        <item x="831"/>
        <item x="1282"/>
        <item x="1604"/>
        <item x="716"/>
        <item x="926"/>
        <item x="1170"/>
        <item x="358"/>
        <item x="236"/>
        <item x="490"/>
        <item x="754"/>
        <item x="1273"/>
        <item x="964"/>
        <item x="316"/>
        <item x="65"/>
        <item x="1645"/>
        <item x="1146"/>
        <item x="408"/>
        <item x="253"/>
        <item x="1503"/>
        <item x="121"/>
        <item x="1021"/>
        <item x="378"/>
        <item x="1647"/>
        <item x="653"/>
        <item x="1258"/>
        <item x="1118"/>
        <item x="1826"/>
        <item x="464"/>
        <item x="993"/>
        <item x="1244"/>
        <item x="1875"/>
        <item x="4"/>
        <item x="942"/>
        <item x="800"/>
        <item x="1549"/>
        <item x="210"/>
        <item x="31"/>
        <item x="1553"/>
        <item x="237"/>
        <item x="883"/>
        <item x="1670"/>
        <item x="1496"/>
        <item x="320"/>
        <item x="1825"/>
        <item x="697"/>
        <item x="994"/>
        <item x="311"/>
        <item x="806"/>
        <item x="1667"/>
        <item x="1518"/>
        <item x="1856"/>
        <item x="1190"/>
        <item x="556"/>
        <item x="281"/>
        <item x="772"/>
        <item x="254"/>
        <item x="1470"/>
        <item x="1450"/>
        <item x="66"/>
        <item x="775"/>
        <item x="587"/>
        <item x="768"/>
        <item x="145"/>
        <item x="1504"/>
        <item x="487"/>
        <item x="1867"/>
        <item x="118"/>
        <item x="1890"/>
        <item x="1349"/>
        <item x="131"/>
        <item x="204"/>
        <item x="1635"/>
        <item x="536"/>
        <item x="488"/>
        <item x="641"/>
        <item x="1205"/>
        <item x="1023"/>
        <item x="1029"/>
        <item x="503"/>
        <item x="1328"/>
        <item x="85"/>
        <item x="111"/>
        <item x="852"/>
        <item x="340"/>
        <item x="1911"/>
        <item x="178"/>
        <item x="776"/>
        <item x="139"/>
        <item x="231"/>
        <item x="1310"/>
        <item x="900"/>
        <item x="63"/>
        <item x="1505"/>
        <item x="30"/>
        <item x="1437"/>
        <item x="721"/>
        <item x="1490"/>
        <item x="357"/>
        <item x="1704"/>
        <item x="1898"/>
        <item x="1433"/>
        <item x="940"/>
        <item x="1351"/>
        <item x="455"/>
        <item x="603"/>
        <item x="1554"/>
        <item x="97"/>
        <item x="293"/>
        <item x="537"/>
        <item x="482"/>
        <item x="215"/>
        <item x="1902"/>
        <item x="335"/>
        <item x="1113"/>
        <item x="780"/>
        <item x="1120"/>
        <item x="1742"/>
        <item x="508"/>
        <item x="1520"/>
        <item x="1756"/>
        <item x="1636"/>
        <item x="324"/>
        <item x="239"/>
        <item x="396"/>
        <item x="309"/>
        <item x="1096"/>
        <item x="1122"/>
        <item x="1602"/>
        <item x="130"/>
        <item x="245"/>
        <item x="7"/>
        <item x="1136"/>
        <item x="1153"/>
        <item x="714"/>
        <item x="91"/>
        <item x="1770"/>
        <item x="1164"/>
        <item x="351"/>
        <item x="1132"/>
        <item x="1876"/>
        <item x="1901"/>
        <item x="1487"/>
        <item x="647"/>
        <item x="143"/>
        <item x="115"/>
        <item x="1668"/>
        <item x="1052"/>
        <item x="1658"/>
        <item x="369"/>
        <item x="664"/>
        <item x="1722"/>
        <item x="1296"/>
        <item x="1240"/>
        <item x="234"/>
        <item x="1251"/>
        <item x="1675"/>
        <item x="707"/>
        <item x="1501"/>
        <item x="1842"/>
        <item x="1188"/>
        <item x="796"/>
        <item x="1109"/>
        <item x="1717"/>
        <item x="1881"/>
        <item x="213"/>
        <item x="1345"/>
        <item x="1583"/>
        <item x="637"/>
        <item x="930"/>
        <item x="1364"/>
        <item x="1000"/>
        <item x="1368"/>
        <item x="987"/>
        <item x="321"/>
        <item x="897"/>
        <item x="548"/>
        <item x="207"/>
        <item x="1277"/>
        <item x="791"/>
        <item x="1623"/>
        <item x="1388"/>
        <item x="1131"/>
        <item x="657"/>
        <item x="1439"/>
        <item x="473"/>
        <item x="579"/>
        <item x="1772"/>
        <item x="433"/>
        <item x="1208"/>
        <item x="1570"/>
        <item x="20"/>
        <item x="981"/>
        <item x="1322"/>
        <item x="1101"/>
        <item x="183"/>
        <item x="410"/>
        <item x="1463"/>
        <item x="1679"/>
        <item x="1301"/>
        <item x="164"/>
        <item x="1072"/>
        <item x="997"/>
        <item x="1537"/>
        <item x="532"/>
        <item x="45"/>
        <item x="467"/>
        <item x="1458"/>
        <item x="835"/>
        <item x="123"/>
        <item x="1359"/>
        <item x="1405"/>
        <item x="1315"/>
        <item x="1365"/>
        <item x="1333"/>
        <item x="781"/>
        <item x="1380"/>
        <item x="1435"/>
        <item x="1086"/>
        <item x="173"/>
        <item x="414"/>
        <item x="683"/>
        <item x="1559"/>
        <item x="1377"/>
        <item x="214"/>
        <item x="1802"/>
        <item x="1558"/>
        <item x="1809"/>
        <item x="1580"/>
        <item x="438"/>
        <item x="1283"/>
        <item x="1015"/>
        <item x="494"/>
        <item x="1098"/>
        <item x="1761"/>
        <item x="1627"/>
        <item x="1624"/>
        <item x="1697"/>
        <item x="606"/>
        <item x="936"/>
        <item x="51"/>
        <item x="93"/>
        <item x="969"/>
        <item x="154"/>
        <item x="329"/>
        <item x="1079"/>
        <item x="1378"/>
        <item x="103"/>
        <item x="1446"/>
        <item x="991"/>
        <item x="774"/>
        <item x="1659"/>
        <item x="1827"/>
        <item x="602"/>
        <item x="60"/>
        <item x="746"/>
        <item x="1346"/>
        <item x="423"/>
        <item x="517"/>
        <item x="854"/>
        <item x="895"/>
        <item x="744"/>
        <item x="1811"/>
        <item x="1657"/>
        <item x="871"/>
        <item x="1257"/>
        <item x="1884"/>
        <item x="1340"/>
        <item x="1461"/>
        <item x="934"/>
        <item x="495"/>
        <item x="380"/>
        <item x="1495"/>
        <item x="1710"/>
        <item x="1869"/>
        <item x="472"/>
        <item x="452"/>
        <item x="607"/>
        <item x="1065"/>
        <item x="1370"/>
        <item x="1443"/>
        <item x="1224"/>
        <item x="199"/>
        <item x="238"/>
        <item x="757"/>
        <item x="1415"/>
        <item x="1837"/>
        <item x="968"/>
        <item x="915"/>
        <item x="1482"/>
        <item x="982"/>
        <item x="144"/>
        <item x="264"/>
        <item x="1176"/>
        <item x="24"/>
        <item x="1523"/>
        <item x="106"/>
        <item x="463"/>
        <item x="1302"/>
        <item x="769"/>
        <item x="48"/>
        <item x="1822"/>
        <item x="363"/>
        <item x="601"/>
        <item x="1330"/>
        <item x="18"/>
        <item x="1221"/>
        <item x="1012"/>
        <item x="594"/>
        <item x="1213"/>
        <item x="1644"/>
        <item x="938"/>
        <item x="190"/>
        <item x="1055"/>
        <item x="691"/>
        <item x="629"/>
        <item x="1678"/>
        <item x="1895"/>
        <item x="758"/>
        <item x="1003"/>
        <item x="1806"/>
        <item x="440"/>
        <item x="1596"/>
        <item x="1713"/>
        <item x="441"/>
        <item x="573"/>
        <item x="505"/>
        <item x="1858"/>
        <item x="1861"/>
        <item x="770"/>
        <item x="287"/>
        <item x="133"/>
        <item x="925"/>
        <item x="1516"/>
        <item x="1412"/>
        <item x="64"/>
        <item x="1207"/>
        <item x="1863"/>
        <item x="1018"/>
        <item x="366"/>
        <item x="23"/>
        <item x="126"/>
        <item x="745"/>
        <item x="838"/>
        <item x="680"/>
        <item x="1904"/>
        <item x="1238"/>
        <item x="1515"/>
        <item x="1648"/>
        <item x="1619"/>
        <item x="71"/>
        <item x="1780"/>
        <item x="266"/>
        <item x="1919"/>
        <item x="1743"/>
        <item x="246"/>
        <item x="1417"/>
        <item x="1307"/>
        <item x="841"/>
        <item x="1753"/>
        <item x="160"/>
        <item x="1256"/>
        <item x="84"/>
        <item x="120"/>
        <item x="1777"/>
        <item x="493"/>
        <item x="1044"/>
        <item x="422"/>
        <item x="551"/>
        <item x="1360"/>
        <item x="867"/>
        <item x="975"/>
        <item x="79"/>
        <item x="442"/>
        <item x="1168"/>
        <item x="216"/>
        <item x="119"/>
        <item x="475"/>
        <item x="1759"/>
        <item x="581"/>
        <item x="568"/>
        <item x="799"/>
        <item x="1087"/>
        <item x="306"/>
        <item x="1868"/>
        <item x="1601"/>
        <item x="1154"/>
        <item x="288"/>
        <item x="1239"/>
        <item x="174"/>
        <item x="1886"/>
        <item x="256"/>
        <item x="260"/>
        <item x="686"/>
        <item x="627"/>
        <item x="301"/>
        <item x="413"/>
        <item x="319"/>
        <item x="1220"/>
        <item x="16"/>
        <item x="1699"/>
        <item x="148"/>
        <item x="409"/>
        <item x="1027"/>
        <item x="1462"/>
        <item x="156"/>
        <item x="407"/>
        <item x="1413"/>
        <item x="1640"/>
        <item x="1225"/>
        <item x="1882"/>
        <item x="766"/>
        <item x="723"/>
        <item x="1304"/>
        <item x="376"/>
        <item x="1652"/>
        <item x="331"/>
        <item x="169"/>
        <item x="756"/>
        <item x="1401"/>
        <item x="112"/>
        <item x="529"/>
        <item x="1260"/>
        <item x="1083"/>
        <item x="220"/>
        <item x="924"/>
        <item x="550"/>
        <item x="244"/>
        <item x="515"/>
        <item x="249"/>
        <item x="1231"/>
        <item x="751"/>
        <item x="29"/>
        <item x="225"/>
        <item x="1286"/>
        <item x="185"/>
        <item x="853"/>
        <item x="470"/>
        <item x="1508"/>
        <item x="483"/>
        <item x="1104"/>
        <item x="675"/>
        <item x="565"/>
        <item x="1698"/>
        <item x="638"/>
        <item x="1586"/>
        <item x="446"/>
        <item x="519"/>
        <item x="1254"/>
        <item x="825"/>
        <item x="1609"/>
        <item x="1305"/>
        <item x="1067"/>
        <item x="1227"/>
        <item x="69"/>
        <item x="1246"/>
        <item x="1790"/>
        <item x="386"/>
        <item x="485"/>
        <item x="1512"/>
        <item x="771"/>
        <item x="567"/>
        <item x="1879"/>
        <item x="448"/>
        <item x="977"/>
        <item x="1371"/>
        <item x="615"/>
        <item x="105"/>
        <item x="1810"/>
        <item x="135"/>
        <item x="1915"/>
        <item x="461"/>
        <item x="1592"/>
        <item x="1030"/>
        <item x="1855"/>
        <item x="1291"/>
        <item x="372"/>
        <item x="332"/>
        <item x="726"/>
        <item x="908"/>
        <item x="1686"/>
        <item x="1077"/>
        <item x="1792"/>
        <item x="400"/>
        <item x="1045"/>
        <item x="299"/>
        <item x="1215"/>
        <item x="1706"/>
        <item x="1276"/>
        <item x="1897"/>
        <item x="77"/>
        <item x="755"/>
        <item x="1150"/>
        <item x="1718"/>
        <item x="192"/>
        <item x="509"/>
        <item x="708"/>
        <item x="116"/>
        <item x="1253"/>
        <item x="477"/>
        <item x="1192"/>
        <item x="1768"/>
        <item x="1233"/>
        <item x="261"/>
        <item x="1729"/>
        <item x="1569"/>
        <item x="282"/>
        <item x="858"/>
        <item x="1582"/>
        <item x="660"/>
        <item x="1440"/>
        <item x="405"/>
        <item x="1100"/>
        <item x="998"/>
        <item x="823"/>
        <item x="665"/>
        <item x="1400"/>
        <item x="873"/>
        <item x="177"/>
        <item x="273"/>
        <item x="465"/>
        <item x="1402"/>
        <item x="1625"/>
        <item x="1571"/>
        <item x="628"/>
        <item x="42"/>
        <item x="1335"/>
        <item x="1230"/>
        <item x="1268"/>
        <item x="1318"/>
        <item x="1685"/>
        <item x="1766"/>
        <item x="434"/>
        <item x="1089"/>
        <item x="1447"/>
        <item x="1800"/>
        <item x="458"/>
        <item x="1141"/>
        <item x="1486"/>
        <item x="907"/>
        <item x="1877"/>
        <item x="73"/>
        <item x="1893"/>
        <item x="382"/>
        <item x="1428"/>
        <item x="1285"/>
        <item x="1057"/>
        <item x="1324"/>
        <item x="1352"/>
        <item x="1732"/>
        <item x="694"/>
        <item x="1832"/>
        <item x="1453"/>
        <item x="1891"/>
        <item x="1521"/>
        <item x="527"/>
        <item x="1736"/>
        <item x="582"/>
        <item x="1078"/>
        <item x="1781"/>
        <item x="338"/>
        <item x="1031"/>
        <item x="1223"/>
        <item x="447"/>
        <item x="70"/>
        <item x="1112"/>
        <item x="416"/>
        <item x="577"/>
        <item x="903"/>
        <item x="1331"/>
        <item x="1016"/>
        <item x="367"/>
        <item x="962"/>
        <item x="262"/>
        <item x="229"/>
        <item x="636"/>
        <item x="76"/>
        <item x="292"/>
        <item x="327"/>
        <item x="1653"/>
        <item x="168"/>
        <item x="1831"/>
        <item x="980"/>
        <item x="1467"/>
        <item x="175"/>
        <item x="624"/>
        <item x="193"/>
        <item x="524"/>
        <item x="635"/>
        <item x="866"/>
        <item x="986"/>
        <item x="1689"/>
        <item x="1607"/>
        <item x="804"/>
        <item x="1786"/>
        <item x="195"/>
        <item x="617"/>
        <item x="1308"/>
        <item x="140"/>
        <item x="201"/>
        <item x="1372"/>
        <item x="28"/>
        <item x="1431"/>
        <item x="1595"/>
        <item x="773"/>
        <item x="650"/>
        <item x="1452"/>
        <item x="880"/>
        <item x="186"/>
        <item x="184"/>
        <item x="1673"/>
        <item x="788"/>
        <item x="1600"/>
        <item x="1566"/>
        <item x="953"/>
        <item x="1124"/>
        <item x="1749"/>
        <item x="847"/>
        <item x="1281"/>
        <item x="1892"/>
        <item x="323"/>
        <item x="506"/>
        <item x="313"/>
        <item x="1680"/>
        <item x="881"/>
        <item x="976"/>
        <item x="1004"/>
        <item x="764"/>
        <item x="1471"/>
        <item x="1779"/>
        <item x="1849"/>
        <item x="1386"/>
        <item x="561"/>
        <item x="540"/>
        <item x="1133"/>
        <item x="127"/>
        <item x="1536"/>
        <item x="801"/>
        <item x="1865"/>
        <item x="591"/>
        <item x="67"/>
        <item x="411"/>
        <item x="1524"/>
        <item x="1095"/>
        <item x="270"/>
        <item x="811"/>
        <item x="777"/>
        <item x="1140"/>
        <item x="530"/>
        <item x="1846"/>
        <item x="1407"/>
        <item x="480"/>
        <item x="1814"/>
        <item x="457"/>
        <item x="209"/>
        <item x="1840"/>
        <item x="552"/>
        <item x="484"/>
        <item x="1454"/>
        <item x="673"/>
        <item x="946"/>
        <item x="840"/>
        <item x="704"/>
        <item x="690"/>
        <item x="933"/>
        <item x="1726"/>
        <item x="1464"/>
        <item x="95"/>
        <item x="1494"/>
        <item x="1733"/>
        <item x="739"/>
        <item x="988"/>
        <item x="1864"/>
        <item x="1740"/>
        <item x="1295"/>
        <item x="50"/>
        <item x="1047"/>
        <item x="1731"/>
        <item x="1278"/>
        <item x="518"/>
        <item x="1152"/>
        <item x="874"/>
        <item x="1643"/>
        <item x="1920"/>
        <item x="1493"/>
        <item x="1263"/>
        <item x="337"/>
        <item x="1654"/>
        <item x="466"/>
        <item x="1773"/>
        <item x="499"/>
        <item x="110"/>
        <item x="1357"/>
        <item x="1725"/>
        <item x="430"/>
        <item x="1676"/>
        <item x="1803"/>
        <item x="1017"/>
        <item x="1081"/>
        <item x="1918"/>
        <item x="243"/>
        <item x="870"/>
        <item x="613"/>
        <item x="906"/>
        <item x="782"/>
        <item x="1457"/>
        <item x="1130"/>
        <item x="1438"/>
        <item x="1565"/>
        <item x="1813"/>
        <item x="1398"/>
        <item x="355"/>
        <item x="662"/>
        <item x="667"/>
        <item x="1416"/>
        <item x="911"/>
        <item x="1532"/>
        <item x="1102"/>
        <item x="826"/>
        <item x="973"/>
        <item x="572"/>
        <item x="507"/>
        <item x="504"/>
        <item x="1339"/>
        <item x="706"/>
        <item x="1821"/>
        <item x="1032"/>
        <item x="272"/>
        <item x="1134"/>
        <item x="1762"/>
        <item x="1172"/>
        <item x="352"/>
        <item x="648"/>
        <item x="1889"/>
        <item x="834"/>
        <item x="586"/>
        <item x="830"/>
        <item x="1844"/>
        <item x="885"/>
        <item x="398"/>
        <item x="1712"/>
        <item x="232"/>
        <item x="1538"/>
        <item x="1611"/>
        <item x="558"/>
        <item x="1688"/>
        <item x="848"/>
        <item x="1649"/>
        <item x="693"/>
        <item x="886"/>
        <item x="1259"/>
        <item x="104"/>
        <item x="805"/>
        <item x="1479"/>
        <item x="525"/>
        <item x="622"/>
        <item x="1337"/>
        <item x="1211"/>
        <item x="1483"/>
        <item x="314"/>
        <item x="1234"/>
        <item x="1392"/>
        <item x="47"/>
        <item x="1705"/>
        <item x="1721"/>
        <item x="859"/>
        <item x="715"/>
        <item x="122"/>
        <item x="1449"/>
        <item x="1375"/>
        <item x="663"/>
        <item x="632"/>
        <item x="1878"/>
        <item x="248"/>
        <item x="1562"/>
        <item x="1612"/>
        <item x="651"/>
        <item x="738"/>
        <item x="795"/>
        <item x="1816"/>
        <item x="1701"/>
        <item x="1196"/>
        <item x="100"/>
        <item x="876"/>
        <item x="932"/>
        <item x="290"/>
        <item x="211"/>
        <item x="159"/>
        <item x="1408"/>
        <item x="502"/>
        <item x="1279"/>
        <item x="176"/>
        <item x="166"/>
        <item x="353"/>
        <item x="643"/>
        <item x="829"/>
        <item x="82"/>
        <item x="1418"/>
        <item x="1871"/>
        <item x="1216"/>
        <item x="397"/>
        <item x="1528"/>
        <item x="862"/>
        <item x="600"/>
        <item x="1321"/>
        <item x="1445"/>
        <item x="129"/>
        <item x="1342"/>
        <item x="492"/>
        <item x="1594"/>
        <item x="1799"/>
        <item x="1880"/>
        <item x="274"/>
        <item x="1174"/>
        <item x="1853"/>
        <item x="356"/>
        <item x="1716"/>
        <item x="1738"/>
        <item x="1248"/>
        <item x="1783"/>
        <item x="1336"/>
        <item x="1002"/>
        <item x="361"/>
        <item x="1421"/>
        <item x="1677"/>
        <item x="1484"/>
        <item x="1687"/>
        <item x="107"/>
        <item x="1068"/>
        <item x="334"/>
        <item x="1069"/>
        <item x="412"/>
        <item x="1473"/>
        <item x="1917"/>
        <item x="688"/>
        <item x="152"/>
        <item x="588"/>
        <item x="402"/>
        <item x="1048"/>
        <item x="151"/>
        <item x="280"/>
        <item x="2"/>
        <item x="188"/>
        <item x="902"/>
        <item x="1429"/>
        <item x="1793"/>
        <item x="1013"/>
        <item x="52"/>
        <item x="257"/>
        <item x="75"/>
        <item x="725"/>
        <item x="1026"/>
        <item x="599"/>
        <item x="365"/>
        <item x="102"/>
        <item x="1025"/>
        <item x="109"/>
        <item x="1442"/>
        <item x="905"/>
        <item x="710"/>
        <item x="923"/>
        <item x="1639"/>
        <item x="1598"/>
        <item x="645"/>
        <item x="325"/>
        <item x="689"/>
        <item x="68"/>
        <item x="501"/>
        <item x="255"/>
        <item x="12"/>
        <item x="1576"/>
        <item x="1615"/>
        <item x="1755"/>
        <item x="224"/>
        <item x="1641"/>
        <item x="1745"/>
        <item x="741"/>
        <item x="1374"/>
        <item x="1529"/>
        <item x="1474"/>
        <item x="1175"/>
        <item x="259"/>
        <item x="1568"/>
        <item x="1620"/>
        <item x="1700"/>
        <item x="469"/>
        <item x="740"/>
        <item x="1535"/>
        <item x="1138"/>
        <item x="1173"/>
        <item x="226"/>
        <item x="896"/>
        <item x="180"/>
        <item x="432"/>
        <item x="1007"/>
        <item x="534"/>
        <item x="1341"/>
        <item x="1669"/>
        <item x="1241"/>
        <item x="1177"/>
        <item x="1903"/>
        <item x="101"/>
        <item x="1707"/>
        <item x="989"/>
        <item x="815"/>
        <item x="375"/>
        <item x="1179"/>
        <item x="1156"/>
        <item x="1819"/>
        <item x="837"/>
        <item x="970"/>
        <item x="1419"/>
        <item x="427"/>
        <item x="1472"/>
        <item x="620"/>
        <item x="1347"/>
        <item x="1578"/>
        <item x="1126"/>
        <item x="1434"/>
        <item x="360"/>
        <item x="952"/>
        <item x="950"/>
        <item x="401"/>
        <item x="1522"/>
        <item x="198"/>
        <item x="658"/>
        <item x="476"/>
        <item x="943"/>
        <item x="294"/>
        <item x="655"/>
        <item x="809"/>
        <item x="1581"/>
        <item x="1084"/>
        <item x="985"/>
        <item x="614"/>
        <item x="1202"/>
        <item x="955"/>
        <item x="1597"/>
        <item x="1579"/>
        <item x="399"/>
        <item x="302"/>
        <item x="919"/>
        <item x="1414"/>
        <item x="1111"/>
        <item x="621"/>
        <item x="444"/>
        <item x="330"/>
        <item x="208"/>
        <item x="1466"/>
        <item x="171"/>
        <item x="1567"/>
        <item x="1734"/>
        <item x="1525"/>
        <item x="753"/>
        <item x="760"/>
        <item x="1269"/>
        <item x="1560"/>
        <item x="944"/>
        <item x="922"/>
        <item x="315"/>
        <item x="596"/>
        <item x="990"/>
        <item x="1851"/>
        <item x="844"/>
        <item x="1455"/>
        <item x="1265"/>
        <item x="827"/>
        <item x="1117"/>
        <item x="1129"/>
        <item x="814"/>
        <item x="390"/>
        <item x="88"/>
        <item x="478"/>
        <item x="14"/>
        <item x="1198"/>
        <item x="1719"/>
        <item x="1249"/>
        <item x="605"/>
        <item x="468"/>
        <item x="856"/>
        <item x="1165"/>
        <item x="57"/>
        <item x="146"/>
        <item x="1110"/>
        <item x="824"/>
        <item x="370"/>
        <item x="604"/>
        <item x="1288"/>
        <item x="630"/>
        <item x="1801"/>
        <item x="78"/>
        <item x="420"/>
        <item x="1316"/>
        <item x="1530"/>
        <item x="1622"/>
        <item x="610"/>
        <item x="1787"/>
        <item x="1033"/>
        <item x="949"/>
        <item x="391"/>
        <item x="580"/>
        <item x="1300"/>
        <item x="672"/>
        <item x="1655"/>
        <item x="1381"/>
        <item x="728"/>
        <item x="1556"/>
        <item x="296"/>
        <item x="1812"/>
        <item x="640"/>
        <item x="887"/>
        <item x="1166"/>
        <item x="436"/>
        <item x="1123"/>
        <item x="1465"/>
        <item x="1010"/>
        <item x="1275"/>
        <item x="1204"/>
        <item x="1041"/>
        <item x="931"/>
        <item x="443"/>
        <item x="1662"/>
        <item x="1546"/>
        <item x="513"/>
        <item x="574"/>
        <item x="1739"/>
        <item x="1613"/>
        <item x="404"/>
        <item x="426"/>
        <item x="789"/>
        <item x="1397"/>
        <item x="388"/>
        <item x="228"/>
        <item x="1866"/>
        <item x="1683"/>
        <item x="1492"/>
        <item x="1795"/>
        <item x="1577"/>
        <item x="864"/>
        <item x="1228"/>
        <item x="1090"/>
        <item x="1019"/>
        <item x="1632"/>
        <item x="1563"/>
        <item x="1843"/>
        <item x="722"/>
        <item x="913"/>
        <item x="454"/>
        <item x="1857"/>
        <item x="1629"/>
        <item x="1409"/>
        <item x="560"/>
        <item x="1746"/>
        <item x="1255"/>
        <item x="682"/>
        <item x="1243"/>
        <item x="1085"/>
        <item x="595"/>
        <item x="719"/>
        <item x="1820"/>
        <item x="8"/>
        <item x="1656"/>
        <item x="1798"/>
        <item x="1193"/>
        <item x="1424"/>
        <item x="1682"/>
        <item x="1014"/>
        <item x="1119"/>
        <item x="1432"/>
        <item x="1557"/>
        <item x="785"/>
        <item x="1149"/>
        <item x="868"/>
        <item x="1488"/>
        <item x="1550"/>
        <item x="197"/>
        <item x="206"/>
        <item x="526"/>
        <item x="421"/>
        <item x="221"/>
        <item x="283"/>
        <item x="593"/>
        <item x="308"/>
        <item x="966"/>
        <item x="633"/>
        <item x="1094"/>
        <item x="984"/>
        <item x="428"/>
        <item x="1829"/>
        <item x="1054"/>
        <item x="284"/>
        <item x="1334"/>
        <item x="162"/>
        <item x="909"/>
        <item x="1261"/>
        <item x="1500"/>
        <item x="1608"/>
        <item x="1157"/>
        <item x="19"/>
        <item x="1203"/>
        <item x="437"/>
        <item x="1860"/>
        <item x="812"/>
        <item x="553"/>
        <item x="235"/>
        <item x="891"/>
        <item x="1468"/>
        <item x="1344"/>
        <item x="958"/>
        <item x="1367"/>
        <item x="819"/>
        <item x="1784"/>
        <item x="786"/>
        <item x="1427"/>
        <item x="1475"/>
        <item x="125"/>
        <item x="1778"/>
        <item x="1361"/>
        <item x="963"/>
        <item x="81"/>
        <item x="1671"/>
        <item x="11"/>
        <item x="1750"/>
        <item x="1391"/>
        <item x="735"/>
        <item x="205"/>
        <item x="1236"/>
        <item x="217"/>
        <item x="1406"/>
        <item x="843"/>
        <item x="947"/>
        <item x="1008"/>
        <item x="1572"/>
        <item x="1262"/>
        <item x="285"/>
        <item x="794"/>
        <item x="1384"/>
        <item x="888"/>
        <item x="598"/>
        <item x="1070"/>
        <item x="546"/>
        <item x="575"/>
        <item x="616"/>
        <item x="275"/>
        <item x="1091"/>
        <item x="793"/>
        <item x="371"/>
        <item x="240"/>
        <item x="884"/>
        <item x="1824"/>
        <item x="486"/>
        <item x="1859"/>
        <item x="514"/>
        <item x="343"/>
        <item x="32"/>
        <item x="1921"/>
        <item x="1489"/>
        <item x="1852"/>
        <item x="1796"/>
        <item x="1908"/>
        <item x="512"/>
        <item x="920"/>
        <item x="927"/>
        <item x="310"/>
        <item x="497"/>
        <item x="670"/>
        <item x="1757"/>
        <item x="1028"/>
        <item x="1907"/>
        <item x="1663"/>
        <item x="1024"/>
        <item x="790"/>
        <item x="1539"/>
        <item x="736"/>
        <item x="1848"/>
        <item x="1785"/>
        <item x="954"/>
        <item x="1883"/>
        <item x="1214"/>
        <item x="1080"/>
        <item x="821"/>
        <item x="271"/>
        <item x="1167"/>
        <item x="1058"/>
        <item x="1264"/>
        <item x="1060"/>
        <item x="959"/>
        <item x="1053"/>
        <item x="899"/>
        <item x="703"/>
        <item x="1121"/>
        <item x="692"/>
        <item x="456"/>
        <item x="498"/>
        <item x="1748"/>
        <item x="816"/>
        <item x="1181"/>
        <item x="1237"/>
        <item x="312"/>
        <item x="1634"/>
        <item x="1720"/>
        <item x="1082"/>
        <item x="611"/>
        <item x="34"/>
        <item x="678"/>
        <item x="500"/>
        <item x="578"/>
        <item x="1491"/>
        <item x="1900"/>
        <item x="717"/>
        <item x="387"/>
        <item x="971"/>
        <item x="474"/>
        <item x="1573"/>
        <item x="1162"/>
        <item x="711"/>
        <item x="419"/>
        <item x="1510"/>
        <item x="445"/>
        <item x="359"/>
        <item x="585"/>
        <item x="1280"/>
        <item x="1226"/>
        <item x="543"/>
        <item x="822"/>
        <item x="26"/>
        <item x="1509"/>
        <item x="978"/>
        <item x="759"/>
        <item x="808"/>
        <item x="1293"/>
        <item x="1116"/>
        <item x="1606"/>
        <item x="1575"/>
        <item x="747"/>
        <item x="569"/>
        <item x="1075"/>
        <item x="1637"/>
        <item x="1006"/>
        <item x="1835"/>
        <item x="268"/>
        <item x="25"/>
        <item x="1201"/>
        <item x="562"/>
        <item x="1144"/>
        <item x="1534"/>
        <item x="992"/>
        <item x="592"/>
        <item x="570"/>
        <item x="491"/>
        <item x="1385"/>
        <item x="597"/>
        <item x="87"/>
        <item x="1299"/>
        <item x="1828"/>
        <item x="1297"/>
        <item x="1022"/>
        <item x="734"/>
        <item x="564"/>
        <item x="1910"/>
        <item x="1885"/>
        <item x="750"/>
        <item x="479"/>
        <item x="666"/>
        <item x="712"/>
        <item x="1834"/>
        <item x="318"/>
        <item x="623"/>
        <item x="878"/>
        <item x="1348"/>
        <item x="894"/>
        <item x="1914"/>
        <item x="92"/>
        <item x="247"/>
        <item x="1724"/>
        <item x="857"/>
        <item x="1369"/>
        <item x="1184"/>
        <item x="124"/>
        <item x="1661"/>
        <item x="383"/>
        <item x="904"/>
        <item x="1519"/>
        <item x="1769"/>
        <item x="1350"/>
        <item x="833"/>
        <item x="677"/>
        <item x="1066"/>
        <item x="149"/>
        <item x="167"/>
        <item x="1896"/>
        <item x="1485"/>
        <item x="749"/>
        <item x="1194"/>
        <item x="1108"/>
        <item x="1839"/>
        <item x="1325"/>
        <item x="1815"/>
        <item x="89"/>
        <item x="520"/>
        <item x="21"/>
        <item x="138"/>
        <item x="362"/>
        <item x="137"/>
        <item x="1730"/>
        <item x="1161"/>
        <item x="1808"/>
        <item x="304"/>
        <item x="1210"/>
        <item x="1219"/>
        <item x="1574"/>
        <item x="1005"/>
        <item x="549"/>
        <item x="921"/>
        <item x="983"/>
        <item x="350"/>
        <item x="1650"/>
        <item x="1527"/>
        <item x="1694"/>
        <item x="1862"/>
        <item x="364"/>
        <item x="1584"/>
        <item x="451"/>
        <item x="158"/>
        <item x="1894"/>
        <item x="1545"/>
        <item x="1271"/>
        <item x="724"/>
        <item x="1912"/>
        <item x="136"/>
        <item x="1073"/>
        <item x="1888"/>
        <item x="733"/>
        <item x="863"/>
        <item x="531"/>
        <item x="1425"/>
        <item x="1049"/>
        <item x="157"/>
        <item x="1338"/>
        <item x="928"/>
        <item x="1913"/>
        <item x="860"/>
        <item x="155"/>
        <item x="1373"/>
        <item x="99"/>
        <item x="1630"/>
        <item x="1323"/>
        <item x="431"/>
        <item x="15"/>
        <item x="223"/>
        <item x="1526"/>
        <item x="1093"/>
        <item x="917"/>
        <item x="1038"/>
        <item x="83"/>
        <item x="1646"/>
        <item x="1125"/>
        <item x="1614"/>
        <item x="818"/>
        <item x="918"/>
        <item x="1460"/>
        <item x="10"/>
        <item x="269"/>
        <item x="336"/>
        <item x="555"/>
        <item x="227"/>
        <item x="453"/>
        <item x="828"/>
        <item x="945"/>
        <item x="762"/>
        <item x="1217"/>
        <item x="1735"/>
        <item x="1476"/>
        <item x="1823"/>
        <item x="995"/>
        <item x="1356"/>
        <item x="1317"/>
        <item x="1046"/>
        <item x="649"/>
        <item x="695"/>
        <item x="798"/>
        <item x="1836"/>
        <item x="845"/>
        <item x="489"/>
        <item x="1587"/>
        <item x="1585"/>
        <item x="344"/>
        <item x="90"/>
        <item x="1469"/>
        <item x="730"/>
        <item x="1062"/>
        <item x="1036"/>
        <item x="1137"/>
        <item x="305"/>
        <item x="1638"/>
        <item x="652"/>
        <item x="241"/>
        <item x="865"/>
        <item x="1148"/>
        <item x="1292"/>
        <item x="910"/>
        <item x="1209"/>
        <item x="676"/>
        <item x="303"/>
        <item x="1266"/>
        <item x="1329"/>
        <item x="242"/>
        <item x="571"/>
        <item x="1379"/>
        <item x="696"/>
        <item x="767"/>
        <item x="395"/>
        <item x="165"/>
        <item x="1272"/>
        <item x="979"/>
        <item x="1311"/>
        <item x="3"/>
        <item x="179"/>
        <item x="1709"/>
        <item x="417"/>
        <item x="1703"/>
        <item x="1782"/>
        <item x="1355"/>
        <item x="1478"/>
        <item x="1498"/>
        <item x="1320"/>
        <item x="1845"/>
        <item x="538"/>
        <item x="218"/>
        <item x="1061"/>
        <item x="35"/>
        <item x="1197"/>
        <item x="342"/>
        <item x="59"/>
        <item x="1506"/>
        <item x="36"/>
        <item x="170"/>
        <item x="1001"/>
        <item x="1744"/>
        <item x="1754"/>
        <item x="1480"/>
        <item x="1666"/>
        <item x="687"/>
        <item x="153"/>
        <item x="999"/>
        <item x="147"/>
        <item x="1294"/>
        <item x="849"/>
        <item x="634"/>
        <item x="142"/>
        <item x="1617"/>
        <item x="1393"/>
        <item x="1513"/>
        <item x="389"/>
        <item x="1695"/>
        <item x="702"/>
        <item x="674"/>
        <item x="1794"/>
        <item x="435"/>
        <item x="1775"/>
        <item x="1105"/>
        <item x="1229"/>
        <item x="1158"/>
        <item x="850"/>
        <item x="40"/>
        <item x="1135"/>
        <item x="787"/>
        <item x="394"/>
        <item x="1517"/>
        <item x="202"/>
        <item x="368"/>
        <item x="1872"/>
        <item x="191"/>
        <item x="542"/>
        <item x="1423"/>
        <item x="1309"/>
        <item x="898"/>
        <item x="1728"/>
        <item x="965"/>
        <item x="1899"/>
        <item x="1807"/>
        <item x="328"/>
        <item x="533"/>
        <item x="1681"/>
        <item x="1684"/>
        <item x="55"/>
        <item x="1451"/>
        <item x="222"/>
        <item x="778"/>
        <item x="141"/>
        <item x="424"/>
        <item x="1274"/>
        <item x="1186"/>
        <item x="839"/>
        <item x="972"/>
        <item x="914"/>
        <item x="128"/>
        <item x="1222"/>
        <item x="1252"/>
        <item x="439"/>
        <item x="901"/>
        <item x="700"/>
        <item x="1206"/>
        <item x="576"/>
        <item x="1674"/>
        <item x="300"/>
        <item x="72"/>
        <item x="194"/>
        <item x="522"/>
        <item x="1298"/>
        <item x="1618"/>
        <item x="763"/>
        <item x="1396"/>
        <item x="1050"/>
        <item x="230"/>
        <item x="345"/>
        <item x="729"/>
        <item x="817"/>
        <item x="528"/>
        <item x="1621"/>
        <item x="1051"/>
        <item x="1430"/>
        <item x="1838"/>
        <item x="1183"/>
        <item x="1287"/>
        <item x="1651"/>
        <item x="1160"/>
        <item x="1142"/>
        <item x="41"/>
        <item x="803"/>
        <item x="1436"/>
        <item x="951"/>
        <item x="233"/>
        <item x="94"/>
        <item x="212"/>
        <item x="1332"/>
        <item x="1847"/>
        <item x="13"/>
        <item x="699"/>
        <item x="384"/>
        <item x="279"/>
        <item x="1715"/>
        <item x="348"/>
        <item x="1106"/>
        <item x="1390"/>
        <item x="1642"/>
        <item x="1774"/>
        <item x="56"/>
        <item x="893"/>
        <item x="196"/>
        <item x="219"/>
        <item x="1383"/>
        <item x="802"/>
        <item x="1247"/>
        <item x="418"/>
        <item x="846"/>
        <item x="1723"/>
        <item x="1343"/>
        <item x="462"/>
        <item x="1590"/>
        <item x="929"/>
        <item x="1376"/>
        <item x="1056"/>
        <item x="425"/>
        <item x="516"/>
        <item x="1544"/>
        <item x="956"/>
        <item x="1626"/>
        <item x="1076"/>
        <item x="792"/>
        <item x="748"/>
        <item x="1477"/>
        <item x="948"/>
        <item x="1805"/>
        <item x="1037"/>
        <item x="1874"/>
        <item x="1314"/>
        <item x="1603"/>
        <item x="511"/>
        <item x="1009"/>
        <item x="608"/>
        <item x="656"/>
        <item x="341"/>
        <item x="203"/>
        <item x="727"/>
        <item x="713"/>
        <item x="1765"/>
        <item x="566"/>
        <item x="108"/>
        <item x="1555"/>
        <item x="813"/>
        <item x="671"/>
        <item x="797"/>
        <item x="1758"/>
        <item x="1410"/>
        <item x="1665"/>
        <item x="1664"/>
        <item x="1693"/>
        <item x="890"/>
        <item x="842"/>
        <item x="1267"/>
        <item x="61"/>
        <item x="1199"/>
        <item x="1200"/>
        <item x="392"/>
        <item x="1737"/>
        <item x="709"/>
        <item x="590"/>
        <item x="644"/>
        <item x="1511"/>
        <item x="1711"/>
        <item x="278"/>
        <item x="1531"/>
        <item x="1708"/>
        <item x="639"/>
        <item x="1752"/>
        <item x="1387"/>
        <item x="626"/>
        <item x="54"/>
        <item x="1107"/>
        <item x="1448"/>
        <item x="742"/>
        <item x="377"/>
        <item x="1088"/>
        <item x="1163"/>
        <item x="810"/>
        <item x="1763"/>
        <item x="1290"/>
        <item x="134"/>
        <item x="1399"/>
        <item x="547"/>
        <item x="1363"/>
        <item x="1245"/>
        <item x="46"/>
        <item x="1887"/>
        <item x="1906"/>
        <item x="669"/>
        <item x="1232"/>
        <item x="752"/>
        <item x="113"/>
        <item x="277"/>
        <item x="44"/>
        <item x="625"/>
        <item x="1420"/>
        <item x="172"/>
        <item x="961"/>
        <item x="1691"/>
        <item x="941"/>
        <item x="27"/>
        <item x="1593"/>
        <item x="49"/>
        <item x="1139"/>
        <item x="1776"/>
        <item x="654"/>
        <item x="618"/>
        <item x="1354"/>
        <item x="1764"/>
        <item x="1071"/>
        <item x="1788"/>
        <item x="783"/>
        <item x="1042"/>
        <item x="681"/>
        <item x="1459"/>
        <item x="1289"/>
        <item x="381"/>
        <item x="661"/>
        <item x="1751"/>
        <item x="1382"/>
        <item x="1702"/>
        <item x="181"/>
        <item x="22"/>
        <item x="1039"/>
        <item x="1250"/>
        <item x="642"/>
        <item x="1542"/>
        <item x="1561"/>
        <item x="481"/>
        <item x="1789"/>
        <item x="1182"/>
        <item x="37"/>
        <item x="1242"/>
        <item x="1541"/>
        <item x="349"/>
        <item x="1127"/>
        <item x="807"/>
        <item x="1456"/>
        <item x="820"/>
        <item x="732"/>
        <item x="668"/>
        <item x="347"/>
        <item x="1114"/>
        <item x="832"/>
        <item x="1313"/>
        <item x="619"/>
        <item x="132"/>
        <item x="1169"/>
        <item x="916"/>
        <item x="38"/>
        <item x="322"/>
        <item x="851"/>
        <item x="1064"/>
        <item x="1747"/>
        <item x="1195"/>
        <item x="267"/>
        <item x="1714"/>
        <item x="1841"/>
        <item x="1599"/>
        <item x="393"/>
        <item x="685"/>
        <item x="1591"/>
        <item x="939"/>
        <item x="1833"/>
        <item x="189"/>
        <item x="1905"/>
        <item x="1692"/>
        <item x="1610"/>
        <item x="326"/>
        <item x="39"/>
        <item x="1212"/>
        <item x="698"/>
        <item x="967"/>
        <item x="1605"/>
        <item x="1180"/>
        <item x="1312"/>
        <item x="251"/>
        <item x="1185"/>
        <item x="53"/>
        <item x="1588"/>
        <item x="1327"/>
        <item x="1"/>
        <item x="584"/>
        <item x="403"/>
        <item x="1099"/>
        <item x="1159"/>
        <item x="374"/>
        <item x="731"/>
        <item x="1128"/>
        <item x="346"/>
        <item x="291"/>
        <item x="297"/>
        <item x="354"/>
        <item x="1499"/>
        <item x="96"/>
        <item x="557"/>
        <item x="996"/>
        <item x="1035"/>
        <item x="1628"/>
        <item x="1411"/>
        <item x="1115"/>
        <item x="872"/>
        <item x="1426"/>
        <item x="1441"/>
        <item x="1616"/>
        <item x="1147"/>
        <item x="1767"/>
        <item x="1389"/>
        <item x="1548"/>
        <item x="705"/>
        <item x="459"/>
        <item x="743"/>
        <item x="1873"/>
        <item x="286"/>
        <item x="265"/>
        <item x="1804"/>
        <item x="385"/>
        <item x="1916"/>
        <item x="701"/>
        <item x="58"/>
        <item x="609"/>
        <item x="200"/>
        <item x="339"/>
        <item x="1151"/>
        <item x="1690"/>
        <item x="1270"/>
        <item x="1171"/>
        <item x="631"/>
        <item x="1404"/>
        <item x="298"/>
        <item x="1533"/>
        <item x="1395"/>
        <item x="43"/>
        <item x="855"/>
        <item x="612"/>
        <item x="960"/>
        <item x="1727"/>
        <item x="114"/>
        <item x="1145"/>
        <item x="879"/>
        <item x="583"/>
        <item x="659"/>
        <item x="1497"/>
        <item x="1444"/>
        <item x="258"/>
        <item x="295"/>
        <item x="957"/>
        <item t="default"/>
      </items>
    </pivotField>
    <pivotField showAll="0"/>
    <pivotField axis="axisPage" showAll="0">
      <items count="1947">
        <item x="17"/>
        <item x="785"/>
        <item x="1167"/>
        <item x="771"/>
        <item x="722"/>
        <item x="98"/>
        <item x="541"/>
        <item x="886"/>
        <item x="1050"/>
        <item x="33"/>
        <item x="1365"/>
        <item x="537"/>
        <item x="1246"/>
        <item x="276"/>
        <item x="307"/>
        <item x="461"/>
        <item x="406"/>
        <item x="725"/>
        <item x="1190"/>
        <item x="790"/>
        <item x="1085"/>
        <item x="1053"/>
        <item x="1070"/>
        <item x="525"/>
        <item x="1314"/>
        <item x="182"/>
        <item x="650"/>
        <item x="1568"/>
        <item x="1021"/>
        <item x="1416"/>
        <item x="1435"/>
        <item x="1676"/>
        <item x="1563"/>
        <item x="86"/>
        <item x="1713"/>
        <item x="415"/>
        <item x="1044"/>
        <item x="565"/>
        <item x="1517"/>
        <item x="556"/>
        <item x="1838"/>
        <item x="333"/>
        <item x="922"/>
        <item x="543"/>
        <item x="1851"/>
        <item x="877"/>
        <item x="1811"/>
        <item x="450"/>
        <item x="766"/>
        <item x="1407"/>
        <item x="317"/>
        <item x="430"/>
        <item x="1875"/>
        <item x="250"/>
        <item x="592"/>
        <item x="546"/>
        <item x="898"/>
        <item x="901"/>
        <item x="1446"/>
        <item x="838"/>
        <item x="358"/>
        <item x="767"/>
        <item x="373"/>
        <item x="984"/>
        <item x="1518"/>
        <item x="1115"/>
        <item x="473"/>
        <item x="1031"/>
        <item x="1556"/>
        <item x="1897"/>
        <item x="561"/>
        <item x="688"/>
        <item x="1580"/>
        <item x="161"/>
        <item x="1648"/>
        <item x="742"/>
        <item x="252"/>
        <item x="1605"/>
        <item x="547"/>
        <item x="490"/>
        <item x="1217"/>
        <item x="505"/>
        <item x="843"/>
        <item x="945"/>
        <item x="1317"/>
        <item x="80"/>
        <item x="456"/>
        <item x="1760"/>
        <item x="1370"/>
        <item x="1536"/>
        <item x="239"/>
        <item x="1645"/>
        <item x="1108"/>
        <item x="1331"/>
        <item x="512"/>
        <item x="351"/>
        <item x="883"/>
        <item x="1338"/>
        <item x="1522"/>
        <item x="1295"/>
        <item x="213"/>
        <item x="451"/>
        <item x="1599"/>
        <item x="236"/>
        <item x="434"/>
        <item x="1284"/>
        <item x="947"/>
        <item x="534"/>
        <item x="1374"/>
        <item x="121"/>
        <item x="1496"/>
        <item x="657"/>
        <item x="1817"/>
        <item x="62"/>
        <item x="1109"/>
        <item x="1596"/>
        <item x="780"/>
        <item x="1675"/>
        <item x="892"/>
        <item x="751"/>
        <item x="311"/>
        <item x="1931"/>
        <item x="74"/>
        <item x="254"/>
        <item x="238"/>
        <item x="0"/>
        <item x="978"/>
        <item x="683"/>
        <item x="774"/>
        <item x="1155"/>
        <item x="604"/>
        <item x="1074"/>
        <item x="1660"/>
        <item x="5"/>
        <item x="150"/>
        <item x="1199"/>
        <item x="6"/>
        <item x="1532"/>
        <item x="1182"/>
        <item x="1791"/>
        <item x="726"/>
        <item x="759"/>
        <item x="1530"/>
        <item x="950"/>
        <item x="293"/>
        <item x="484"/>
        <item x="423"/>
        <item x="553"/>
        <item x="1030"/>
        <item x="985"/>
        <item x="1647"/>
        <item x="816"/>
        <item x="1269"/>
        <item x="465"/>
        <item x="130"/>
        <item x="952"/>
        <item x="16"/>
        <item x="1790"/>
        <item x="1565"/>
        <item x="1476"/>
        <item x="31"/>
        <item x="1759"/>
        <item x="1307"/>
        <item x="234"/>
        <item x="1839"/>
        <item x="1846"/>
        <item x="701"/>
        <item x="225"/>
        <item x="1078"/>
        <item x="1143"/>
        <item x="1933"/>
        <item x="777"/>
        <item x="105"/>
        <item x="20"/>
        <item x="1913"/>
        <item x="498"/>
        <item x="1871"/>
        <item x="173"/>
        <item x="214"/>
        <item x="1847"/>
        <item x="1003"/>
        <item x="210"/>
        <item x="187"/>
        <item x="606"/>
        <item x="97"/>
        <item x="1689"/>
        <item x="1899"/>
        <item x="215"/>
        <item x="1686"/>
        <item x="1201"/>
        <item x="698"/>
        <item x="720"/>
        <item x="1801"/>
        <item x="1041"/>
        <item x="869"/>
        <item x="416"/>
        <item x="580"/>
        <item x="912"/>
        <item x="1877"/>
        <item x="1780"/>
        <item x="91"/>
        <item x="65"/>
        <item x="292"/>
        <item x="1661"/>
        <item x="1158"/>
        <item x="1378"/>
        <item x="115"/>
        <item x="253"/>
        <item x="263"/>
        <item x="590"/>
        <item x="1188"/>
        <item x="1251"/>
        <item x="1087"/>
        <item x="378"/>
        <item x="195"/>
        <item x="1888"/>
        <item x="118"/>
        <item x="523"/>
        <item x="1225"/>
        <item x="538"/>
        <item x="654"/>
        <item x="1066"/>
        <item x="1033"/>
        <item x="111"/>
        <item x="9"/>
        <item x="1559"/>
        <item x="178"/>
        <item x="1569"/>
        <item x="1921"/>
        <item x="542"/>
        <item x="891"/>
        <item x="408"/>
        <item x="84"/>
        <item x="1054"/>
        <item x="1371"/>
        <item x="1485"/>
        <item x="477"/>
        <item x="309"/>
        <item x="1892"/>
        <item x="1519"/>
        <item x="439"/>
        <item x="1567"/>
        <item x="489"/>
        <item x="609"/>
        <item x="946"/>
        <item x="1293"/>
        <item x="1361"/>
        <item x="651"/>
        <item x="143"/>
        <item x="329"/>
        <item x="645"/>
        <item x="1091"/>
        <item x="1674"/>
        <item x="1039"/>
        <item x="85"/>
        <item x="1001"/>
        <item x="668"/>
        <item x="466"/>
        <item x="1511"/>
        <item x="320"/>
        <item x="517"/>
        <item x="845"/>
        <item x="983"/>
        <item x="778"/>
        <item x="610"/>
        <item x="4"/>
        <item x="539"/>
        <item x="335"/>
        <item x="144"/>
        <item x="1132"/>
        <item x="117"/>
        <item x="232"/>
        <item x="1586"/>
        <item x="1113"/>
        <item x="324"/>
        <item x="396"/>
        <item x="697"/>
        <item x="1696"/>
        <item x="1134"/>
        <item x="731"/>
        <item x="204"/>
        <item x="597"/>
        <item x="1165"/>
        <item x="1013"/>
        <item x="860"/>
        <item x="442"/>
        <item x="1898"/>
        <item x="1924"/>
        <item x="1663"/>
        <item x="1098"/>
        <item x="1004"/>
        <item x="884"/>
        <item x="133"/>
        <item x="379"/>
        <item x="1463"/>
        <item x="812"/>
        <item x="1388"/>
        <item x="936"/>
        <item x="248"/>
        <item x="711"/>
        <item x="1516"/>
        <item x="1578"/>
        <item x="1104"/>
        <item x="237"/>
        <item x="885"/>
        <item x="1501"/>
        <item x="290"/>
        <item x="1688"/>
        <item x="940"/>
        <item x="1779"/>
        <item x="1290"/>
        <item x="647"/>
        <item x="321"/>
        <item x="1431"/>
        <item x="119"/>
        <item x="1853"/>
        <item x="582"/>
        <item x="1099"/>
        <item x="338"/>
        <item x="1819"/>
        <item x="183"/>
        <item x="367"/>
        <item x="558"/>
        <item x="229"/>
        <item x="1176"/>
        <item x="909"/>
        <item x="163"/>
        <item x="1426"/>
        <item x="1083"/>
        <item x="289"/>
        <item x="63"/>
        <item x="1684"/>
        <item x="1451"/>
        <item x="1414"/>
        <item x="464"/>
        <item x="1692"/>
        <item x="687"/>
        <item x="1863"/>
        <item x="131"/>
        <item x="492"/>
        <item x="1650"/>
        <item x="1232"/>
        <item x="1125"/>
        <item x="1904"/>
        <item x="974"/>
        <item x="109"/>
        <item x="1357"/>
        <item x="763"/>
        <item x="1781"/>
        <item x="641"/>
        <item x="1651"/>
        <item x="1612"/>
        <item x="1683"/>
        <item x="1534"/>
        <item x="1202"/>
        <item x="1376"/>
        <item x="287"/>
        <item x="906"/>
        <item x="1203"/>
        <item x="245"/>
        <item x="1460"/>
        <item x="7"/>
        <item x="781"/>
        <item x="1358"/>
        <item x="1531"/>
        <item x="1721"/>
        <item x="1502"/>
        <item x="862"/>
        <item x="1478"/>
        <item x="316"/>
        <item x="160"/>
        <item x="1703"/>
        <item x="1570"/>
        <item x="806"/>
        <item x="1189"/>
        <item x="1262"/>
        <item x="1835"/>
        <item x="1797"/>
        <item x="842"/>
        <item x="1168"/>
        <item x="216"/>
        <item x="1858"/>
        <item x="1138"/>
        <item x="1497"/>
        <item x="1585"/>
        <item x="1321"/>
        <item x="145"/>
        <item x="1616"/>
        <item x="417"/>
        <item x="1255"/>
        <item x="669"/>
        <item x="1380"/>
        <item x="997"/>
        <item x="357"/>
        <item x="207"/>
        <item x="1288"/>
        <item x="1144"/>
        <item x="1347"/>
        <item x="376"/>
        <item x="331"/>
        <item x="1340"/>
        <item x="1695"/>
        <item x="459"/>
        <item x="1130"/>
        <item x="1925"/>
        <item x="605"/>
        <item x="1693"/>
        <item x="1935"/>
        <item x="1441"/>
        <item x="139"/>
        <item x="519"/>
        <item x="1775"/>
        <item x="904"/>
        <item x="1553"/>
        <item x="1095"/>
        <item x="1141"/>
        <item x="1471"/>
        <item x="1028"/>
        <item x="802"/>
        <item x="1268"/>
        <item x="469"/>
        <item x="1907"/>
        <item x="1472"/>
        <item x="529"/>
        <item x="1418"/>
        <item x="497"/>
        <item x="1505"/>
        <item x="921"/>
        <item x="1943"/>
        <item x="246"/>
        <item x="1727"/>
        <item x="972"/>
        <item x="1430"/>
        <item x="66"/>
        <item x="1025"/>
        <item x="120"/>
        <item x="1891"/>
        <item x="1739"/>
        <item x="231"/>
        <item x="875"/>
        <item x="1220"/>
        <item x="281"/>
        <item x="190"/>
        <item x="1287"/>
        <item x="1716"/>
        <item x="760"/>
        <item x="1735"/>
        <item x="340"/>
        <item x="1352"/>
        <item x="782"/>
        <item x="1678"/>
        <item x="719"/>
        <item x="515"/>
        <item x="550"/>
        <item x="1063"/>
        <item x="723"/>
        <item x="1637"/>
        <item x="1401"/>
        <item x="1574"/>
        <item x="1453"/>
        <item x="1830"/>
        <item x="1520"/>
        <item x="1076"/>
        <item x="1457"/>
        <item x="1753"/>
        <item x="266"/>
        <item x="531"/>
        <item x="1145"/>
        <item x="1447"/>
        <item x="1334"/>
        <item x="244"/>
        <item x="1837"/>
        <item x="164"/>
        <item x="1148"/>
        <item x="1313"/>
        <item x="532"/>
        <item x="1867"/>
        <item x="679"/>
        <item x="45"/>
        <item x="211"/>
        <item x="786"/>
        <item x="1342"/>
        <item x="510"/>
        <item x="554"/>
        <item x="1327"/>
        <item x="504"/>
        <item x="1393"/>
        <item x="1449"/>
        <item x="79"/>
        <item x="1228"/>
        <item x="1575"/>
        <item x="1464"/>
        <item x="1257"/>
        <item x="879"/>
        <item x="95"/>
        <item x="1750"/>
        <item x="206"/>
        <item x="1822"/>
        <item x="441"/>
        <item x="913"/>
        <item x="1363"/>
        <item x="1617"/>
        <item x="987"/>
        <item x="380"/>
        <item x="1200"/>
        <item x="413"/>
        <item x="1876"/>
        <item x="1641"/>
        <item x="308"/>
        <item x="372"/>
        <item x="1434"/>
        <item x="453"/>
        <item x="51"/>
        <item x="1508"/>
        <item x="93"/>
        <item x="412"/>
        <item x="979"/>
        <item x="1089"/>
        <item x="154"/>
        <item x="992"/>
        <item x="369"/>
        <item x="1345"/>
        <item x="424"/>
        <item x="1023"/>
        <item x="1204"/>
        <item x="749"/>
        <item x="916"/>
        <item x="261"/>
        <item x="1792"/>
        <item x="1271"/>
        <item x="249"/>
        <item x="1036"/>
        <item x="1581"/>
        <item x="1475"/>
        <item x="1297"/>
        <item x="1918"/>
        <item x="1110"/>
        <item x="1655"/>
        <item x="567"/>
        <item x="1614"/>
        <item x="1007"/>
        <item x="805"/>
        <item x="272"/>
        <item x="1265"/>
        <item x="435"/>
        <item x="1526"/>
        <item x="797"/>
        <item x="1101"/>
        <item x="199"/>
        <item x="1810"/>
        <item x="1774"/>
        <item x="1820"/>
        <item x="800"/>
        <item x="1249"/>
        <item x="409"/>
        <item x="1486"/>
        <item x="775"/>
        <item x="1552"/>
        <item x="1673"/>
        <item x="1749"/>
        <item x="433"/>
        <item x="1772"/>
        <item x="1353"/>
        <item x="104"/>
        <item x="1010"/>
        <item x="1090"/>
        <item x="1022"/>
        <item x="1494"/>
        <item x="1714"/>
        <item x="527"/>
        <item x="1724"/>
        <item x="30"/>
        <item x="1162"/>
        <item x="1381"/>
        <item x="76"/>
        <item x="1372"/>
        <item x="1730"/>
        <item x="1383"/>
        <item x="1879"/>
        <item x="990"/>
        <item x="122"/>
        <item x="1884"/>
        <item x="264"/>
        <item x="846"/>
        <item x="1539"/>
        <item x="690"/>
        <item x="48"/>
        <item x="1294"/>
        <item x="1633"/>
        <item x="1843"/>
        <item x="467"/>
        <item x="718"/>
        <item x="1638"/>
        <item x="743"/>
        <item x="407"/>
        <item x="1656"/>
        <item x="1670"/>
        <item x="948"/>
        <item x="695"/>
        <item x="169"/>
        <item x="1826"/>
        <item x="1280"/>
        <item x="776"/>
        <item x="918"/>
        <item x="1180"/>
        <item x="1219"/>
        <item x="1055"/>
        <item x="661"/>
        <item x="126"/>
        <item x="944"/>
        <item x="1736"/>
        <item x="585"/>
        <item x="363"/>
        <item x="1377"/>
        <item x="288"/>
        <item x="1510"/>
        <item x="71"/>
        <item x="174"/>
        <item x="1800"/>
        <item x="1124"/>
        <item x="301"/>
        <item x="623"/>
        <item x="1177"/>
        <item x="1114"/>
        <item x="410"/>
        <item x="1390"/>
        <item x="1890"/>
        <item x="474"/>
        <item x="866"/>
        <item x="270"/>
        <item x="370"/>
        <item x="1299"/>
        <item x="772"/>
        <item x="507"/>
        <item x="1415"/>
        <item x="750"/>
        <item x="414"/>
        <item x="1311"/>
        <item x="895"/>
        <item x="552"/>
        <item x="1572"/>
        <item x="18"/>
        <item x="306"/>
        <item x="1242"/>
        <item x="1166"/>
        <item x="1250"/>
        <item x="260"/>
        <item x="1289"/>
        <item x="1231"/>
        <item x="849"/>
        <item x="77"/>
        <item x="925"/>
        <item x="148"/>
        <item x="1498"/>
        <item x="642"/>
        <item x="1037"/>
        <item x="447"/>
        <item x="521"/>
        <item x="832"/>
        <item x="935"/>
        <item x="1592"/>
        <item x="1234"/>
        <item x="64"/>
        <item x="501"/>
        <item x="664"/>
        <item x="887"/>
        <item x="684"/>
        <item x="449"/>
        <item x="584"/>
        <item x="1477"/>
        <item x="1870"/>
        <item x="1639"/>
        <item x="1587"/>
        <item x="787"/>
        <item x="1889"/>
        <item x="633"/>
        <item x="1428"/>
        <item x="801"/>
        <item x="1121"/>
        <item x="1279"/>
        <item x="1267"/>
        <item x="106"/>
        <item x="1429"/>
        <item x="156"/>
        <item x="509"/>
        <item x="375"/>
        <item x="1602"/>
        <item x="23"/>
        <item x="728"/>
        <item x="1146"/>
        <item x="1315"/>
        <item x="443"/>
        <item x="82"/>
        <item x="889"/>
        <item x="1664"/>
        <item x="1312"/>
        <item x="1778"/>
        <item x="1359"/>
        <item x="186"/>
        <item x="1914"/>
        <item x="386"/>
        <item x="1598"/>
        <item x="830"/>
        <item x="934"/>
        <item x="1848"/>
        <item x="881"/>
        <item x="815"/>
        <item x="1040"/>
        <item x="60"/>
        <item x="1259"/>
        <item x="1597"/>
        <item x="756"/>
        <item x="1734"/>
        <item x="856"/>
        <item x="313"/>
        <item x="1236"/>
        <item x="1391"/>
        <item x="1799"/>
        <item x="1668"/>
        <item x="123"/>
        <item x="1223"/>
        <item x="1623"/>
        <item x="1823"/>
        <item x="911"/>
        <item x="1738"/>
        <item x="1107"/>
        <item x="818"/>
        <item x="475"/>
        <item x="1909"/>
        <item x="834"/>
        <item x="1008"/>
        <item x="485"/>
        <item x="1116"/>
        <item x="1715"/>
        <item x="570"/>
        <item x="963"/>
        <item x="223"/>
        <item x="1669"/>
        <item x="991"/>
        <item x="1057"/>
        <item x="1292"/>
        <item x="116"/>
        <item x="1912"/>
        <item x="1387"/>
        <item x="874"/>
        <item x="1902"/>
        <item x="770"/>
        <item x="24"/>
        <item x="1831"/>
        <item x="560"/>
        <item x="1793"/>
        <item x="177"/>
        <item x="1027"/>
        <item x="1611"/>
        <item x="1812"/>
        <item x="42"/>
        <item x="1316"/>
        <item x="1227"/>
        <item x="1238"/>
        <item x="878"/>
        <item x="1723"/>
        <item x="1329"/>
        <item x="1480"/>
        <item x="1191"/>
        <item x="1499"/>
        <item x="956"/>
        <item x="1142"/>
        <item x="980"/>
        <item x="1882"/>
        <item x="618"/>
        <item x="1488"/>
        <item x="861"/>
        <item x="1768"/>
        <item x="135"/>
        <item x="479"/>
        <item x="462"/>
        <item x="73"/>
        <item x="1302"/>
        <item x="151"/>
        <item x="427"/>
        <item x="710"/>
        <item x="1927"/>
        <item x="1042"/>
        <item x="1887"/>
        <item x="631"/>
        <item x="1184"/>
        <item x="762"/>
        <item x="220"/>
        <item x="727"/>
        <item x="1318"/>
        <item x="1343"/>
        <item x="625"/>
        <item x="1384"/>
        <item x="1235"/>
        <item x="1788"/>
        <item x="1761"/>
        <item x="1861"/>
        <item x="332"/>
        <item x="855"/>
        <item x="1336"/>
        <item x="1737"/>
        <item x="943"/>
        <item x="821"/>
        <item x="1809"/>
        <item x="1762"/>
        <item x="810"/>
        <item x="746"/>
        <item x="1754"/>
        <item x="1330"/>
        <item x="495"/>
        <item x="1874"/>
        <item x="1756"/>
        <item x="1264"/>
        <item x="520"/>
        <item x="319"/>
        <item x="262"/>
        <item x="779"/>
        <item x="578"/>
        <item x="1122"/>
        <item x="536"/>
        <item x="429"/>
        <item x="545"/>
        <item x="1413"/>
        <item x="101"/>
        <item x="421"/>
        <item x="575"/>
        <item x="152"/>
        <item x="273"/>
        <item x="1528"/>
        <item x="1369"/>
        <item x="511"/>
        <item x="1043"/>
        <item x="1241"/>
        <item x="1621"/>
        <item x="366"/>
        <item x="1702"/>
        <item x="624"/>
        <item x="1905"/>
        <item x="282"/>
        <item x="1356"/>
        <item x="1153"/>
        <item x="1758"/>
        <item x="1270"/>
        <item x="1399"/>
        <item x="563"/>
        <item x="640"/>
        <item x="1112"/>
        <item x="1398"/>
        <item x="299"/>
        <item x="761"/>
        <item x="794"/>
        <item x="626"/>
        <item x="166"/>
        <item x="103"/>
        <item x="783"/>
        <item x="81"/>
        <item x="1152"/>
        <item x="965"/>
        <item x="1842"/>
        <item x="1136"/>
        <item x="129"/>
        <item x="1425"/>
        <item x="1903"/>
        <item x="208"/>
        <item x="1026"/>
        <item x="917"/>
        <item x="487"/>
        <item x="620"/>
        <item x="601"/>
        <item x="107"/>
        <item x="1489"/>
        <item x="1507"/>
        <item x="1014"/>
        <item x="1729"/>
        <item x="1079"/>
        <item x="192"/>
        <item x="275"/>
        <item x="1296"/>
        <item x="127"/>
        <item x="865"/>
        <item x="628"/>
        <item x="371"/>
        <item x="88"/>
        <item x="1864"/>
        <item x="1467"/>
        <item x="29"/>
        <item x="1535"/>
        <item x="1537"/>
        <item x="69"/>
        <item x="1878"/>
        <item x="185"/>
        <item x="1244"/>
        <item x="1685"/>
        <item x="1654"/>
        <item x="535"/>
        <item x="516"/>
        <item x="1349"/>
        <item x="1920"/>
        <item x="468"/>
        <item x="1939"/>
        <item x="256"/>
        <item x="1245"/>
        <item x="47"/>
        <item x="730"/>
        <item x="1782"/>
        <item x="1827"/>
        <item x="310"/>
        <item x="1364"/>
        <item x="472"/>
        <item x="1776"/>
        <item x="1523"/>
        <item x="1509"/>
        <item x="243"/>
        <item x="569"/>
        <item x="528"/>
        <item x="1538"/>
        <item x="1636"/>
        <item x="325"/>
        <item x="448"/>
        <item x="1555"/>
        <item x="1222"/>
        <item x="382"/>
        <item x="551"/>
        <item x="1659"/>
        <item x="1106"/>
        <item x="1319"/>
        <item x="355"/>
        <item x="112"/>
        <item x="1226"/>
        <item x="1346"/>
        <item x="986"/>
        <item x="1545"/>
        <item x="1454"/>
        <item x="1351"/>
        <item x="193"/>
        <item x="184"/>
        <item x="591"/>
        <item x="1717"/>
        <item x="1064"/>
        <item x="1286"/>
        <item x="1751"/>
        <item x="1185"/>
        <item x="496"/>
        <item x="998"/>
        <item x="411"/>
        <item x="1706"/>
        <item x="1093"/>
        <item x="632"/>
        <item x="652"/>
        <item x="1248"/>
        <item x="576"/>
        <item x="1915"/>
        <item x="870"/>
        <item x="175"/>
        <item x="1385"/>
        <item x="1452"/>
        <item x="1035"/>
        <item x="526"/>
        <item x="1062"/>
        <item x="712"/>
        <item x="470"/>
        <item x="714"/>
        <item x="1916"/>
        <item x="807"/>
        <item x="506"/>
        <item x="361"/>
        <item x="1885"/>
        <item x="1247"/>
        <item x="1080"/>
        <item x="28"/>
        <item x="659"/>
        <item x="724"/>
        <item x="279"/>
        <item x="1865"/>
        <item x="209"/>
        <item x="1024"/>
        <item x="1900"/>
        <item x="1705"/>
        <item x="1442"/>
        <item x="405"/>
        <item x="583"/>
        <item x="1427"/>
        <item x="1123"/>
        <item x="180"/>
        <item x="1852"/>
        <item x="488"/>
        <item x="1880"/>
        <item x="400"/>
        <item x="639"/>
        <item x="808"/>
        <item x="996"/>
        <item x="1786"/>
        <item x="1944"/>
        <item x="314"/>
        <item x="1582"/>
        <item x="1208"/>
        <item x="168"/>
        <item x="894"/>
        <item x="1722"/>
        <item x="1482"/>
        <item x="942"/>
        <item x="666"/>
        <item x="1421"/>
        <item x="744"/>
        <item x="1058"/>
        <item x="508"/>
        <item x="50"/>
        <item x="836"/>
        <item x="1653"/>
        <item x="616"/>
        <item x="1239"/>
        <item x="1646"/>
        <item x="1613"/>
        <item x="905"/>
        <item x="1610"/>
        <item x="302"/>
        <item x="837"/>
        <item x="1540"/>
        <item x="1444"/>
        <item x="271"/>
        <item x="323"/>
        <item x="1803"/>
        <item x="1068"/>
        <item x="445"/>
        <item x="1069"/>
        <item x="1554"/>
        <item x="1608"/>
        <item x="1548"/>
        <item x="833"/>
        <item x="486"/>
        <item x="1468"/>
        <item x="176"/>
        <item x="353"/>
        <item x="1274"/>
        <item x="1544"/>
        <item x="708"/>
        <item x="1479"/>
        <item x="962"/>
        <item x="34"/>
        <item x="1020"/>
        <item x="1420"/>
        <item x="608"/>
        <item x="1506"/>
        <item x="1748"/>
        <item x="1634"/>
        <item x="662"/>
        <item x="458"/>
        <item x="1186"/>
        <item x="356"/>
        <item x="1733"/>
        <item x="981"/>
        <item x="1230"/>
        <item x="602"/>
        <item x="1461"/>
        <item x="617"/>
        <item x="1589"/>
        <item x="594"/>
        <item x="1697"/>
        <item x="1845"/>
        <item x="890"/>
        <item x="649"/>
        <item x="1834"/>
        <item x="482"/>
        <item x="1304"/>
        <item x="1128"/>
        <item x="1945"/>
        <item x="280"/>
        <item x="671"/>
        <item x="1466"/>
        <item x="428"/>
        <item x="1718"/>
        <item x="867"/>
        <item x="1872"/>
        <item x="1187"/>
        <item x="733"/>
        <item x="1550"/>
        <item x="201"/>
        <item x="1584"/>
        <item x="811"/>
        <item x="1833"/>
        <item x="1551"/>
        <item x="677"/>
        <item x="1164"/>
        <item x="739"/>
        <item x="146"/>
        <item x="1906"/>
        <item x="603"/>
        <item x="788"/>
        <item x="927"/>
        <item x="851"/>
        <item x="1886"/>
        <item x="1821"/>
        <item x="908"/>
        <item x="1541"/>
        <item x="667"/>
        <item x="1474"/>
        <item x="841"/>
        <item x="696"/>
        <item x="1059"/>
        <item x="315"/>
        <item x="994"/>
        <item x="247"/>
        <item x="337"/>
        <item x="1746"/>
        <item x="334"/>
        <item x="1306"/>
        <item x="284"/>
        <item x="955"/>
        <item x="480"/>
        <item x="110"/>
        <item x="1926"/>
        <item x="999"/>
        <item x="721"/>
        <item x="1901"/>
        <item x="75"/>
        <item x="804"/>
        <item x="1504"/>
        <item x="1840"/>
        <item x="1836"/>
        <item x="359"/>
        <item x="607"/>
        <item x="1893"/>
        <item x="694"/>
        <item x="431"/>
        <item x="471"/>
        <item x="954"/>
        <item x="1333"/>
        <item x="1942"/>
        <item x="1566"/>
        <item x="125"/>
        <item x="1546"/>
        <item x="1017"/>
        <item x="1806"/>
        <item x="274"/>
        <item x="388"/>
        <item x="255"/>
        <item x="1210"/>
        <item x="1665"/>
        <item x="27"/>
        <item x="1029"/>
        <item x="919"/>
        <item x="1487"/>
        <item x="1032"/>
        <item x="599"/>
        <item x="500"/>
        <item x="655"/>
        <item x="52"/>
        <item x="1469"/>
        <item x="900"/>
        <item x="1757"/>
        <item x="716"/>
        <item x="1796"/>
        <item x="1379"/>
        <item x="67"/>
        <item x="224"/>
        <item x="1366"/>
        <item x="1260"/>
        <item x="676"/>
        <item x="581"/>
        <item x="1394"/>
        <item x="432"/>
        <item x="589"/>
        <item x="330"/>
        <item x="1677"/>
        <item x="644"/>
        <item x="960"/>
        <item x="685"/>
        <item x="383"/>
        <item x="923"/>
        <item x="1525"/>
        <item x="1178"/>
        <item x="446"/>
        <item x="1542"/>
        <item x="437"/>
        <item x="562"/>
        <item x="1065"/>
        <item x="1941"/>
        <item x="1323"/>
        <item x="162"/>
        <item x="26"/>
        <item x="1328"/>
        <item x="1276"/>
        <item x="941"/>
        <item x="8"/>
        <item x="1562"/>
        <item x="619"/>
        <item x="1012"/>
        <item x="25"/>
        <item x="1161"/>
        <item x="1071"/>
        <item x="574"/>
        <item x="1583"/>
        <item x="595"/>
        <item x="493"/>
        <item x="1252"/>
        <item x="137"/>
        <item x="198"/>
        <item x="1102"/>
        <item x="1456"/>
        <item x="852"/>
        <item x="915"/>
        <item x="78"/>
        <item x="1704"/>
        <item x="1934"/>
        <item x="1813"/>
        <item x="514"/>
        <item x="12"/>
        <item x="1672"/>
        <item x="1930"/>
        <item x="1818"/>
        <item x="1354"/>
        <item x="1561"/>
        <item x="1515"/>
        <item x="1273"/>
        <item x="1397"/>
        <item x="795"/>
        <item x="1576"/>
        <item x="140"/>
        <item x="577"/>
        <item x="1503"/>
        <item x="819"/>
        <item x="872"/>
        <item x="844"/>
        <item x="1690"/>
        <item x="1432"/>
        <item x="1160"/>
        <item x="1579"/>
        <item x="1135"/>
        <item x="124"/>
        <item x="764"/>
        <item x="1092"/>
        <item x="1060"/>
        <item x="1594"/>
        <item x="455"/>
        <item x="840"/>
        <item x="360"/>
        <item x="1422"/>
        <item x="1051"/>
        <item x="976"/>
        <item x="303"/>
        <item x="765"/>
        <item x="1687"/>
        <item x="1213"/>
        <item x="343"/>
        <item x="1465"/>
        <item x="1437"/>
        <item x="70"/>
        <item x="1816"/>
        <item x="1445"/>
        <item x="1700"/>
        <item x="1573"/>
        <item x="1048"/>
        <item x="2"/>
        <item x="83"/>
        <item x="362"/>
        <item x="1908"/>
        <item x="494"/>
        <item x="822"/>
        <item x="1923"/>
        <item x="478"/>
        <item x="796"/>
        <item x="741"/>
        <item x="835"/>
        <item x="57"/>
        <item x="686"/>
        <item x="1805"/>
        <item x="188"/>
        <item x="848"/>
        <item x="627"/>
        <item x="1595"/>
        <item x="1229"/>
        <item x="1752"/>
        <item x="36"/>
        <item x="1448"/>
        <item x="1938"/>
        <item x="1131"/>
        <item x="1491"/>
        <item x="92"/>
        <item x="988"/>
        <item x="1272"/>
        <item x="969"/>
        <item x="1742"/>
        <item x="102"/>
        <item x="752"/>
        <item x="1282"/>
        <item x="1086"/>
        <item x="636"/>
        <item x="937"/>
        <item x="1214"/>
        <item x="278"/>
        <item x="555"/>
        <item x="235"/>
        <item x="738"/>
        <item x="735"/>
        <item x="1103"/>
        <item x="327"/>
        <item x="1459"/>
        <item x="87"/>
        <item x="226"/>
        <item x="678"/>
        <item x="864"/>
        <item x="873"/>
        <item x="964"/>
        <item x="481"/>
        <item x="1216"/>
        <item x="740"/>
        <item x="19"/>
        <item x="1129"/>
        <item x="1643"/>
        <item x="1150"/>
        <item x="1588"/>
        <item x="221"/>
        <item x="1341"/>
        <item x="995"/>
        <item x="242"/>
        <item x="882"/>
        <item x="897"/>
        <item x="1841"/>
        <item x="336"/>
        <item x="499"/>
        <item x="968"/>
        <item x="548"/>
        <item x="823"/>
        <item x="454"/>
        <item x="259"/>
        <item x="1593"/>
        <item x="929"/>
        <item x="397"/>
        <item x="390"/>
        <item x="692"/>
        <item x="179"/>
        <item x="1671"/>
        <item x="953"/>
        <item x="1625"/>
        <item x="893"/>
        <item x="1769"/>
        <item x="422"/>
        <item x="438"/>
        <item x="1000"/>
        <item x="1005"/>
        <item x="1308"/>
        <item x="699"/>
        <item x="1405"/>
        <item x="352"/>
        <item x="1291"/>
        <item x="457"/>
        <item x="344"/>
        <item x="868"/>
        <item x="21"/>
        <item x="1490"/>
        <item x="1604"/>
        <item x="172"/>
        <item x="656"/>
        <item x="1111"/>
        <item x="1543"/>
        <item x="142"/>
        <item x="1275"/>
        <item x="1254"/>
        <item x="729"/>
        <item x="1215"/>
        <item x="1419"/>
        <item x="312"/>
        <item x="1034"/>
        <item x="136"/>
        <item x="1481"/>
        <item x="159"/>
        <item x="401"/>
        <item x="653"/>
        <item x="1856"/>
        <item x="268"/>
        <item x="682"/>
        <item x="368"/>
        <item x="1386"/>
        <item x="973"/>
        <item x="1002"/>
        <item x="387"/>
        <item x="596"/>
        <item x="1694"/>
        <item x="896"/>
        <item x="420"/>
        <item x="876"/>
        <item x="1348"/>
        <item x="241"/>
        <item x="1395"/>
        <item x="1620"/>
        <item x="1652"/>
        <item x="11"/>
        <item x="1360"/>
        <item x="205"/>
        <item x="1266"/>
        <item x="1815"/>
        <item x="826"/>
        <item x="1174"/>
        <item x="715"/>
        <item x="1173"/>
        <item x="938"/>
        <item x="1937"/>
        <item x="440"/>
        <item x="1798"/>
        <item x="1629"/>
        <item x="1094"/>
        <item x="197"/>
        <item x="1591"/>
        <item x="1367"/>
        <item x="1038"/>
        <item x="1205"/>
        <item x="1137"/>
        <item x="1169"/>
        <item x="825"/>
        <item x="227"/>
        <item x="32"/>
        <item x="1881"/>
        <item x="1626"/>
        <item x="1237"/>
        <item x="1097"/>
        <item x="598"/>
        <item x="1873"/>
        <item x="399"/>
        <item x="402"/>
        <item x="768"/>
        <item x="1679"/>
        <item x="257"/>
        <item x="1635"/>
        <item x="1221"/>
        <item x="171"/>
        <item x="153"/>
        <item x="1832"/>
        <item x="1056"/>
        <item x="564"/>
        <item x="1392"/>
        <item x="1860"/>
        <item x="94"/>
        <item x="1743"/>
        <item x="1917"/>
        <item x="217"/>
        <item x="1932"/>
        <item x="930"/>
        <item x="283"/>
        <item x="1649"/>
        <item x="1804"/>
        <item x="1868"/>
        <item x="693"/>
        <item x="398"/>
        <item x="622"/>
        <item x="828"/>
        <item x="1382"/>
        <item x="706"/>
        <item x="10"/>
        <item x="1802"/>
        <item x="1493"/>
        <item x="128"/>
        <item x="1362"/>
        <item x="294"/>
        <item x="304"/>
        <item x="1181"/>
        <item x="540"/>
        <item x="218"/>
        <item x="1767"/>
        <item x="35"/>
        <item x="342"/>
        <item x="1120"/>
        <item x="1644"/>
        <item x="1657"/>
        <item x="365"/>
        <item x="1337"/>
        <item x="503"/>
        <item x="1396"/>
        <item x="1096"/>
        <item x="571"/>
        <item x="1857"/>
        <item x="700"/>
        <item x="1603"/>
        <item x="165"/>
        <item x="1828"/>
        <item x="167"/>
        <item x="643"/>
        <item x="933"/>
        <item x="1849"/>
        <item x="68"/>
        <item x="1133"/>
        <item x="1195"/>
        <item x="155"/>
        <item x="745"/>
        <item x="452"/>
        <item x="1627"/>
        <item x="1154"/>
        <item x="41"/>
        <item x="522"/>
        <item x="1193"/>
        <item x="920"/>
        <item x="1789"/>
        <item x="831"/>
        <item x="138"/>
        <item x="1156"/>
        <item x="1368"/>
        <item x="1747"/>
        <item x="1601"/>
        <item x="634"/>
        <item x="544"/>
        <item x="1179"/>
        <item x="1794"/>
        <item x="732"/>
        <item x="568"/>
        <item x="196"/>
        <item x="572"/>
        <item x="1922"/>
        <item x="903"/>
        <item x="419"/>
        <item x="1590"/>
        <item x="1072"/>
        <item x="754"/>
        <item x="1483"/>
        <item x="932"/>
        <item x="1795"/>
        <item x="1285"/>
        <item x="914"/>
        <item x="1524"/>
        <item x="318"/>
        <item x="1073"/>
        <item x="444"/>
        <item x="989"/>
        <item x="1088"/>
        <item x="691"/>
        <item x="1728"/>
        <item x="791"/>
        <item x="1726"/>
        <item x="566"/>
        <item x="1411"/>
        <item x="799"/>
        <item x="993"/>
        <item x="350"/>
        <item x="285"/>
        <item x="1911"/>
        <item x="871"/>
        <item x="391"/>
        <item x="1600"/>
        <item x="1866"/>
        <item x="389"/>
        <item x="1335"/>
        <item x="90"/>
        <item x="55"/>
        <item x="222"/>
        <item x="341"/>
        <item x="931"/>
        <item x="1283"/>
        <item x="476"/>
        <item x="1409"/>
        <item x="1711"/>
        <item x="1773"/>
        <item x="1061"/>
        <item x="418"/>
        <item x="1077"/>
        <item x="734"/>
        <item x="1740"/>
        <item x="1443"/>
        <item x="1332"/>
        <item x="1681"/>
        <item x="707"/>
        <item x="1310"/>
        <item x="1209"/>
        <item x="959"/>
        <item x="1046"/>
        <item x="1745"/>
        <item x="975"/>
        <item x="328"/>
        <item x="1117"/>
        <item x="1741"/>
        <item x="1763"/>
        <item x="240"/>
        <item x="228"/>
        <item x="1666"/>
        <item x="1047"/>
        <item x="681"/>
        <item x="1084"/>
        <item x="533"/>
        <item x="230"/>
        <item x="345"/>
        <item x="928"/>
        <item x="611"/>
        <item x="269"/>
        <item x="1263"/>
        <item x="660"/>
        <item x="89"/>
        <item x="99"/>
        <item x="1298"/>
        <item x="436"/>
        <item x="704"/>
        <item x="463"/>
        <item x="613"/>
        <item x="1495"/>
        <item x="1105"/>
        <item x="1869"/>
        <item x="40"/>
        <item x="1277"/>
        <item x="14"/>
        <item x="305"/>
        <item x="72"/>
        <item x="847"/>
        <item x="524"/>
        <item x="957"/>
        <item x="753"/>
        <item x="924"/>
        <item x="814"/>
        <item x="1011"/>
        <item x="1320"/>
        <item x="1764"/>
        <item x="648"/>
        <item x="1218"/>
        <item x="1701"/>
        <item x="1883"/>
        <item x="1196"/>
        <item x="1855"/>
        <item x="773"/>
        <item x="1829"/>
        <item x="157"/>
        <item x="1350"/>
        <item x="3"/>
        <item x="1662"/>
        <item x="829"/>
        <item x="1785"/>
        <item x="1712"/>
        <item x="1404"/>
        <item x="1170"/>
        <item x="1710"/>
        <item x="61"/>
        <item x="853"/>
        <item x="910"/>
        <item x="1765"/>
        <item x="1919"/>
        <item x="1303"/>
        <item x="1500"/>
        <item x="1322"/>
        <item x="1622"/>
        <item x="755"/>
        <item x="1410"/>
        <item x="158"/>
        <item x="1894"/>
        <item x="1720"/>
        <item x="425"/>
        <item x="1450"/>
        <item x="191"/>
        <item x="233"/>
        <item x="212"/>
        <item x="1081"/>
        <item x="1309"/>
        <item x="703"/>
        <item x="384"/>
        <item x="1373"/>
        <item x="296"/>
        <item x="1844"/>
        <item x="170"/>
        <item x="637"/>
        <item x="1400"/>
        <item x="1149"/>
        <item x="1533"/>
        <item x="758"/>
        <item x="792"/>
        <item x="902"/>
        <item x="100"/>
        <item x="1492"/>
        <item x="557"/>
        <item x="1016"/>
        <item x="1018"/>
        <item x="1278"/>
        <item x="1100"/>
        <item x="1009"/>
        <item x="147"/>
        <item x="1699"/>
        <item x="907"/>
        <item x="1344"/>
        <item x="1755"/>
        <item x="1412"/>
        <item x="1618"/>
        <item x="513"/>
        <item x="1389"/>
        <item x="1640"/>
        <item x="680"/>
        <item x="1243"/>
        <item x="1771"/>
        <item x="300"/>
        <item x="194"/>
        <item x="1233"/>
        <item x="1825"/>
        <item x="1896"/>
        <item x="149"/>
        <item x="1305"/>
        <item x="824"/>
        <item x="573"/>
        <item x="1859"/>
        <item x="1560"/>
        <item x="1529"/>
        <item x="203"/>
        <item x="46"/>
        <item x="1521"/>
        <item x="381"/>
        <item x="1725"/>
        <item x="769"/>
        <item x="888"/>
        <item x="202"/>
        <item x="377"/>
        <item x="600"/>
        <item x="1240"/>
        <item x="502"/>
        <item x="1631"/>
        <item x="717"/>
        <item x="820"/>
        <item x="1732"/>
        <item x="549"/>
        <item x="1547"/>
        <item x="1355"/>
        <item x="1691"/>
        <item x="899"/>
        <item x="1814"/>
        <item x="1698"/>
        <item x="1936"/>
        <item x="857"/>
        <item x="1118"/>
        <item x="364"/>
        <item x="134"/>
        <item x="404"/>
        <item x="1615"/>
        <item x="1850"/>
        <item x="850"/>
        <item x="784"/>
        <item x="1929"/>
        <item x="1147"/>
        <item x="1172"/>
        <item x="1438"/>
        <item x="809"/>
        <item x="1571"/>
        <item x="1557"/>
        <item x="579"/>
        <item x="1258"/>
        <item x="1206"/>
        <item x="1667"/>
        <item x="1211"/>
        <item x="854"/>
        <item x="658"/>
        <item x="530"/>
        <item x="614"/>
        <item x="1423"/>
        <item x="1440"/>
        <item x="1628"/>
        <item x="1019"/>
        <item x="665"/>
        <item x="56"/>
        <item x="858"/>
        <item x="1577"/>
        <item x="1067"/>
        <item x="1326"/>
        <item x="1770"/>
        <item x="817"/>
        <item x="141"/>
        <item x="426"/>
        <item x="621"/>
        <item x="491"/>
        <item x="1139"/>
        <item x="803"/>
        <item x="1558"/>
        <item x="1119"/>
        <item x="1470"/>
        <item x="1424"/>
        <item x="670"/>
        <item x="674"/>
        <item x="827"/>
        <item x="859"/>
        <item x="1300"/>
        <item x="939"/>
        <item x="1375"/>
        <item x="1049"/>
        <item x="1212"/>
        <item x="483"/>
        <item x="1151"/>
        <item x="1301"/>
        <item x="132"/>
        <item x="630"/>
        <item x="1256"/>
        <item x="394"/>
        <item x="1198"/>
        <item x="265"/>
        <item x="108"/>
        <item x="1682"/>
        <item x="1910"/>
        <item x="181"/>
        <item x="251"/>
        <item x="1527"/>
        <item x="1808"/>
        <item x="713"/>
        <item x="354"/>
        <item x="588"/>
        <item x="1484"/>
        <item x="1006"/>
        <item x="1680"/>
        <item x="1642"/>
        <item x="1194"/>
        <item x="646"/>
        <item x="1175"/>
        <item x="593"/>
        <item x="638"/>
        <item x="322"/>
        <item x="113"/>
        <item x="1075"/>
        <item x="44"/>
        <item x="813"/>
        <item x="1126"/>
        <item x="1406"/>
        <item x="1433"/>
        <item x="971"/>
        <item x="1015"/>
        <item x="1606"/>
        <item x="1783"/>
        <item x="663"/>
        <item x="219"/>
        <item x="298"/>
        <item x="1862"/>
        <item x="1940"/>
        <item x="15"/>
        <item x="348"/>
        <item x="277"/>
        <item x="1436"/>
        <item x="793"/>
        <item x="1632"/>
        <item x="629"/>
        <item x="1253"/>
        <item x="1339"/>
        <item x="1658"/>
        <item x="1731"/>
        <item x="1403"/>
        <item x="966"/>
        <item x="1609"/>
        <item x="1"/>
        <item x="798"/>
        <item x="49"/>
        <item x="1052"/>
        <item x="59"/>
        <item x="1854"/>
        <item x="1473"/>
        <item x="1192"/>
        <item x="518"/>
        <item x="1784"/>
        <item x="1807"/>
        <item x="96"/>
        <item x="1719"/>
        <item x="22"/>
        <item x="1513"/>
        <item x="1261"/>
        <item x="982"/>
        <item x="291"/>
        <item x="1564"/>
        <item x="395"/>
        <item x="1462"/>
        <item x="747"/>
        <item x="737"/>
        <item x="1777"/>
        <item x="839"/>
        <item x="559"/>
        <item x="977"/>
        <item x="349"/>
        <item x="1928"/>
        <item x="958"/>
        <item x="926"/>
        <item x="970"/>
        <item x="880"/>
        <item x="1455"/>
        <item x="1045"/>
        <item x="951"/>
        <item x="1619"/>
        <item x="374"/>
        <item x="675"/>
        <item x="1224"/>
        <item x="702"/>
        <item x="392"/>
        <item x="1127"/>
        <item x="13"/>
        <item x="1171"/>
        <item x="789"/>
        <item x="347"/>
        <item x="43"/>
        <item x="1624"/>
        <item x="1140"/>
        <item x="635"/>
        <item x="403"/>
        <item x="1417"/>
        <item x="949"/>
        <item x="1159"/>
        <item x="38"/>
        <item x="1630"/>
        <item x="1402"/>
        <item x="37"/>
        <item x="1183"/>
        <item x="267"/>
        <item x="757"/>
        <item x="863"/>
        <item x="736"/>
        <item x="393"/>
        <item x="587"/>
        <item x="339"/>
        <item x="705"/>
        <item x="689"/>
        <item x="326"/>
        <item x="1708"/>
        <item x="1607"/>
        <item x="346"/>
        <item x="1163"/>
        <item x="53"/>
        <item x="1766"/>
        <item x="1439"/>
        <item x="673"/>
        <item x="1207"/>
        <item x="1787"/>
        <item x="1197"/>
        <item x="748"/>
        <item x="709"/>
        <item x="1082"/>
        <item x="961"/>
        <item x="612"/>
        <item x="39"/>
        <item x="1157"/>
        <item x="1324"/>
        <item x="1514"/>
        <item x="58"/>
        <item x="189"/>
        <item x="1707"/>
        <item x="1325"/>
        <item x="1408"/>
        <item x="385"/>
        <item x="1709"/>
        <item x="1281"/>
        <item x="286"/>
        <item x="1895"/>
        <item x="1824"/>
        <item x="297"/>
        <item x="672"/>
        <item x="54"/>
        <item x="200"/>
        <item x="460"/>
        <item x="1549"/>
        <item x="258"/>
        <item x="1744"/>
        <item x="586"/>
        <item x="615"/>
        <item x="114"/>
        <item x="295"/>
        <item x="967"/>
        <item x="1458"/>
        <item x="1512"/>
        <item t="default"/>
      </items>
    </pivotField>
  </pivotFields>
  <rowFields count="1">
    <field x="19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pageFields count="1">
    <pageField fld="25" hier="-1"/>
  </pageFields>
  <dataFields count="1">
    <dataField name="Sum of Sales" fld="23" baseField="0" baseItem="0"/>
  </dataFields>
  <chartFormats count="7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4:B25" firstHeaderRow="1" firstDataRow="1" firstDataCol="1"/>
  <pivotFields count="23">
    <pivotField numFmtId="164" showAll="0"/>
    <pivotField numFmtId="16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64" showAll="0"/>
    <pivotField showAll="0"/>
    <pivotField dataField="1" numFmtId="164" showAll="0">
      <items count="1923">
        <item x="17"/>
        <item x="779"/>
        <item x="1155"/>
        <item x="765"/>
        <item x="718"/>
        <item x="98"/>
        <item x="539"/>
        <item x="877"/>
        <item x="1040"/>
        <item x="33"/>
        <item x="1353"/>
        <item x="535"/>
        <item x="1235"/>
        <item x="1552"/>
        <item x="471"/>
        <item x="1547"/>
        <item x="86"/>
        <item x="276"/>
        <item x="307"/>
        <item x="460"/>
        <item x="406"/>
        <item x="912"/>
        <item x="541"/>
        <item x="720"/>
        <item x="1306"/>
        <item x="1178"/>
        <item x="559"/>
        <item x="784"/>
        <item x="1074"/>
        <item x="161"/>
        <item x="1043"/>
        <item x="1059"/>
        <item x="523"/>
        <item x="1303"/>
        <item x="182"/>
        <item x="1797"/>
        <item x="1394"/>
        <item x="1326"/>
        <item x="737"/>
        <item x="252"/>
        <item x="1589"/>
        <item x="545"/>
        <item x="250"/>
        <item x="646"/>
        <item x="1143"/>
        <item x="1284"/>
        <item x="761"/>
        <item x="373"/>
        <item x="974"/>
        <item x="74"/>
        <item x="1362"/>
        <item x="1103"/>
        <item x="1011"/>
        <item x="1403"/>
        <item x="1422"/>
        <item x="1660"/>
        <item x="1540"/>
        <item x="62"/>
        <item x="1696"/>
        <item x="415"/>
        <item x="1034"/>
        <item x="563"/>
        <item x="684"/>
        <item x="1502"/>
        <item x="1850"/>
        <item x="1564"/>
        <item x="554"/>
        <item x="1817"/>
        <item x="0"/>
        <item x="679"/>
        <item x="333"/>
        <item x="937"/>
        <item x="1741"/>
        <item x="5"/>
        <item x="836"/>
        <item x="1543"/>
        <item x="1481"/>
        <item x="6"/>
        <item x="935"/>
        <item x="1830"/>
        <item x="869"/>
        <item x="80"/>
        <item x="1791"/>
        <item x="1218"/>
        <item x="1366"/>
        <item x="1097"/>
        <item x="1771"/>
        <item x="1514"/>
        <item x="449"/>
        <item x="1672"/>
        <item x="1909"/>
        <item x="521"/>
        <item x="1020"/>
        <item x="1358"/>
        <item x="1189"/>
        <item x="1633"/>
        <item x="1631"/>
        <item x="1319"/>
        <item x="510"/>
        <item x="496"/>
        <item x="861"/>
        <item x="1092"/>
        <item x="882"/>
        <item x="263"/>
        <item x="379"/>
        <item x="317"/>
        <item x="429"/>
        <item x="117"/>
        <item x="1854"/>
        <item x="1507"/>
        <item x="589"/>
        <item x="1818"/>
        <item x="1063"/>
        <item x="187"/>
        <item x="450"/>
        <item x="150"/>
        <item x="1187"/>
        <item x="544"/>
        <item x="163"/>
        <item x="889"/>
        <item x="289"/>
        <item x="9"/>
        <item x="1870"/>
        <item x="875"/>
        <item x="1760"/>
        <item x="892"/>
        <item x="1551"/>
        <item x="1191"/>
        <item x="831"/>
        <item x="1282"/>
        <item x="1604"/>
        <item x="716"/>
        <item x="926"/>
        <item x="1170"/>
        <item x="358"/>
        <item x="236"/>
        <item x="490"/>
        <item x="754"/>
        <item x="1273"/>
        <item x="964"/>
        <item x="316"/>
        <item x="65"/>
        <item x="1645"/>
        <item x="1146"/>
        <item x="408"/>
        <item x="253"/>
        <item x="1503"/>
        <item x="121"/>
        <item x="1021"/>
        <item x="378"/>
        <item x="1647"/>
        <item x="653"/>
        <item x="1258"/>
        <item x="1118"/>
        <item x="1826"/>
        <item x="464"/>
        <item x="993"/>
        <item x="1244"/>
        <item x="1875"/>
        <item x="4"/>
        <item x="942"/>
        <item x="800"/>
        <item x="1549"/>
        <item x="210"/>
        <item x="31"/>
        <item x="1553"/>
        <item x="237"/>
        <item x="883"/>
        <item x="1670"/>
        <item x="1496"/>
        <item x="320"/>
        <item x="1825"/>
        <item x="697"/>
        <item x="994"/>
        <item x="311"/>
        <item x="806"/>
        <item x="1667"/>
        <item x="1518"/>
        <item x="1856"/>
        <item x="1190"/>
        <item x="556"/>
        <item x="281"/>
        <item x="772"/>
        <item x="254"/>
        <item x="1470"/>
        <item x="1450"/>
        <item x="66"/>
        <item x="775"/>
        <item x="587"/>
        <item x="768"/>
        <item x="145"/>
        <item x="1504"/>
        <item x="487"/>
        <item x="1867"/>
        <item x="118"/>
        <item x="1890"/>
        <item x="1349"/>
        <item x="131"/>
        <item x="204"/>
        <item x="1635"/>
        <item x="536"/>
        <item x="488"/>
        <item x="641"/>
        <item x="1205"/>
        <item x="1023"/>
        <item x="1029"/>
        <item x="503"/>
        <item x="1328"/>
        <item x="85"/>
        <item x="111"/>
        <item x="852"/>
        <item x="340"/>
        <item x="1911"/>
        <item x="178"/>
        <item x="776"/>
        <item x="139"/>
        <item x="231"/>
        <item x="1310"/>
        <item x="900"/>
        <item x="63"/>
        <item x="1505"/>
        <item x="30"/>
        <item x="1437"/>
        <item x="721"/>
        <item x="1490"/>
        <item x="357"/>
        <item x="1704"/>
        <item x="1898"/>
        <item x="1433"/>
        <item x="940"/>
        <item x="1351"/>
        <item x="455"/>
        <item x="603"/>
        <item x="1554"/>
        <item x="97"/>
        <item x="293"/>
        <item x="537"/>
        <item x="482"/>
        <item x="215"/>
        <item x="1902"/>
        <item x="335"/>
        <item x="1113"/>
        <item x="780"/>
        <item x="1120"/>
        <item x="1742"/>
        <item x="508"/>
        <item x="1520"/>
        <item x="1756"/>
        <item x="1636"/>
        <item x="324"/>
        <item x="239"/>
        <item x="396"/>
        <item x="309"/>
        <item x="1096"/>
        <item x="1122"/>
        <item x="1602"/>
        <item x="130"/>
        <item x="245"/>
        <item x="7"/>
        <item x="1136"/>
        <item x="1153"/>
        <item x="714"/>
        <item x="91"/>
        <item x="1770"/>
        <item x="1164"/>
        <item x="351"/>
        <item x="1132"/>
        <item x="1876"/>
        <item x="1901"/>
        <item x="1487"/>
        <item x="647"/>
        <item x="143"/>
        <item x="115"/>
        <item x="1668"/>
        <item x="1052"/>
        <item x="1658"/>
        <item x="369"/>
        <item x="664"/>
        <item x="1722"/>
        <item x="1296"/>
        <item x="1240"/>
        <item x="234"/>
        <item x="1251"/>
        <item x="1675"/>
        <item x="707"/>
        <item x="1501"/>
        <item x="1842"/>
        <item x="1188"/>
        <item x="796"/>
        <item x="1109"/>
        <item x="1717"/>
        <item x="1881"/>
        <item x="213"/>
        <item x="1345"/>
        <item x="1583"/>
        <item x="637"/>
        <item x="930"/>
        <item x="1364"/>
        <item x="1000"/>
        <item x="1368"/>
        <item x="987"/>
        <item x="321"/>
        <item x="897"/>
        <item x="548"/>
        <item x="207"/>
        <item x="1277"/>
        <item x="791"/>
        <item x="1623"/>
        <item x="1388"/>
        <item x="1131"/>
        <item x="657"/>
        <item x="1439"/>
        <item x="473"/>
        <item x="579"/>
        <item x="1772"/>
        <item x="433"/>
        <item x="1208"/>
        <item x="1570"/>
        <item x="20"/>
        <item x="981"/>
        <item x="1322"/>
        <item x="1101"/>
        <item x="183"/>
        <item x="410"/>
        <item x="1463"/>
        <item x="1679"/>
        <item x="1301"/>
        <item x="164"/>
        <item x="1072"/>
        <item x="997"/>
        <item x="1537"/>
        <item x="532"/>
        <item x="45"/>
        <item x="467"/>
        <item x="1458"/>
        <item x="835"/>
        <item x="123"/>
        <item x="1359"/>
        <item x="1405"/>
        <item x="1315"/>
        <item x="1365"/>
        <item x="1333"/>
        <item x="781"/>
        <item x="1380"/>
        <item x="1435"/>
        <item x="1086"/>
        <item x="173"/>
        <item x="414"/>
        <item x="683"/>
        <item x="1559"/>
        <item x="1377"/>
        <item x="214"/>
        <item x="1802"/>
        <item x="1558"/>
        <item x="1809"/>
        <item x="1580"/>
        <item x="438"/>
        <item x="1283"/>
        <item x="1015"/>
        <item x="494"/>
        <item x="1098"/>
        <item x="1761"/>
        <item x="1627"/>
        <item x="1624"/>
        <item x="1697"/>
        <item x="606"/>
        <item x="936"/>
        <item x="51"/>
        <item x="93"/>
        <item x="969"/>
        <item x="154"/>
        <item x="329"/>
        <item x="1079"/>
        <item x="1378"/>
        <item x="103"/>
        <item x="1446"/>
        <item x="991"/>
        <item x="774"/>
        <item x="1659"/>
        <item x="1827"/>
        <item x="602"/>
        <item x="60"/>
        <item x="746"/>
        <item x="1346"/>
        <item x="423"/>
        <item x="517"/>
        <item x="854"/>
        <item x="895"/>
        <item x="744"/>
        <item x="1811"/>
        <item x="1657"/>
        <item x="871"/>
        <item x="1257"/>
        <item x="1884"/>
        <item x="1340"/>
        <item x="1461"/>
        <item x="934"/>
        <item x="495"/>
        <item x="380"/>
        <item x="1495"/>
        <item x="1710"/>
        <item x="1869"/>
        <item x="472"/>
        <item x="452"/>
        <item x="607"/>
        <item x="1065"/>
        <item x="1370"/>
        <item x="1443"/>
        <item x="1224"/>
        <item x="199"/>
        <item x="238"/>
        <item x="757"/>
        <item x="1415"/>
        <item x="1837"/>
        <item x="968"/>
        <item x="915"/>
        <item x="1482"/>
        <item x="982"/>
        <item x="144"/>
        <item x="264"/>
        <item x="1176"/>
        <item x="24"/>
        <item x="1523"/>
        <item x="106"/>
        <item x="463"/>
        <item x="1302"/>
        <item x="769"/>
        <item x="48"/>
        <item x="1822"/>
        <item x="363"/>
        <item x="601"/>
        <item x="1330"/>
        <item x="18"/>
        <item x="1221"/>
        <item x="1012"/>
        <item x="594"/>
        <item x="1213"/>
        <item x="1644"/>
        <item x="938"/>
        <item x="190"/>
        <item x="1055"/>
        <item x="691"/>
        <item x="629"/>
        <item x="1678"/>
        <item x="1895"/>
        <item x="758"/>
        <item x="1003"/>
        <item x="1806"/>
        <item x="440"/>
        <item x="1596"/>
        <item x="1713"/>
        <item x="441"/>
        <item x="573"/>
        <item x="505"/>
        <item x="1858"/>
        <item x="1861"/>
        <item x="770"/>
        <item x="287"/>
        <item x="133"/>
        <item x="925"/>
        <item x="1516"/>
        <item x="1412"/>
        <item x="64"/>
        <item x="1207"/>
        <item x="1863"/>
        <item x="1018"/>
        <item x="366"/>
        <item x="23"/>
        <item x="126"/>
        <item x="745"/>
        <item x="838"/>
        <item x="680"/>
        <item x="1904"/>
        <item x="1238"/>
        <item x="1515"/>
        <item x="1648"/>
        <item x="1619"/>
        <item x="71"/>
        <item x="1780"/>
        <item x="266"/>
        <item x="1919"/>
        <item x="1743"/>
        <item x="246"/>
        <item x="1417"/>
        <item x="1307"/>
        <item x="841"/>
        <item x="1753"/>
        <item x="160"/>
        <item x="1256"/>
        <item x="84"/>
        <item x="120"/>
        <item x="1777"/>
        <item x="493"/>
        <item x="1044"/>
        <item x="422"/>
        <item x="551"/>
        <item x="1360"/>
        <item x="867"/>
        <item x="975"/>
        <item x="79"/>
        <item x="442"/>
        <item x="1168"/>
        <item x="216"/>
        <item x="119"/>
        <item x="475"/>
        <item x="1759"/>
        <item x="581"/>
        <item x="568"/>
        <item x="799"/>
        <item x="1087"/>
        <item x="306"/>
        <item x="1868"/>
        <item x="1601"/>
        <item x="1154"/>
        <item x="288"/>
        <item x="1239"/>
        <item x="174"/>
        <item x="1886"/>
        <item x="256"/>
        <item x="260"/>
        <item x="686"/>
        <item x="627"/>
        <item x="301"/>
        <item x="413"/>
        <item x="319"/>
        <item x="1220"/>
        <item x="16"/>
        <item x="1699"/>
        <item x="148"/>
        <item x="409"/>
        <item x="1027"/>
        <item x="1462"/>
        <item x="156"/>
        <item x="407"/>
        <item x="1413"/>
        <item x="1640"/>
        <item x="1225"/>
        <item x="1882"/>
        <item x="766"/>
        <item x="723"/>
        <item x="1304"/>
        <item x="376"/>
        <item x="1652"/>
        <item x="331"/>
        <item x="169"/>
        <item x="756"/>
        <item x="1401"/>
        <item x="112"/>
        <item x="529"/>
        <item x="1260"/>
        <item x="1083"/>
        <item x="220"/>
        <item x="924"/>
        <item x="550"/>
        <item x="244"/>
        <item x="515"/>
        <item x="249"/>
        <item x="1231"/>
        <item x="751"/>
        <item x="29"/>
        <item x="225"/>
        <item x="1286"/>
        <item x="185"/>
        <item x="853"/>
        <item x="470"/>
        <item x="1508"/>
        <item x="483"/>
        <item x="1104"/>
        <item x="675"/>
        <item x="565"/>
        <item x="1698"/>
        <item x="638"/>
        <item x="1586"/>
        <item x="446"/>
        <item x="519"/>
        <item x="1254"/>
        <item x="825"/>
        <item x="1609"/>
        <item x="1305"/>
        <item x="1067"/>
        <item x="1227"/>
        <item x="69"/>
        <item x="1246"/>
        <item x="1790"/>
        <item x="386"/>
        <item x="485"/>
        <item x="1512"/>
        <item x="771"/>
        <item x="567"/>
        <item x="1879"/>
        <item x="448"/>
        <item x="977"/>
        <item x="1371"/>
        <item x="615"/>
        <item x="105"/>
        <item x="1810"/>
        <item x="135"/>
        <item x="1915"/>
        <item x="461"/>
        <item x="1592"/>
        <item x="1030"/>
        <item x="1855"/>
        <item x="1291"/>
        <item x="372"/>
        <item x="332"/>
        <item x="726"/>
        <item x="908"/>
        <item x="1686"/>
        <item x="1077"/>
        <item x="1792"/>
        <item x="400"/>
        <item x="1045"/>
        <item x="299"/>
        <item x="1215"/>
        <item x="1706"/>
        <item x="1276"/>
        <item x="1897"/>
        <item x="77"/>
        <item x="755"/>
        <item x="1150"/>
        <item x="1718"/>
        <item x="192"/>
        <item x="509"/>
        <item x="708"/>
        <item x="116"/>
        <item x="1253"/>
        <item x="477"/>
        <item x="1192"/>
        <item x="1768"/>
        <item x="1233"/>
        <item x="261"/>
        <item x="1729"/>
        <item x="1569"/>
        <item x="282"/>
        <item x="858"/>
        <item x="1582"/>
        <item x="660"/>
        <item x="1440"/>
        <item x="405"/>
        <item x="1100"/>
        <item x="998"/>
        <item x="823"/>
        <item x="665"/>
        <item x="1400"/>
        <item x="873"/>
        <item x="177"/>
        <item x="273"/>
        <item x="465"/>
        <item x="1402"/>
        <item x="1625"/>
        <item x="1571"/>
        <item x="628"/>
        <item x="42"/>
        <item x="1335"/>
        <item x="1230"/>
        <item x="1268"/>
        <item x="1318"/>
        <item x="1685"/>
        <item x="1766"/>
        <item x="434"/>
        <item x="1089"/>
        <item x="1447"/>
        <item x="1800"/>
        <item x="458"/>
        <item x="1141"/>
        <item x="1486"/>
        <item x="907"/>
        <item x="1877"/>
        <item x="73"/>
        <item x="1893"/>
        <item x="382"/>
        <item x="1428"/>
        <item x="1285"/>
        <item x="1057"/>
        <item x="1324"/>
        <item x="1352"/>
        <item x="1732"/>
        <item x="694"/>
        <item x="1832"/>
        <item x="1453"/>
        <item x="1891"/>
        <item x="1521"/>
        <item x="527"/>
        <item x="1736"/>
        <item x="582"/>
        <item x="1078"/>
        <item x="1781"/>
        <item x="338"/>
        <item x="1031"/>
        <item x="1223"/>
        <item x="447"/>
        <item x="70"/>
        <item x="1112"/>
        <item x="416"/>
        <item x="577"/>
        <item x="903"/>
        <item x="1331"/>
        <item x="1016"/>
        <item x="367"/>
        <item x="962"/>
        <item x="262"/>
        <item x="229"/>
        <item x="636"/>
        <item x="76"/>
        <item x="292"/>
        <item x="327"/>
        <item x="1653"/>
        <item x="168"/>
        <item x="1831"/>
        <item x="980"/>
        <item x="1467"/>
        <item x="175"/>
        <item x="624"/>
        <item x="193"/>
        <item x="524"/>
        <item x="635"/>
        <item x="866"/>
        <item x="986"/>
        <item x="1689"/>
        <item x="1607"/>
        <item x="804"/>
        <item x="1786"/>
        <item x="195"/>
        <item x="617"/>
        <item x="1308"/>
        <item x="140"/>
        <item x="201"/>
        <item x="1372"/>
        <item x="28"/>
        <item x="1431"/>
        <item x="1595"/>
        <item x="773"/>
        <item x="650"/>
        <item x="1452"/>
        <item x="880"/>
        <item x="186"/>
        <item x="184"/>
        <item x="1673"/>
        <item x="788"/>
        <item x="1600"/>
        <item x="1566"/>
        <item x="953"/>
        <item x="1124"/>
        <item x="1749"/>
        <item x="847"/>
        <item x="1281"/>
        <item x="1892"/>
        <item x="323"/>
        <item x="506"/>
        <item x="313"/>
        <item x="1680"/>
        <item x="881"/>
        <item x="976"/>
        <item x="1004"/>
        <item x="764"/>
        <item x="1471"/>
        <item x="1779"/>
        <item x="1849"/>
        <item x="1386"/>
        <item x="561"/>
        <item x="540"/>
        <item x="1133"/>
        <item x="127"/>
        <item x="1536"/>
        <item x="801"/>
        <item x="1865"/>
        <item x="591"/>
        <item x="67"/>
        <item x="411"/>
        <item x="1524"/>
        <item x="1095"/>
        <item x="270"/>
        <item x="811"/>
        <item x="777"/>
        <item x="1140"/>
        <item x="530"/>
        <item x="1846"/>
        <item x="1407"/>
        <item x="480"/>
        <item x="1814"/>
        <item x="457"/>
        <item x="209"/>
        <item x="1840"/>
        <item x="552"/>
        <item x="484"/>
        <item x="1454"/>
        <item x="673"/>
        <item x="946"/>
        <item x="840"/>
        <item x="704"/>
        <item x="690"/>
        <item x="933"/>
        <item x="1726"/>
        <item x="1464"/>
        <item x="95"/>
        <item x="1494"/>
        <item x="1733"/>
        <item x="739"/>
        <item x="988"/>
        <item x="1864"/>
        <item x="1740"/>
        <item x="1295"/>
        <item x="50"/>
        <item x="1047"/>
        <item x="1731"/>
        <item x="1278"/>
        <item x="518"/>
        <item x="1152"/>
        <item x="874"/>
        <item x="1643"/>
        <item x="1920"/>
        <item x="1493"/>
        <item x="1263"/>
        <item x="337"/>
        <item x="1654"/>
        <item x="466"/>
        <item x="1773"/>
        <item x="499"/>
        <item x="110"/>
        <item x="1357"/>
        <item x="1725"/>
        <item x="430"/>
        <item x="1676"/>
        <item x="1803"/>
        <item x="1017"/>
        <item x="1081"/>
        <item x="1918"/>
        <item x="243"/>
        <item x="870"/>
        <item x="613"/>
        <item x="906"/>
        <item x="782"/>
        <item x="1457"/>
        <item x="1130"/>
        <item x="1438"/>
        <item x="1565"/>
        <item x="1813"/>
        <item x="1398"/>
        <item x="355"/>
        <item x="662"/>
        <item x="667"/>
        <item x="1416"/>
        <item x="911"/>
        <item x="1532"/>
        <item x="1102"/>
        <item x="826"/>
        <item x="973"/>
        <item x="572"/>
        <item x="507"/>
        <item x="504"/>
        <item x="1339"/>
        <item x="706"/>
        <item x="1821"/>
        <item x="1032"/>
        <item x="272"/>
        <item x="1134"/>
        <item x="1762"/>
        <item x="1172"/>
        <item x="352"/>
        <item x="648"/>
        <item x="1889"/>
        <item x="834"/>
        <item x="586"/>
        <item x="830"/>
        <item x="1844"/>
        <item x="885"/>
        <item x="398"/>
        <item x="1712"/>
        <item x="232"/>
        <item x="1538"/>
        <item x="1611"/>
        <item x="558"/>
        <item x="1688"/>
        <item x="848"/>
        <item x="1649"/>
        <item x="693"/>
        <item x="886"/>
        <item x="1259"/>
        <item x="104"/>
        <item x="805"/>
        <item x="1479"/>
        <item x="525"/>
        <item x="622"/>
        <item x="1337"/>
        <item x="1211"/>
        <item x="1483"/>
        <item x="314"/>
        <item x="1234"/>
        <item x="1392"/>
        <item x="47"/>
        <item x="1705"/>
        <item x="1721"/>
        <item x="859"/>
        <item x="715"/>
        <item x="122"/>
        <item x="1449"/>
        <item x="1375"/>
        <item x="663"/>
        <item x="632"/>
        <item x="1878"/>
        <item x="248"/>
        <item x="1562"/>
        <item x="1612"/>
        <item x="651"/>
        <item x="738"/>
        <item x="795"/>
        <item x="1816"/>
        <item x="1701"/>
        <item x="1196"/>
        <item x="100"/>
        <item x="876"/>
        <item x="932"/>
        <item x="290"/>
        <item x="211"/>
        <item x="159"/>
        <item x="1408"/>
        <item x="502"/>
        <item x="1279"/>
        <item x="176"/>
        <item x="166"/>
        <item x="353"/>
        <item x="643"/>
        <item x="829"/>
        <item x="82"/>
        <item x="1418"/>
        <item x="1871"/>
        <item x="1216"/>
        <item x="397"/>
        <item x="1528"/>
        <item x="862"/>
        <item x="600"/>
        <item x="1321"/>
        <item x="1445"/>
        <item x="129"/>
        <item x="1342"/>
        <item x="492"/>
        <item x="1594"/>
        <item x="1799"/>
        <item x="1880"/>
        <item x="274"/>
        <item x="1174"/>
        <item x="1853"/>
        <item x="356"/>
        <item x="1716"/>
        <item x="1738"/>
        <item x="1248"/>
        <item x="1783"/>
        <item x="1336"/>
        <item x="1002"/>
        <item x="361"/>
        <item x="1421"/>
        <item x="1677"/>
        <item x="1484"/>
        <item x="1687"/>
        <item x="107"/>
        <item x="1068"/>
        <item x="334"/>
        <item x="1069"/>
        <item x="412"/>
        <item x="1473"/>
        <item x="1917"/>
        <item x="688"/>
        <item x="152"/>
        <item x="588"/>
        <item x="402"/>
        <item x="1048"/>
        <item x="151"/>
        <item x="280"/>
        <item x="2"/>
        <item x="188"/>
        <item x="902"/>
        <item x="1429"/>
        <item x="1793"/>
        <item x="1013"/>
        <item x="52"/>
        <item x="257"/>
        <item x="75"/>
        <item x="725"/>
        <item x="1026"/>
        <item x="599"/>
        <item x="365"/>
        <item x="102"/>
        <item x="1025"/>
        <item x="109"/>
        <item x="1442"/>
        <item x="905"/>
        <item x="710"/>
        <item x="923"/>
        <item x="1639"/>
        <item x="1598"/>
        <item x="645"/>
        <item x="325"/>
        <item x="689"/>
        <item x="68"/>
        <item x="501"/>
        <item x="255"/>
        <item x="12"/>
        <item x="1576"/>
        <item x="1615"/>
        <item x="1755"/>
        <item x="224"/>
        <item x="1641"/>
        <item x="1745"/>
        <item x="741"/>
        <item x="1374"/>
        <item x="1529"/>
        <item x="1474"/>
        <item x="1175"/>
        <item x="259"/>
        <item x="1568"/>
        <item x="1620"/>
        <item x="1700"/>
        <item x="469"/>
        <item x="740"/>
        <item x="1535"/>
        <item x="1138"/>
        <item x="1173"/>
        <item x="226"/>
        <item x="896"/>
        <item x="180"/>
        <item x="432"/>
        <item x="1007"/>
        <item x="534"/>
        <item x="1341"/>
        <item x="1669"/>
        <item x="1241"/>
        <item x="1177"/>
        <item x="1903"/>
        <item x="101"/>
        <item x="1707"/>
        <item x="989"/>
        <item x="815"/>
        <item x="375"/>
        <item x="1179"/>
        <item x="1156"/>
        <item x="1819"/>
        <item x="837"/>
        <item x="970"/>
        <item x="1419"/>
        <item x="427"/>
        <item x="1472"/>
        <item x="620"/>
        <item x="1347"/>
        <item x="1578"/>
        <item x="1126"/>
        <item x="1434"/>
        <item x="360"/>
        <item x="952"/>
        <item x="950"/>
        <item x="401"/>
        <item x="1522"/>
        <item x="198"/>
        <item x="658"/>
        <item x="476"/>
        <item x="943"/>
        <item x="294"/>
        <item x="655"/>
        <item x="809"/>
        <item x="1581"/>
        <item x="1084"/>
        <item x="985"/>
        <item x="614"/>
        <item x="1202"/>
        <item x="955"/>
        <item x="1597"/>
        <item x="1579"/>
        <item x="399"/>
        <item x="302"/>
        <item x="919"/>
        <item x="1414"/>
        <item x="1111"/>
        <item x="621"/>
        <item x="444"/>
        <item x="330"/>
        <item x="208"/>
        <item x="1466"/>
        <item x="171"/>
        <item x="1567"/>
        <item x="1734"/>
        <item x="1525"/>
        <item x="753"/>
        <item x="760"/>
        <item x="1269"/>
        <item x="1560"/>
        <item x="944"/>
        <item x="922"/>
        <item x="315"/>
        <item x="596"/>
        <item x="990"/>
        <item x="1851"/>
        <item x="844"/>
        <item x="1455"/>
        <item x="1265"/>
        <item x="827"/>
        <item x="1117"/>
        <item x="1129"/>
        <item x="814"/>
        <item x="390"/>
        <item x="88"/>
        <item x="478"/>
        <item x="14"/>
        <item x="1198"/>
        <item x="1719"/>
        <item x="1249"/>
        <item x="605"/>
        <item x="468"/>
        <item x="856"/>
        <item x="1165"/>
        <item x="57"/>
        <item x="146"/>
        <item x="1110"/>
        <item x="824"/>
        <item x="370"/>
        <item x="604"/>
        <item x="1288"/>
        <item x="630"/>
        <item x="1801"/>
        <item x="78"/>
        <item x="420"/>
        <item x="1316"/>
        <item x="1530"/>
        <item x="1622"/>
        <item x="610"/>
        <item x="1787"/>
        <item x="1033"/>
        <item x="949"/>
        <item x="391"/>
        <item x="580"/>
        <item x="1300"/>
        <item x="672"/>
        <item x="1655"/>
        <item x="1381"/>
        <item x="728"/>
        <item x="1556"/>
        <item x="296"/>
        <item x="1812"/>
        <item x="640"/>
        <item x="887"/>
        <item x="1166"/>
        <item x="436"/>
        <item x="1123"/>
        <item x="1465"/>
        <item x="1010"/>
        <item x="1275"/>
        <item x="1204"/>
        <item x="1041"/>
        <item x="931"/>
        <item x="443"/>
        <item x="1662"/>
        <item x="1546"/>
        <item x="513"/>
        <item x="574"/>
        <item x="1739"/>
        <item x="1613"/>
        <item x="404"/>
        <item x="426"/>
        <item x="789"/>
        <item x="1397"/>
        <item x="388"/>
        <item x="228"/>
        <item x="1866"/>
        <item x="1683"/>
        <item x="1492"/>
        <item x="1795"/>
        <item x="1577"/>
        <item x="864"/>
        <item x="1228"/>
        <item x="1090"/>
        <item x="1019"/>
        <item x="1632"/>
        <item x="1563"/>
        <item x="1843"/>
        <item x="722"/>
        <item x="913"/>
        <item x="454"/>
        <item x="1857"/>
        <item x="1629"/>
        <item x="1409"/>
        <item x="560"/>
        <item x="1746"/>
        <item x="1255"/>
        <item x="682"/>
        <item x="1243"/>
        <item x="1085"/>
        <item x="595"/>
        <item x="719"/>
        <item x="1820"/>
        <item x="8"/>
        <item x="1656"/>
        <item x="1798"/>
        <item x="1193"/>
        <item x="1424"/>
        <item x="1682"/>
        <item x="1014"/>
        <item x="1119"/>
        <item x="1432"/>
        <item x="1557"/>
        <item x="785"/>
        <item x="1149"/>
        <item x="868"/>
        <item x="1488"/>
        <item x="1550"/>
        <item x="197"/>
        <item x="206"/>
        <item x="526"/>
        <item x="421"/>
        <item x="221"/>
        <item x="283"/>
        <item x="593"/>
        <item x="308"/>
        <item x="966"/>
        <item x="633"/>
        <item x="1094"/>
        <item x="984"/>
        <item x="428"/>
        <item x="1829"/>
        <item x="1054"/>
        <item x="284"/>
        <item x="1334"/>
        <item x="162"/>
        <item x="909"/>
        <item x="1261"/>
        <item x="1500"/>
        <item x="1608"/>
        <item x="1157"/>
        <item x="19"/>
        <item x="1203"/>
        <item x="437"/>
        <item x="1860"/>
        <item x="812"/>
        <item x="553"/>
        <item x="235"/>
        <item x="891"/>
        <item x="1468"/>
        <item x="1344"/>
        <item x="958"/>
        <item x="1367"/>
        <item x="819"/>
        <item x="1784"/>
        <item x="786"/>
        <item x="1427"/>
        <item x="1475"/>
        <item x="125"/>
        <item x="1778"/>
        <item x="1361"/>
        <item x="963"/>
        <item x="81"/>
        <item x="1671"/>
        <item x="11"/>
        <item x="1750"/>
        <item x="1391"/>
        <item x="735"/>
        <item x="205"/>
        <item x="1236"/>
        <item x="217"/>
        <item x="1406"/>
        <item x="843"/>
        <item x="947"/>
        <item x="1008"/>
        <item x="1572"/>
        <item x="1262"/>
        <item x="285"/>
        <item x="794"/>
        <item x="1384"/>
        <item x="888"/>
        <item x="598"/>
        <item x="1070"/>
        <item x="546"/>
        <item x="575"/>
        <item x="616"/>
        <item x="275"/>
        <item x="1091"/>
        <item x="793"/>
        <item x="371"/>
        <item x="240"/>
        <item x="884"/>
        <item x="1824"/>
        <item x="486"/>
        <item x="1859"/>
        <item x="514"/>
        <item x="343"/>
        <item x="32"/>
        <item x="1921"/>
        <item x="1489"/>
        <item x="1852"/>
        <item x="1796"/>
        <item x="1908"/>
        <item x="512"/>
        <item x="920"/>
        <item x="927"/>
        <item x="310"/>
        <item x="497"/>
        <item x="670"/>
        <item x="1757"/>
        <item x="1028"/>
        <item x="1907"/>
        <item x="1663"/>
        <item x="1024"/>
        <item x="790"/>
        <item x="1539"/>
        <item x="736"/>
        <item x="1848"/>
        <item x="1785"/>
        <item x="954"/>
        <item x="1883"/>
        <item x="1214"/>
        <item x="1080"/>
        <item x="821"/>
        <item x="271"/>
        <item x="1167"/>
        <item x="1058"/>
        <item x="1264"/>
        <item x="1060"/>
        <item x="959"/>
        <item x="1053"/>
        <item x="899"/>
        <item x="703"/>
        <item x="1121"/>
        <item x="692"/>
        <item x="456"/>
        <item x="498"/>
        <item x="1748"/>
        <item x="816"/>
        <item x="1181"/>
        <item x="1237"/>
        <item x="312"/>
        <item x="1634"/>
        <item x="1720"/>
        <item x="1082"/>
        <item x="611"/>
        <item x="34"/>
        <item x="678"/>
        <item x="500"/>
        <item x="578"/>
        <item x="1491"/>
        <item x="1900"/>
        <item x="717"/>
        <item x="387"/>
        <item x="971"/>
        <item x="474"/>
        <item x="1573"/>
        <item x="1162"/>
        <item x="711"/>
        <item x="419"/>
        <item x="1510"/>
        <item x="445"/>
        <item x="359"/>
        <item x="585"/>
        <item x="1280"/>
        <item x="1226"/>
        <item x="543"/>
        <item x="822"/>
        <item x="26"/>
        <item x="1509"/>
        <item x="978"/>
        <item x="759"/>
        <item x="808"/>
        <item x="1293"/>
        <item x="1116"/>
        <item x="1606"/>
        <item x="1575"/>
        <item x="747"/>
        <item x="569"/>
        <item x="1075"/>
        <item x="1637"/>
        <item x="1006"/>
        <item x="1835"/>
        <item x="268"/>
        <item x="25"/>
        <item x="1201"/>
        <item x="562"/>
        <item x="1144"/>
        <item x="1534"/>
        <item x="992"/>
        <item x="592"/>
        <item x="570"/>
        <item x="491"/>
        <item x="1385"/>
        <item x="597"/>
        <item x="87"/>
        <item x="1299"/>
        <item x="1828"/>
        <item x="1297"/>
        <item x="1022"/>
        <item x="734"/>
        <item x="564"/>
        <item x="1910"/>
        <item x="1885"/>
        <item x="750"/>
        <item x="479"/>
        <item x="666"/>
        <item x="712"/>
        <item x="1834"/>
        <item x="318"/>
        <item x="623"/>
        <item x="878"/>
        <item x="1348"/>
        <item x="894"/>
        <item x="1914"/>
        <item x="92"/>
        <item x="247"/>
        <item x="1724"/>
        <item x="857"/>
        <item x="1369"/>
        <item x="1184"/>
        <item x="124"/>
        <item x="1661"/>
        <item x="383"/>
        <item x="904"/>
        <item x="1519"/>
        <item x="1769"/>
        <item x="1350"/>
        <item x="833"/>
        <item x="677"/>
        <item x="1066"/>
        <item x="149"/>
        <item x="167"/>
        <item x="1896"/>
        <item x="1485"/>
        <item x="749"/>
        <item x="1194"/>
        <item x="1108"/>
        <item x="1839"/>
        <item x="1325"/>
        <item x="1815"/>
        <item x="89"/>
        <item x="520"/>
        <item x="21"/>
        <item x="138"/>
        <item x="362"/>
        <item x="137"/>
        <item x="1730"/>
        <item x="1161"/>
        <item x="1808"/>
        <item x="304"/>
        <item x="1210"/>
        <item x="1219"/>
        <item x="1574"/>
        <item x="1005"/>
        <item x="549"/>
        <item x="921"/>
        <item x="983"/>
        <item x="350"/>
        <item x="1650"/>
        <item x="1527"/>
        <item x="1694"/>
        <item x="1862"/>
        <item x="364"/>
        <item x="1584"/>
        <item x="451"/>
        <item x="158"/>
        <item x="1894"/>
        <item x="1545"/>
        <item x="1271"/>
        <item x="724"/>
        <item x="1912"/>
        <item x="136"/>
        <item x="1073"/>
        <item x="1888"/>
        <item x="733"/>
        <item x="863"/>
        <item x="531"/>
        <item x="1425"/>
        <item x="1049"/>
        <item x="157"/>
        <item x="1338"/>
        <item x="928"/>
        <item x="1913"/>
        <item x="860"/>
        <item x="155"/>
        <item x="1373"/>
        <item x="99"/>
        <item x="1630"/>
        <item x="1323"/>
        <item x="431"/>
        <item x="15"/>
        <item x="223"/>
        <item x="1526"/>
        <item x="1093"/>
        <item x="917"/>
        <item x="1038"/>
        <item x="83"/>
        <item x="1646"/>
        <item x="1125"/>
        <item x="1614"/>
        <item x="818"/>
        <item x="918"/>
        <item x="1460"/>
        <item x="10"/>
        <item x="269"/>
        <item x="336"/>
        <item x="555"/>
        <item x="227"/>
        <item x="453"/>
        <item x="828"/>
        <item x="945"/>
        <item x="762"/>
        <item x="1217"/>
        <item x="1735"/>
        <item x="1476"/>
        <item x="1823"/>
        <item x="995"/>
        <item x="1356"/>
        <item x="1317"/>
        <item x="1046"/>
        <item x="649"/>
        <item x="695"/>
        <item x="798"/>
        <item x="1836"/>
        <item x="845"/>
        <item x="489"/>
        <item x="1587"/>
        <item x="1585"/>
        <item x="344"/>
        <item x="90"/>
        <item x="1469"/>
        <item x="730"/>
        <item x="1062"/>
        <item x="1036"/>
        <item x="1137"/>
        <item x="305"/>
        <item x="1638"/>
        <item x="652"/>
        <item x="241"/>
        <item x="865"/>
        <item x="1148"/>
        <item x="1292"/>
        <item x="910"/>
        <item x="1209"/>
        <item x="676"/>
        <item x="303"/>
        <item x="1266"/>
        <item x="1329"/>
        <item x="242"/>
        <item x="571"/>
        <item x="1379"/>
        <item x="696"/>
        <item x="767"/>
        <item x="395"/>
        <item x="165"/>
        <item x="1272"/>
        <item x="979"/>
        <item x="1311"/>
        <item x="3"/>
        <item x="179"/>
        <item x="1709"/>
        <item x="417"/>
        <item x="1703"/>
        <item x="1782"/>
        <item x="1355"/>
        <item x="1478"/>
        <item x="1498"/>
        <item x="1320"/>
        <item x="1845"/>
        <item x="538"/>
        <item x="218"/>
        <item x="1061"/>
        <item x="35"/>
        <item x="1197"/>
        <item x="342"/>
        <item x="59"/>
        <item x="1506"/>
        <item x="36"/>
        <item x="170"/>
        <item x="1001"/>
        <item x="1744"/>
        <item x="1754"/>
        <item x="1480"/>
        <item x="1666"/>
        <item x="687"/>
        <item x="153"/>
        <item x="999"/>
        <item x="147"/>
        <item x="1294"/>
        <item x="849"/>
        <item x="634"/>
        <item x="142"/>
        <item x="1617"/>
        <item x="1393"/>
        <item x="1513"/>
        <item x="389"/>
        <item x="1695"/>
        <item x="702"/>
        <item x="674"/>
        <item x="1794"/>
        <item x="435"/>
        <item x="1775"/>
        <item x="1105"/>
        <item x="1229"/>
        <item x="1158"/>
        <item x="850"/>
        <item x="40"/>
        <item x="1135"/>
        <item x="787"/>
        <item x="394"/>
        <item x="1517"/>
        <item x="202"/>
        <item x="368"/>
        <item x="1872"/>
        <item x="191"/>
        <item x="542"/>
        <item x="1423"/>
        <item x="1309"/>
        <item x="898"/>
        <item x="1728"/>
        <item x="965"/>
        <item x="1899"/>
        <item x="1807"/>
        <item x="328"/>
        <item x="533"/>
        <item x="1681"/>
        <item x="1684"/>
        <item x="55"/>
        <item x="1451"/>
        <item x="222"/>
        <item x="778"/>
        <item x="141"/>
        <item x="424"/>
        <item x="1274"/>
        <item x="1186"/>
        <item x="839"/>
        <item x="972"/>
        <item x="914"/>
        <item x="128"/>
        <item x="1222"/>
        <item x="1252"/>
        <item x="439"/>
        <item x="901"/>
        <item x="700"/>
        <item x="1206"/>
        <item x="576"/>
        <item x="1674"/>
        <item x="300"/>
        <item x="72"/>
        <item x="194"/>
        <item x="522"/>
        <item x="1298"/>
        <item x="1618"/>
        <item x="763"/>
        <item x="1396"/>
        <item x="1050"/>
        <item x="230"/>
        <item x="345"/>
        <item x="729"/>
        <item x="817"/>
        <item x="528"/>
        <item x="1621"/>
        <item x="1051"/>
        <item x="1430"/>
        <item x="1838"/>
        <item x="1183"/>
        <item x="1287"/>
        <item x="1651"/>
        <item x="1160"/>
        <item x="1142"/>
        <item x="41"/>
        <item x="803"/>
        <item x="1436"/>
        <item x="951"/>
        <item x="233"/>
        <item x="94"/>
        <item x="212"/>
        <item x="1332"/>
        <item x="1847"/>
        <item x="13"/>
        <item x="699"/>
        <item x="384"/>
        <item x="279"/>
        <item x="1715"/>
        <item x="348"/>
        <item x="1106"/>
        <item x="1390"/>
        <item x="1642"/>
        <item x="1774"/>
        <item x="56"/>
        <item x="893"/>
        <item x="196"/>
        <item x="219"/>
        <item x="1383"/>
        <item x="802"/>
        <item x="1247"/>
        <item x="418"/>
        <item x="846"/>
        <item x="1723"/>
        <item x="1343"/>
        <item x="462"/>
        <item x="1590"/>
        <item x="929"/>
        <item x="1376"/>
        <item x="1056"/>
        <item x="425"/>
        <item x="516"/>
        <item x="1544"/>
        <item x="956"/>
        <item x="1626"/>
        <item x="1076"/>
        <item x="792"/>
        <item x="748"/>
        <item x="1477"/>
        <item x="948"/>
        <item x="1805"/>
        <item x="1037"/>
        <item x="1874"/>
        <item x="1314"/>
        <item x="1603"/>
        <item x="511"/>
        <item x="1009"/>
        <item x="608"/>
        <item x="656"/>
        <item x="341"/>
        <item x="203"/>
        <item x="727"/>
        <item x="713"/>
        <item x="1765"/>
        <item x="566"/>
        <item x="108"/>
        <item x="1555"/>
        <item x="813"/>
        <item x="671"/>
        <item x="797"/>
        <item x="1758"/>
        <item x="1410"/>
        <item x="1665"/>
        <item x="1664"/>
        <item x="1693"/>
        <item x="890"/>
        <item x="842"/>
        <item x="1267"/>
        <item x="61"/>
        <item x="1199"/>
        <item x="1200"/>
        <item x="392"/>
        <item x="1737"/>
        <item x="709"/>
        <item x="590"/>
        <item x="644"/>
        <item x="1511"/>
        <item x="1711"/>
        <item x="278"/>
        <item x="1531"/>
        <item x="1708"/>
        <item x="639"/>
        <item x="1752"/>
        <item x="1387"/>
        <item x="626"/>
        <item x="54"/>
        <item x="1107"/>
        <item x="1448"/>
        <item x="742"/>
        <item x="377"/>
        <item x="1088"/>
        <item x="1163"/>
        <item x="810"/>
        <item x="1763"/>
        <item x="1290"/>
        <item x="134"/>
        <item x="1399"/>
        <item x="547"/>
        <item x="1363"/>
        <item x="1245"/>
        <item x="46"/>
        <item x="1887"/>
        <item x="1906"/>
        <item x="669"/>
        <item x="1232"/>
        <item x="752"/>
        <item x="113"/>
        <item x="277"/>
        <item x="44"/>
        <item x="625"/>
        <item x="1420"/>
        <item x="172"/>
        <item x="961"/>
        <item x="1691"/>
        <item x="941"/>
        <item x="27"/>
        <item x="1593"/>
        <item x="49"/>
        <item x="1139"/>
        <item x="1776"/>
        <item x="654"/>
        <item x="618"/>
        <item x="1354"/>
        <item x="1764"/>
        <item x="1071"/>
        <item x="1788"/>
        <item x="783"/>
        <item x="1042"/>
        <item x="681"/>
        <item x="1459"/>
        <item x="1289"/>
        <item x="381"/>
        <item x="661"/>
        <item x="1751"/>
        <item x="1382"/>
        <item x="1702"/>
        <item x="181"/>
        <item x="22"/>
        <item x="1039"/>
        <item x="1250"/>
        <item x="642"/>
        <item x="1542"/>
        <item x="1561"/>
        <item x="481"/>
        <item x="1789"/>
        <item x="1182"/>
        <item x="37"/>
        <item x="1242"/>
        <item x="1541"/>
        <item x="349"/>
        <item x="1127"/>
        <item x="807"/>
        <item x="1456"/>
        <item x="820"/>
        <item x="732"/>
        <item x="668"/>
        <item x="347"/>
        <item x="1114"/>
        <item x="832"/>
        <item x="1313"/>
        <item x="619"/>
        <item x="132"/>
        <item x="1169"/>
        <item x="916"/>
        <item x="38"/>
        <item x="322"/>
        <item x="851"/>
        <item x="1064"/>
        <item x="1747"/>
        <item x="1195"/>
        <item x="267"/>
        <item x="1714"/>
        <item x="1841"/>
        <item x="1599"/>
        <item x="393"/>
        <item x="685"/>
        <item x="1591"/>
        <item x="939"/>
        <item x="1833"/>
        <item x="189"/>
        <item x="1905"/>
        <item x="1692"/>
        <item x="1610"/>
        <item x="326"/>
        <item x="39"/>
        <item x="1212"/>
        <item x="698"/>
        <item x="967"/>
        <item x="1605"/>
        <item x="1180"/>
        <item x="1312"/>
        <item x="251"/>
        <item x="1185"/>
        <item x="53"/>
        <item x="1588"/>
        <item x="1327"/>
        <item x="1"/>
        <item x="584"/>
        <item x="403"/>
        <item x="1099"/>
        <item x="1159"/>
        <item x="374"/>
        <item x="731"/>
        <item x="1128"/>
        <item x="346"/>
        <item x="291"/>
        <item x="297"/>
        <item x="354"/>
        <item x="1499"/>
        <item x="96"/>
        <item x="557"/>
        <item x="996"/>
        <item x="1035"/>
        <item x="1628"/>
        <item x="1411"/>
        <item x="1115"/>
        <item x="872"/>
        <item x="1426"/>
        <item x="1441"/>
        <item x="1616"/>
        <item x="1147"/>
        <item x="1767"/>
        <item x="1389"/>
        <item x="1548"/>
        <item x="705"/>
        <item x="459"/>
        <item x="743"/>
        <item x="1873"/>
        <item x="286"/>
        <item x="265"/>
        <item x="1804"/>
        <item x="385"/>
        <item x="1916"/>
        <item x="701"/>
        <item x="58"/>
        <item x="609"/>
        <item x="200"/>
        <item x="339"/>
        <item x="1151"/>
        <item x="1690"/>
        <item x="1270"/>
        <item x="1171"/>
        <item x="631"/>
        <item x="1404"/>
        <item x="298"/>
        <item x="1533"/>
        <item x="1395"/>
        <item x="43"/>
        <item x="855"/>
        <item x="612"/>
        <item x="960"/>
        <item x="1727"/>
        <item x="114"/>
        <item x="1145"/>
        <item x="879"/>
        <item x="583"/>
        <item x="659"/>
        <item x="1497"/>
        <item x="1444"/>
        <item x="258"/>
        <item x="295"/>
        <item x="957"/>
        <item t="default"/>
      </items>
    </pivotField>
    <pivotField showAll="0"/>
    <pivotField showAll="0"/>
  </pivotFields>
  <rowFields count="2">
    <field x="6"/>
    <field x="7"/>
  </rowFields>
  <rowItems count="21">
    <i>
      <x/>
    </i>
    <i r="1">
      <x v="2"/>
    </i>
    <i r="1">
      <x v="3"/>
    </i>
    <i r="1">
      <x v="8"/>
    </i>
    <i r="1">
      <x v="15"/>
    </i>
    <i>
      <x v="1"/>
    </i>
    <i r="1"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>
      <x v="2"/>
    </i>
    <i r="1">
      <x v="4"/>
    </i>
    <i r="1">
      <x v="5"/>
    </i>
    <i r="1">
      <x v="9"/>
    </i>
    <i r="1">
      <x v="16"/>
    </i>
    <i t="grand">
      <x/>
    </i>
  </rowItems>
  <colItems count="1">
    <i/>
  </colItems>
  <dataFields count="1">
    <dataField name="Sum of Sales" fld="20" baseField="0" baseItem="0"/>
  </dataFields>
  <chartFormats count="1"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54"/>
  <sheetViews>
    <sheetView tabSelected="1" topLeftCell="F1935" workbookViewId="0">
      <selection activeCell="X1954" sqref="X1954"/>
    </sheetView>
  </sheetViews>
  <sheetFormatPr defaultRowHeight="15" x14ac:dyDescent="0.25"/>
  <cols>
    <col min="1" max="1" width="0" hidden="1" customWidth="1"/>
    <col min="14" max="14" width="0" hidden="1" customWidth="1"/>
    <col min="19" max="21" width="0" hidden="1" customWidth="1"/>
    <col min="22" max="22" width="10.28515625" bestFit="1" customWidth="1"/>
    <col min="25" max="25" width="0" hidden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3008</v>
      </c>
    </row>
    <row r="2" spans="1:26" x14ac:dyDescent="0.25">
      <c r="A2">
        <v>20847</v>
      </c>
      <c r="B2" t="s">
        <v>25</v>
      </c>
      <c r="C2" s="2">
        <v>0.01</v>
      </c>
      <c r="D2" s="2">
        <v>2.84</v>
      </c>
      <c r="E2" s="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1">
        <v>42011</v>
      </c>
      <c r="U2" s="1">
        <v>42012</v>
      </c>
      <c r="V2" s="2">
        <v>4.5599999999999996</v>
      </c>
      <c r="W2">
        <v>4</v>
      </c>
      <c r="X2" s="2">
        <v>13.01</v>
      </c>
      <c r="Y2">
        <v>88522</v>
      </c>
      <c r="Z2">
        <f>W2*X2</f>
        <v>52.04</v>
      </c>
    </row>
    <row r="3" spans="1:26" x14ac:dyDescent="0.25">
      <c r="A3">
        <v>20228</v>
      </c>
      <c r="B3" t="s">
        <v>37</v>
      </c>
      <c r="C3" s="2">
        <v>0.02</v>
      </c>
      <c r="D3" s="2">
        <v>500.98</v>
      </c>
      <c r="E3" s="2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1">
        <v>42168</v>
      </c>
      <c r="U3" s="1">
        <v>42170</v>
      </c>
      <c r="V3" s="2">
        <v>4390.3665000000001</v>
      </c>
      <c r="W3">
        <v>12</v>
      </c>
      <c r="X3" s="2">
        <v>6362.85</v>
      </c>
      <c r="Y3">
        <v>90193</v>
      </c>
      <c r="Z3">
        <f t="shared" ref="Z3:Z66" si="0">W3*X3</f>
        <v>76354.200000000012</v>
      </c>
    </row>
    <row r="4" spans="1:26" x14ac:dyDescent="0.25">
      <c r="A4">
        <v>21776</v>
      </c>
      <c r="B4" t="s">
        <v>47</v>
      </c>
      <c r="C4" s="2">
        <v>0.06</v>
      </c>
      <c r="D4" s="2">
        <v>9.48</v>
      </c>
      <c r="E4" s="2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1">
        <v>42050</v>
      </c>
      <c r="U4" s="1">
        <v>42052</v>
      </c>
      <c r="V4" s="2">
        <v>-53.809600000000003</v>
      </c>
      <c r="W4">
        <v>22</v>
      </c>
      <c r="X4" s="2">
        <v>211.15</v>
      </c>
      <c r="Y4">
        <v>90192</v>
      </c>
      <c r="Z4">
        <f t="shared" si="0"/>
        <v>4645.3</v>
      </c>
    </row>
    <row r="5" spans="1:26" x14ac:dyDescent="0.25">
      <c r="A5">
        <v>24844</v>
      </c>
      <c r="B5" t="s">
        <v>56</v>
      </c>
      <c r="C5" s="2">
        <v>0.09</v>
      </c>
      <c r="D5" s="2">
        <v>78.69</v>
      </c>
      <c r="E5" s="2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1">
        <v>42136</v>
      </c>
      <c r="U5" s="1">
        <v>42138</v>
      </c>
      <c r="V5" s="2">
        <v>803.47050000000002</v>
      </c>
      <c r="W5">
        <v>16</v>
      </c>
      <c r="X5" s="2">
        <v>1164.45</v>
      </c>
      <c r="Y5">
        <v>86838</v>
      </c>
      <c r="Z5">
        <f t="shared" si="0"/>
        <v>18631.2</v>
      </c>
    </row>
    <row r="6" spans="1:26" x14ac:dyDescent="0.25">
      <c r="A6">
        <v>24846</v>
      </c>
      <c r="B6" t="s">
        <v>56</v>
      </c>
      <c r="C6" s="2">
        <v>0.08</v>
      </c>
      <c r="D6" s="2">
        <v>3.28</v>
      </c>
      <c r="E6" s="2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1">
        <v>42136</v>
      </c>
      <c r="U6" s="1">
        <v>42137</v>
      </c>
      <c r="V6" s="2">
        <v>-24.03</v>
      </c>
      <c r="W6">
        <v>7</v>
      </c>
      <c r="X6" s="2">
        <v>22.23</v>
      </c>
      <c r="Y6">
        <v>86838</v>
      </c>
      <c r="Z6">
        <f t="shared" si="0"/>
        <v>155.61000000000001</v>
      </c>
    </row>
    <row r="7" spans="1:26" x14ac:dyDescent="0.25">
      <c r="A7">
        <v>24847</v>
      </c>
      <c r="B7" t="s">
        <v>56</v>
      </c>
      <c r="C7" s="2">
        <v>0.05</v>
      </c>
      <c r="D7" s="2">
        <v>3.28</v>
      </c>
      <c r="E7" s="2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1">
        <v>42136</v>
      </c>
      <c r="U7" s="1">
        <v>42137</v>
      </c>
      <c r="V7" s="2">
        <v>-37.03</v>
      </c>
      <c r="W7">
        <v>4</v>
      </c>
      <c r="X7" s="2">
        <v>13.99</v>
      </c>
      <c r="Y7">
        <v>86838</v>
      </c>
      <c r="Z7">
        <f t="shared" si="0"/>
        <v>55.96</v>
      </c>
    </row>
    <row r="8" spans="1:26" x14ac:dyDescent="0.25">
      <c r="A8">
        <v>24848</v>
      </c>
      <c r="B8" t="s">
        <v>56</v>
      </c>
      <c r="C8" s="2">
        <v>0.05</v>
      </c>
      <c r="D8" s="2">
        <v>3.58</v>
      </c>
      <c r="E8" s="2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1">
        <v>42136</v>
      </c>
      <c r="U8" s="1">
        <v>42137</v>
      </c>
      <c r="V8" s="2">
        <v>-0.71</v>
      </c>
      <c r="W8">
        <v>4</v>
      </c>
      <c r="X8" s="2">
        <v>14.26</v>
      </c>
      <c r="Y8">
        <v>86838</v>
      </c>
      <c r="Z8">
        <f t="shared" si="0"/>
        <v>57.04</v>
      </c>
    </row>
    <row r="9" spans="1:26" x14ac:dyDescent="0.25">
      <c r="A9">
        <v>18181</v>
      </c>
      <c r="B9" t="s">
        <v>47</v>
      </c>
      <c r="C9" s="2">
        <v>0</v>
      </c>
      <c r="D9" s="2">
        <v>4.42</v>
      </c>
      <c r="E9" s="2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1">
        <v>42102</v>
      </c>
      <c r="U9" s="1">
        <v>42103</v>
      </c>
      <c r="V9" s="2">
        <v>-59.82</v>
      </c>
      <c r="W9">
        <v>7</v>
      </c>
      <c r="X9" s="2">
        <v>33.47</v>
      </c>
      <c r="Y9">
        <v>86837</v>
      </c>
      <c r="Z9">
        <f t="shared" si="0"/>
        <v>234.29</v>
      </c>
    </row>
    <row r="10" spans="1:26" x14ac:dyDescent="0.25">
      <c r="A10">
        <v>20925</v>
      </c>
      <c r="B10" t="s">
        <v>56</v>
      </c>
      <c r="C10" s="2">
        <v>0.01</v>
      </c>
      <c r="D10" s="2">
        <v>35.94</v>
      </c>
      <c r="E10" s="2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1">
        <v>42152</v>
      </c>
      <c r="U10" s="1">
        <v>42152</v>
      </c>
      <c r="V10" s="2">
        <v>261.87569999999999</v>
      </c>
      <c r="W10">
        <v>10</v>
      </c>
      <c r="X10" s="2">
        <v>379.53</v>
      </c>
      <c r="Y10">
        <v>86839</v>
      </c>
      <c r="Z10">
        <f t="shared" si="0"/>
        <v>3795.2999999999997</v>
      </c>
    </row>
    <row r="11" spans="1:26" x14ac:dyDescent="0.25">
      <c r="A11">
        <v>26267</v>
      </c>
      <c r="B11" t="s">
        <v>25</v>
      </c>
      <c r="C11" s="2">
        <v>0.04</v>
      </c>
      <c r="D11" s="2">
        <v>2.98</v>
      </c>
      <c r="E11" s="2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1">
        <v>42047</v>
      </c>
      <c r="U11" s="1">
        <v>42050</v>
      </c>
      <c r="V11" s="2">
        <v>2.63</v>
      </c>
      <c r="W11">
        <v>6</v>
      </c>
      <c r="X11" s="2">
        <v>18.8</v>
      </c>
      <c r="Y11">
        <v>86836</v>
      </c>
      <c r="Z11">
        <f t="shared" si="0"/>
        <v>112.80000000000001</v>
      </c>
    </row>
    <row r="12" spans="1:26" x14ac:dyDescent="0.25">
      <c r="A12">
        <v>26268</v>
      </c>
      <c r="B12" t="s">
        <v>25</v>
      </c>
      <c r="C12" s="2">
        <v>0.05</v>
      </c>
      <c r="D12" s="2">
        <v>115.99</v>
      </c>
      <c r="E12" s="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1">
        <v>42047</v>
      </c>
      <c r="U12" s="1">
        <v>42049</v>
      </c>
      <c r="V12" s="2">
        <v>652.73310000000004</v>
      </c>
      <c r="W12">
        <v>10</v>
      </c>
      <c r="X12" s="2">
        <v>945.99</v>
      </c>
      <c r="Y12">
        <v>86836</v>
      </c>
      <c r="Z12">
        <f t="shared" si="0"/>
        <v>9459.9</v>
      </c>
    </row>
    <row r="13" spans="1:26" x14ac:dyDescent="0.25">
      <c r="A13">
        <v>23890</v>
      </c>
      <c r="B13" t="s">
        <v>25</v>
      </c>
      <c r="C13" s="2">
        <v>0.05</v>
      </c>
      <c r="D13" s="2">
        <v>26.48</v>
      </c>
      <c r="E13" s="2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1">
        <v>42139</v>
      </c>
      <c r="U13" s="1">
        <v>42140</v>
      </c>
      <c r="V13" s="2">
        <v>314.48129999999998</v>
      </c>
      <c r="W13">
        <v>17</v>
      </c>
      <c r="X13" s="2">
        <v>455.77</v>
      </c>
      <c r="Y13">
        <v>90031</v>
      </c>
      <c r="Z13">
        <f t="shared" si="0"/>
        <v>7748.09</v>
      </c>
    </row>
    <row r="14" spans="1:26" x14ac:dyDescent="0.25">
      <c r="A14">
        <v>24063</v>
      </c>
      <c r="B14" t="s">
        <v>37</v>
      </c>
      <c r="C14" s="2">
        <v>7.0000000000000007E-2</v>
      </c>
      <c r="D14" s="2">
        <v>12.99</v>
      </c>
      <c r="E14" s="2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1">
        <v>42145</v>
      </c>
      <c r="U14" s="1">
        <v>42147</v>
      </c>
      <c r="V14" s="2">
        <v>-114.6399</v>
      </c>
      <c r="W14">
        <v>18</v>
      </c>
      <c r="X14" s="2">
        <v>231.79</v>
      </c>
      <c r="Y14">
        <v>90032</v>
      </c>
      <c r="Z14">
        <f t="shared" si="0"/>
        <v>4172.22</v>
      </c>
    </row>
    <row r="15" spans="1:26" x14ac:dyDescent="0.25">
      <c r="A15">
        <v>5890</v>
      </c>
      <c r="B15" t="s">
        <v>25</v>
      </c>
      <c r="C15" s="2">
        <v>0.05</v>
      </c>
      <c r="D15" s="2">
        <v>26.48</v>
      </c>
      <c r="E15" s="2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1">
        <v>42139</v>
      </c>
      <c r="U15" s="1">
        <v>42140</v>
      </c>
      <c r="V15" s="2">
        <v>384.38</v>
      </c>
      <c r="W15">
        <v>70</v>
      </c>
      <c r="X15" s="2">
        <v>1876.69</v>
      </c>
      <c r="Y15">
        <v>41793</v>
      </c>
      <c r="Z15">
        <f t="shared" si="0"/>
        <v>131368.30000000002</v>
      </c>
    </row>
    <row r="16" spans="1:26" x14ac:dyDescent="0.25">
      <c r="A16">
        <v>6062</v>
      </c>
      <c r="B16" t="s">
        <v>37</v>
      </c>
      <c r="C16" s="2">
        <v>0.08</v>
      </c>
      <c r="D16" s="2">
        <v>5</v>
      </c>
      <c r="E16" s="2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1">
        <v>42145</v>
      </c>
      <c r="U16" s="1">
        <v>42146</v>
      </c>
      <c r="V16" s="2">
        <v>-17.489999999999998</v>
      </c>
      <c r="W16">
        <v>58</v>
      </c>
      <c r="X16" s="2">
        <v>293.06</v>
      </c>
      <c r="Y16">
        <v>42949</v>
      </c>
      <c r="Z16">
        <f t="shared" si="0"/>
        <v>16997.48</v>
      </c>
    </row>
    <row r="17" spans="1:26" x14ac:dyDescent="0.25">
      <c r="A17">
        <v>6063</v>
      </c>
      <c r="B17" t="s">
        <v>37</v>
      </c>
      <c r="C17" s="2">
        <v>7.0000000000000007E-2</v>
      </c>
      <c r="D17" s="2">
        <v>12.99</v>
      </c>
      <c r="E17" s="2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1">
        <v>42145</v>
      </c>
      <c r="U17" s="1">
        <v>42147</v>
      </c>
      <c r="V17" s="2">
        <v>-114.6399</v>
      </c>
      <c r="W17">
        <v>71</v>
      </c>
      <c r="X17" s="2">
        <v>914.29</v>
      </c>
      <c r="Y17">
        <v>42949</v>
      </c>
      <c r="Z17">
        <f t="shared" si="0"/>
        <v>64914.59</v>
      </c>
    </row>
    <row r="18" spans="1:26" x14ac:dyDescent="0.25">
      <c r="A18">
        <v>20631</v>
      </c>
      <c r="B18" t="s">
        <v>25</v>
      </c>
      <c r="C18" s="2">
        <v>0.06</v>
      </c>
      <c r="D18" s="2">
        <v>55.48</v>
      </c>
      <c r="E18" s="2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1">
        <v>42032</v>
      </c>
      <c r="U18" s="1">
        <v>42033</v>
      </c>
      <c r="V18" s="2">
        <v>-28.296800000000001</v>
      </c>
      <c r="W18">
        <v>1</v>
      </c>
      <c r="X18" s="2">
        <v>67.489999999999995</v>
      </c>
      <c r="Y18">
        <v>87651</v>
      </c>
      <c r="Z18">
        <f t="shared" si="0"/>
        <v>67.489999999999995</v>
      </c>
    </row>
    <row r="19" spans="1:26" x14ac:dyDescent="0.25">
      <c r="A19">
        <v>20632</v>
      </c>
      <c r="B19" t="s">
        <v>25</v>
      </c>
      <c r="C19" s="2">
        <v>0.02</v>
      </c>
      <c r="D19" s="2">
        <v>1.68</v>
      </c>
      <c r="E19" s="2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1">
        <v>42032</v>
      </c>
      <c r="U19" s="1">
        <v>42034</v>
      </c>
      <c r="V19" s="2">
        <v>-5.3071999999999999</v>
      </c>
      <c r="W19">
        <v>1</v>
      </c>
      <c r="X19" s="2">
        <v>2.25</v>
      </c>
      <c r="Y19">
        <v>87651</v>
      </c>
      <c r="Z19">
        <f t="shared" si="0"/>
        <v>2.25</v>
      </c>
    </row>
    <row r="20" spans="1:26" x14ac:dyDescent="0.25">
      <c r="A20">
        <v>23967</v>
      </c>
      <c r="B20" t="s">
        <v>37</v>
      </c>
      <c r="C20" s="2">
        <v>0.04</v>
      </c>
      <c r="D20" s="2">
        <v>4.1399999999999997</v>
      </c>
      <c r="E20" s="2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1">
        <v>42126</v>
      </c>
      <c r="U20" s="1">
        <v>42128</v>
      </c>
      <c r="V20" s="2">
        <v>8.8940000000000001</v>
      </c>
      <c r="W20">
        <v>12</v>
      </c>
      <c r="X20" s="2">
        <v>54.78</v>
      </c>
      <c r="Y20">
        <v>87652</v>
      </c>
      <c r="Z20">
        <f t="shared" si="0"/>
        <v>657.36</v>
      </c>
    </row>
    <row r="21" spans="1:26" x14ac:dyDescent="0.25">
      <c r="A21">
        <v>23509</v>
      </c>
      <c r="B21" t="s">
        <v>25</v>
      </c>
      <c r="C21" s="2">
        <v>0.08</v>
      </c>
      <c r="D21" s="2">
        <v>34.99</v>
      </c>
      <c r="E21" s="2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1">
        <v>42057</v>
      </c>
      <c r="U21" s="1">
        <v>42058</v>
      </c>
      <c r="V21" s="2">
        <v>144.69</v>
      </c>
      <c r="W21">
        <v>13</v>
      </c>
      <c r="X21" s="2">
        <v>424.68</v>
      </c>
      <c r="Y21">
        <v>89199</v>
      </c>
      <c r="Z21">
        <f t="shared" si="0"/>
        <v>5520.84</v>
      </c>
    </row>
    <row r="22" spans="1:26" x14ac:dyDescent="0.25">
      <c r="A22">
        <v>23612</v>
      </c>
      <c r="B22" t="s">
        <v>25</v>
      </c>
      <c r="C22" s="2">
        <v>0.01</v>
      </c>
      <c r="D22" s="2">
        <v>17.98</v>
      </c>
      <c r="E22" s="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1">
        <v>42090</v>
      </c>
      <c r="U22" s="1">
        <v>42091</v>
      </c>
      <c r="V22" s="2">
        <v>-35.878799999999998</v>
      </c>
      <c r="W22">
        <v>2</v>
      </c>
      <c r="X22" s="2">
        <v>40.17</v>
      </c>
      <c r="Y22">
        <v>89200</v>
      </c>
      <c r="Z22">
        <f t="shared" si="0"/>
        <v>80.34</v>
      </c>
    </row>
    <row r="23" spans="1:26" x14ac:dyDescent="0.25">
      <c r="A23">
        <v>23278</v>
      </c>
      <c r="B23" t="s">
        <v>56</v>
      </c>
      <c r="C23" s="2">
        <v>0.09</v>
      </c>
      <c r="D23" s="2">
        <v>125.99</v>
      </c>
      <c r="E23" s="2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1">
        <v>42024</v>
      </c>
      <c r="U23" s="1">
        <v>42026</v>
      </c>
      <c r="V23" s="2">
        <v>209.99700000000001</v>
      </c>
      <c r="W23">
        <v>8</v>
      </c>
      <c r="X23" s="2">
        <v>783.55</v>
      </c>
      <c r="Y23">
        <v>89202</v>
      </c>
      <c r="Z23">
        <f t="shared" si="0"/>
        <v>6268.4</v>
      </c>
    </row>
    <row r="24" spans="1:26" x14ac:dyDescent="0.25">
      <c r="A24">
        <v>19355</v>
      </c>
      <c r="B24" t="s">
        <v>106</v>
      </c>
      <c r="C24" s="2">
        <v>0.06</v>
      </c>
      <c r="D24" s="2">
        <v>205.99</v>
      </c>
      <c r="E24" s="2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1">
        <v>42075</v>
      </c>
      <c r="U24" s="1">
        <v>42082</v>
      </c>
      <c r="V24" s="2">
        <v>3568.096</v>
      </c>
      <c r="W24">
        <v>22</v>
      </c>
      <c r="X24" s="2">
        <v>3838.14</v>
      </c>
      <c r="Y24">
        <v>89203</v>
      </c>
      <c r="Z24">
        <f t="shared" si="0"/>
        <v>84439.08</v>
      </c>
    </row>
    <row r="25" spans="1:26" x14ac:dyDescent="0.25">
      <c r="A25">
        <v>23654</v>
      </c>
      <c r="B25" t="s">
        <v>37</v>
      </c>
      <c r="C25" s="2">
        <v>0.03</v>
      </c>
      <c r="D25" s="2">
        <v>4.24</v>
      </c>
      <c r="E25" s="2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1">
        <v>42170</v>
      </c>
      <c r="U25" s="1">
        <v>42172</v>
      </c>
      <c r="V25" s="2">
        <v>-84.437600000000003</v>
      </c>
      <c r="W25">
        <v>13</v>
      </c>
      <c r="X25" s="2">
        <v>58.68</v>
      </c>
      <c r="Y25">
        <v>89201</v>
      </c>
      <c r="Z25">
        <f t="shared" si="0"/>
        <v>762.84</v>
      </c>
    </row>
    <row r="26" spans="1:26" x14ac:dyDescent="0.25">
      <c r="A26">
        <v>23655</v>
      </c>
      <c r="B26" t="s">
        <v>37</v>
      </c>
      <c r="C26" s="2">
        <v>0.04</v>
      </c>
      <c r="D26" s="2">
        <v>2.94</v>
      </c>
      <c r="E26" s="2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1">
        <v>42170</v>
      </c>
      <c r="U26" s="1">
        <v>42171</v>
      </c>
      <c r="V26" s="2">
        <v>24.312000000000001</v>
      </c>
      <c r="W26">
        <v>18</v>
      </c>
      <c r="X26" s="2">
        <v>53.1</v>
      </c>
      <c r="Y26">
        <v>89201</v>
      </c>
      <c r="Z26">
        <f t="shared" si="0"/>
        <v>955.80000000000007</v>
      </c>
    </row>
    <row r="27" spans="1:26" x14ac:dyDescent="0.25">
      <c r="A27">
        <v>25933</v>
      </c>
      <c r="B27" t="s">
        <v>25</v>
      </c>
      <c r="C27" s="2">
        <v>0</v>
      </c>
      <c r="D27" s="2">
        <v>99.99</v>
      </c>
      <c r="E27" s="2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1">
        <v>42134</v>
      </c>
      <c r="U27" s="1">
        <v>42135</v>
      </c>
      <c r="V27" s="2">
        <v>25.913820000000001</v>
      </c>
      <c r="W27">
        <v>6</v>
      </c>
      <c r="X27" s="2">
        <v>647.07000000000005</v>
      </c>
      <c r="Y27">
        <v>91454</v>
      </c>
      <c r="Z27">
        <f t="shared" si="0"/>
        <v>3882.42</v>
      </c>
    </row>
    <row r="28" spans="1:26" x14ac:dyDescent="0.25">
      <c r="A28">
        <v>18551</v>
      </c>
      <c r="B28" t="s">
        <v>37</v>
      </c>
      <c r="C28" s="2">
        <v>0</v>
      </c>
      <c r="D28" s="2">
        <v>115.99</v>
      </c>
      <c r="E28" s="2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>
        <v>6160</v>
      </c>
      <c r="N28">
        <v>0.56999999999999995</v>
      </c>
      <c r="O28" t="s">
        <v>33</v>
      </c>
      <c r="P28" t="s">
        <v>34</v>
      </c>
      <c r="Q28" t="s">
        <v>35</v>
      </c>
      <c r="R28" t="s">
        <v>118</v>
      </c>
      <c r="S28">
        <v>98373</v>
      </c>
      <c r="T28" s="1">
        <v>42073</v>
      </c>
      <c r="U28" s="1">
        <v>42073</v>
      </c>
      <c r="V28" s="2">
        <v>162.666</v>
      </c>
      <c r="W28">
        <v>6</v>
      </c>
      <c r="X28" s="2">
        <v>627.04</v>
      </c>
      <c r="Y28">
        <v>88426</v>
      </c>
      <c r="Z28">
        <f t="shared" si="0"/>
        <v>3762.24</v>
      </c>
    </row>
    <row r="29" spans="1:26" x14ac:dyDescent="0.25">
      <c r="A29">
        <v>22117</v>
      </c>
      <c r="B29" t="s">
        <v>47</v>
      </c>
      <c r="C29" s="2">
        <v>7.0000000000000007E-2</v>
      </c>
      <c r="D29" s="2">
        <v>3502.14</v>
      </c>
      <c r="E29" s="2">
        <v>8.73</v>
      </c>
      <c r="F29">
        <v>53</v>
      </c>
      <c r="G29" t="s">
        <v>119</v>
      </c>
      <c r="H29" t="s">
        <v>39</v>
      </c>
      <c r="I29" t="s">
        <v>28</v>
      </c>
      <c r="J29" t="s">
        <v>77</v>
      </c>
      <c r="K29" t="s">
        <v>85</v>
      </c>
      <c r="L29" t="s">
        <v>120</v>
      </c>
      <c r="M29" t="s">
        <v>121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1">
        <v>42032</v>
      </c>
      <c r="U29" s="1">
        <v>42034</v>
      </c>
      <c r="V29" s="2">
        <v>-6923.5991999999997</v>
      </c>
      <c r="W29">
        <v>1</v>
      </c>
      <c r="X29" s="2">
        <v>3267.55</v>
      </c>
      <c r="Y29">
        <v>88425</v>
      </c>
      <c r="Z29">
        <f t="shared" si="0"/>
        <v>3267.55</v>
      </c>
    </row>
    <row r="30" spans="1:26" x14ac:dyDescent="0.25">
      <c r="A30">
        <v>18552</v>
      </c>
      <c r="B30" t="s">
        <v>37</v>
      </c>
      <c r="C30" s="2">
        <v>0.02</v>
      </c>
      <c r="D30" s="2">
        <v>5.98</v>
      </c>
      <c r="E30" s="2">
        <v>5.79</v>
      </c>
      <c r="F30">
        <v>53</v>
      </c>
      <c r="G30" t="s">
        <v>119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122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1">
        <v>42073</v>
      </c>
      <c r="U30" s="1">
        <v>42074</v>
      </c>
      <c r="V30" s="2">
        <v>-67.489999999999995</v>
      </c>
      <c r="W30">
        <v>17</v>
      </c>
      <c r="X30" s="2">
        <v>110.19</v>
      </c>
      <c r="Y30">
        <v>88426</v>
      </c>
      <c r="Z30">
        <f t="shared" si="0"/>
        <v>1873.23</v>
      </c>
    </row>
    <row r="31" spans="1:26" x14ac:dyDescent="0.25">
      <c r="A31">
        <v>20697</v>
      </c>
      <c r="B31" t="s">
        <v>56</v>
      </c>
      <c r="C31" s="2">
        <v>0.06</v>
      </c>
      <c r="D31" s="2">
        <v>3.8</v>
      </c>
      <c r="E31" s="2">
        <v>1.49</v>
      </c>
      <c r="F31">
        <v>56</v>
      </c>
      <c r="G31" t="s">
        <v>123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124</v>
      </c>
      <c r="N31">
        <v>0.38</v>
      </c>
      <c r="O31" t="s">
        <v>33</v>
      </c>
      <c r="P31" t="s">
        <v>53</v>
      </c>
      <c r="Q31" t="s">
        <v>71</v>
      </c>
      <c r="R31" t="s">
        <v>125</v>
      </c>
      <c r="S31">
        <v>14150</v>
      </c>
      <c r="T31" s="1">
        <v>42114</v>
      </c>
      <c r="U31" s="1">
        <v>42115</v>
      </c>
      <c r="V31" s="2">
        <v>19.6282</v>
      </c>
      <c r="W31">
        <v>20</v>
      </c>
      <c r="X31" s="2">
        <v>73.55</v>
      </c>
      <c r="Y31">
        <v>88075</v>
      </c>
      <c r="Z31">
        <f t="shared" si="0"/>
        <v>1471</v>
      </c>
    </row>
    <row r="32" spans="1:26" x14ac:dyDescent="0.25">
      <c r="A32">
        <v>20698</v>
      </c>
      <c r="B32" t="s">
        <v>56</v>
      </c>
      <c r="C32" s="2">
        <v>0.06</v>
      </c>
      <c r="D32" s="2">
        <v>1.76</v>
      </c>
      <c r="E32" s="2">
        <v>0.7</v>
      </c>
      <c r="F32">
        <v>56</v>
      </c>
      <c r="G32" t="s">
        <v>123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126</v>
      </c>
      <c r="N32">
        <v>0.56000000000000005</v>
      </c>
      <c r="O32" t="s">
        <v>33</v>
      </c>
      <c r="P32" t="s">
        <v>53</v>
      </c>
      <c r="Q32" t="s">
        <v>71</v>
      </c>
      <c r="R32" t="s">
        <v>125</v>
      </c>
      <c r="S32">
        <v>14150</v>
      </c>
      <c r="T32" s="1">
        <v>42114</v>
      </c>
      <c r="U32" s="1">
        <v>42115</v>
      </c>
      <c r="V32" s="2">
        <v>-1.6524000000000001</v>
      </c>
      <c r="W32">
        <v>17</v>
      </c>
      <c r="X32" s="2">
        <v>29.57</v>
      </c>
      <c r="Y32">
        <v>88075</v>
      </c>
      <c r="Z32">
        <f t="shared" si="0"/>
        <v>502.69</v>
      </c>
    </row>
    <row r="33" spans="1:26" x14ac:dyDescent="0.25">
      <c r="A33">
        <v>22890</v>
      </c>
      <c r="B33" t="s">
        <v>25</v>
      </c>
      <c r="C33" s="2">
        <v>0.02</v>
      </c>
      <c r="D33" s="2">
        <v>5.98</v>
      </c>
      <c r="E33" s="2">
        <v>5.15</v>
      </c>
      <c r="F33">
        <v>62</v>
      </c>
      <c r="G33" t="s">
        <v>127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128</v>
      </c>
      <c r="N33">
        <v>0.36</v>
      </c>
      <c r="O33" t="s">
        <v>33</v>
      </c>
      <c r="P33" t="s">
        <v>61</v>
      </c>
      <c r="Q33" t="s">
        <v>129</v>
      </c>
      <c r="R33" t="s">
        <v>130</v>
      </c>
      <c r="S33">
        <v>78664</v>
      </c>
      <c r="T33" s="1">
        <v>42133</v>
      </c>
      <c r="U33" s="1">
        <v>42135</v>
      </c>
      <c r="V33" s="2">
        <v>2.14</v>
      </c>
      <c r="W33">
        <v>3</v>
      </c>
      <c r="X33" s="2">
        <v>22.85</v>
      </c>
      <c r="Y33">
        <v>87407</v>
      </c>
      <c r="Z33">
        <f t="shared" si="0"/>
        <v>68.550000000000011</v>
      </c>
    </row>
    <row r="34" spans="1:26" x14ac:dyDescent="0.25">
      <c r="A34">
        <v>25354</v>
      </c>
      <c r="B34" t="s">
        <v>25</v>
      </c>
      <c r="C34" s="2">
        <v>0.04</v>
      </c>
      <c r="D34" s="2">
        <v>29.14</v>
      </c>
      <c r="E34" s="2">
        <v>4.8600000000000003</v>
      </c>
      <c r="F34">
        <v>62</v>
      </c>
      <c r="G34" t="s">
        <v>127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131</v>
      </c>
      <c r="N34">
        <v>0.38</v>
      </c>
      <c r="O34" t="s">
        <v>33</v>
      </c>
      <c r="P34" t="s">
        <v>61</v>
      </c>
      <c r="Q34" t="s">
        <v>129</v>
      </c>
      <c r="R34" t="s">
        <v>130</v>
      </c>
      <c r="S34">
        <v>78664</v>
      </c>
      <c r="T34" s="1">
        <v>42167</v>
      </c>
      <c r="U34" s="1">
        <v>42169</v>
      </c>
      <c r="V34" s="2">
        <v>349.40910000000002</v>
      </c>
      <c r="W34">
        <v>17</v>
      </c>
      <c r="X34" s="2">
        <v>506.39</v>
      </c>
      <c r="Y34">
        <v>87408</v>
      </c>
      <c r="Z34">
        <f t="shared" si="0"/>
        <v>8608.6299999999992</v>
      </c>
    </row>
    <row r="35" spans="1:26" x14ac:dyDescent="0.25">
      <c r="A35">
        <v>21017</v>
      </c>
      <c r="B35" t="s">
        <v>37</v>
      </c>
      <c r="C35" s="2">
        <v>0</v>
      </c>
      <c r="D35" s="2">
        <v>3.69</v>
      </c>
      <c r="E35" s="2">
        <v>0.5</v>
      </c>
      <c r="F35">
        <v>64</v>
      </c>
      <c r="G35" t="s">
        <v>132</v>
      </c>
      <c r="H35" t="s">
        <v>49</v>
      </c>
      <c r="I35" t="s">
        <v>58</v>
      </c>
      <c r="J35" t="s">
        <v>29</v>
      </c>
      <c r="K35" t="s">
        <v>133</v>
      </c>
      <c r="L35" t="s">
        <v>59</v>
      </c>
      <c r="M35" t="s">
        <v>134</v>
      </c>
      <c r="N35">
        <v>0.38</v>
      </c>
      <c r="O35" t="s">
        <v>33</v>
      </c>
      <c r="P35" t="s">
        <v>135</v>
      </c>
      <c r="Q35" t="s">
        <v>136</v>
      </c>
      <c r="R35" t="s">
        <v>137</v>
      </c>
      <c r="S35">
        <v>24153</v>
      </c>
      <c r="T35" s="1">
        <v>42065</v>
      </c>
      <c r="U35" s="1">
        <v>42067</v>
      </c>
      <c r="V35" s="2">
        <v>-37.5291</v>
      </c>
      <c r="W35">
        <v>1</v>
      </c>
      <c r="X35" s="2">
        <v>4</v>
      </c>
      <c r="Y35">
        <v>87406</v>
      </c>
      <c r="Z35">
        <f t="shared" si="0"/>
        <v>4</v>
      </c>
    </row>
    <row r="36" spans="1:26" x14ac:dyDescent="0.25">
      <c r="A36">
        <v>21019</v>
      </c>
      <c r="B36" t="s">
        <v>37</v>
      </c>
      <c r="C36" s="2">
        <v>0.02</v>
      </c>
      <c r="D36" s="2">
        <v>175.99</v>
      </c>
      <c r="E36" s="2">
        <v>4.99</v>
      </c>
      <c r="F36">
        <v>64</v>
      </c>
      <c r="G36" t="s">
        <v>132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>
        <v>5165</v>
      </c>
      <c r="N36">
        <v>0.59</v>
      </c>
      <c r="O36" t="s">
        <v>33</v>
      </c>
      <c r="P36" t="s">
        <v>135</v>
      </c>
      <c r="Q36" t="s">
        <v>136</v>
      </c>
      <c r="R36" t="s">
        <v>137</v>
      </c>
      <c r="S36">
        <v>24153</v>
      </c>
      <c r="T36" s="1">
        <v>42065</v>
      </c>
      <c r="U36" s="1">
        <v>42065</v>
      </c>
      <c r="V36" s="2">
        <v>101.49</v>
      </c>
      <c r="W36">
        <v>4</v>
      </c>
      <c r="X36" s="2">
        <v>589.79999999999995</v>
      </c>
      <c r="Y36">
        <v>87406</v>
      </c>
      <c r="Z36">
        <f t="shared" si="0"/>
        <v>2359.1999999999998</v>
      </c>
    </row>
    <row r="37" spans="1:26" x14ac:dyDescent="0.25">
      <c r="A37">
        <v>23274</v>
      </c>
      <c r="B37" t="s">
        <v>106</v>
      </c>
      <c r="C37" s="2">
        <v>0.05</v>
      </c>
      <c r="D37" s="2">
        <v>155.06</v>
      </c>
      <c r="E37" s="2">
        <v>7.07</v>
      </c>
      <c r="F37">
        <v>67</v>
      </c>
      <c r="G37" t="s">
        <v>138</v>
      </c>
      <c r="H37" t="s">
        <v>49</v>
      </c>
      <c r="I37" t="s">
        <v>28</v>
      </c>
      <c r="J37" t="s">
        <v>29</v>
      </c>
      <c r="K37" t="s">
        <v>139</v>
      </c>
      <c r="L37" t="s">
        <v>59</v>
      </c>
      <c r="M37" t="s">
        <v>140</v>
      </c>
      <c r="N37">
        <v>0.59</v>
      </c>
      <c r="O37" t="s">
        <v>33</v>
      </c>
      <c r="P37" t="s">
        <v>34</v>
      </c>
      <c r="Q37" t="s">
        <v>45</v>
      </c>
      <c r="R37" t="s">
        <v>141</v>
      </c>
      <c r="S37">
        <v>94559</v>
      </c>
      <c r="T37" s="1">
        <v>42006</v>
      </c>
      <c r="U37" s="1">
        <v>42013</v>
      </c>
      <c r="V37" s="2">
        <v>845.66399999999999</v>
      </c>
      <c r="W37">
        <v>8</v>
      </c>
      <c r="X37" s="2">
        <v>1225.5999999999999</v>
      </c>
      <c r="Y37">
        <v>87946</v>
      </c>
      <c r="Z37">
        <f t="shared" si="0"/>
        <v>9804.7999999999993</v>
      </c>
    </row>
    <row r="38" spans="1:26" x14ac:dyDescent="0.25">
      <c r="A38">
        <v>5272</v>
      </c>
      <c r="B38" t="s">
        <v>106</v>
      </c>
      <c r="C38" s="2">
        <v>0</v>
      </c>
      <c r="D38" s="2">
        <v>291.73</v>
      </c>
      <c r="E38" s="2">
        <v>48.8</v>
      </c>
      <c r="F38">
        <v>68</v>
      </c>
      <c r="G38" t="s">
        <v>142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143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1">
        <v>42006</v>
      </c>
      <c r="U38" s="1">
        <v>42006</v>
      </c>
      <c r="V38" s="2">
        <v>-308.928</v>
      </c>
      <c r="W38">
        <v>4</v>
      </c>
      <c r="X38" s="2">
        <v>1239.06</v>
      </c>
      <c r="Y38">
        <v>37537</v>
      </c>
      <c r="Z38">
        <f t="shared" si="0"/>
        <v>4956.24</v>
      </c>
    </row>
    <row r="39" spans="1:26" x14ac:dyDescent="0.25">
      <c r="A39">
        <v>5273</v>
      </c>
      <c r="B39" t="s">
        <v>106</v>
      </c>
      <c r="C39" s="2">
        <v>7.0000000000000007E-2</v>
      </c>
      <c r="D39" s="2">
        <v>100.98</v>
      </c>
      <c r="E39" s="2">
        <v>45</v>
      </c>
      <c r="F39">
        <v>68</v>
      </c>
      <c r="G39" t="s">
        <v>142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144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1">
        <v>42006</v>
      </c>
      <c r="U39" s="1">
        <v>42008</v>
      </c>
      <c r="V39" s="2">
        <v>-1679.76</v>
      </c>
      <c r="W39">
        <v>43</v>
      </c>
      <c r="X39" s="2">
        <v>4083.19</v>
      </c>
      <c r="Y39">
        <v>37537</v>
      </c>
      <c r="Z39">
        <f t="shared" si="0"/>
        <v>175577.17</v>
      </c>
    </row>
    <row r="40" spans="1:26" x14ac:dyDescent="0.25">
      <c r="A40">
        <v>5274</v>
      </c>
      <c r="B40" t="s">
        <v>106</v>
      </c>
      <c r="C40" s="2">
        <v>0.05</v>
      </c>
      <c r="D40" s="2">
        <v>155.06</v>
      </c>
      <c r="E40" s="2">
        <v>7.07</v>
      </c>
      <c r="F40">
        <v>68</v>
      </c>
      <c r="G40" t="s">
        <v>142</v>
      </c>
      <c r="H40" t="s">
        <v>49</v>
      </c>
      <c r="I40" t="s">
        <v>28</v>
      </c>
      <c r="J40" t="s">
        <v>29</v>
      </c>
      <c r="K40" t="s">
        <v>139</v>
      </c>
      <c r="L40" t="s">
        <v>59</v>
      </c>
      <c r="M40" t="s">
        <v>140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1">
        <v>42006</v>
      </c>
      <c r="U40" s="1">
        <v>42013</v>
      </c>
      <c r="V40" s="2">
        <v>575.39599999999996</v>
      </c>
      <c r="W40">
        <v>32</v>
      </c>
      <c r="X40" s="2">
        <v>4902.38</v>
      </c>
      <c r="Y40">
        <v>37537</v>
      </c>
      <c r="Z40">
        <f t="shared" si="0"/>
        <v>156876.16</v>
      </c>
    </row>
    <row r="41" spans="1:26" x14ac:dyDescent="0.25">
      <c r="A41">
        <v>7786</v>
      </c>
      <c r="B41" t="s">
        <v>25</v>
      </c>
      <c r="C41" s="2">
        <v>0.09</v>
      </c>
      <c r="D41" s="2">
        <v>122.99</v>
      </c>
      <c r="E41" s="2">
        <v>70.2</v>
      </c>
      <c r="F41">
        <v>68</v>
      </c>
      <c r="G41" t="s">
        <v>142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145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1">
        <v>42037</v>
      </c>
      <c r="U41" s="1">
        <v>42039</v>
      </c>
      <c r="V41" s="2">
        <v>-2426.5500000000002</v>
      </c>
      <c r="W41">
        <v>49</v>
      </c>
      <c r="X41" s="2">
        <v>5718.85</v>
      </c>
      <c r="Y41">
        <v>55713</v>
      </c>
      <c r="Z41">
        <f t="shared" si="0"/>
        <v>280223.65000000002</v>
      </c>
    </row>
    <row r="42" spans="1:26" x14ac:dyDescent="0.25">
      <c r="A42">
        <v>25786</v>
      </c>
      <c r="B42" t="s">
        <v>25</v>
      </c>
      <c r="C42" s="2">
        <v>0.09</v>
      </c>
      <c r="D42" s="2">
        <v>122.99</v>
      </c>
      <c r="E42" s="2">
        <v>70.2</v>
      </c>
      <c r="F42">
        <v>70</v>
      </c>
      <c r="G42" t="s">
        <v>146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145</v>
      </c>
      <c r="N42">
        <v>0.74</v>
      </c>
      <c r="O42" t="s">
        <v>33</v>
      </c>
      <c r="P42" t="s">
        <v>53</v>
      </c>
      <c r="Q42" t="s">
        <v>147</v>
      </c>
      <c r="R42" t="s">
        <v>148</v>
      </c>
      <c r="S42">
        <v>5401</v>
      </c>
      <c r="T42" s="1">
        <v>42037</v>
      </c>
      <c r="U42" s="1">
        <v>42039</v>
      </c>
      <c r="V42" s="2">
        <v>-2426.5500000000002</v>
      </c>
      <c r="W42">
        <v>12</v>
      </c>
      <c r="X42" s="2">
        <v>1400.53</v>
      </c>
      <c r="Y42">
        <v>87947</v>
      </c>
      <c r="Z42">
        <f t="shared" si="0"/>
        <v>16806.36</v>
      </c>
    </row>
    <row r="43" spans="1:26" x14ac:dyDescent="0.25">
      <c r="A43">
        <v>18281</v>
      </c>
      <c r="B43" t="s">
        <v>25</v>
      </c>
      <c r="C43" s="2">
        <v>0.04</v>
      </c>
      <c r="D43" s="2">
        <v>296.18</v>
      </c>
      <c r="E43" s="2">
        <v>54.12</v>
      </c>
      <c r="F43">
        <v>83</v>
      </c>
      <c r="G43" t="s">
        <v>149</v>
      </c>
      <c r="H43" t="s">
        <v>39</v>
      </c>
      <c r="I43" t="s">
        <v>28</v>
      </c>
      <c r="J43" t="s">
        <v>41</v>
      </c>
      <c r="K43" t="s">
        <v>150</v>
      </c>
      <c r="L43" t="s">
        <v>120</v>
      </c>
      <c r="M43" t="s">
        <v>151</v>
      </c>
      <c r="N43">
        <v>0.76</v>
      </c>
      <c r="O43" t="s">
        <v>33</v>
      </c>
      <c r="P43" t="s">
        <v>53</v>
      </c>
      <c r="Q43" t="s">
        <v>152</v>
      </c>
      <c r="R43" t="s">
        <v>153</v>
      </c>
      <c r="S43">
        <v>44708</v>
      </c>
      <c r="T43" s="1">
        <v>42078</v>
      </c>
      <c r="U43" s="1">
        <v>42078</v>
      </c>
      <c r="V43" s="2">
        <v>-715.77820599999995</v>
      </c>
      <c r="W43">
        <v>6</v>
      </c>
      <c r="X43" s="2">
        <v>1821.89</v>
      </c>
      <c r="Y43">
        <v>87365</v>
      </c>
      <c r="Z43">
        <f t="shared" si="0"/>
        <v>10931.34</v>
      </c>
    </row>
    <row r="44" spans="1:26" x14ac:dyDescent="0.25">
      <c r="A44">
        <v>23639</v>
      </c>
      <c r="B44" t="s">
        <v>37</v>
      </c>
      <c r="C44" s="2">
        <v>0</v>
      </c>
      <c r="D44" s="2">
        <v>8.09</v>
      </c>
      <c r="E44" s="2">
        <v>7.96</v>
      </c>
      <c r="F44">
        <v>84</v>
      </c>
      <c r="G44" t="s">
        <v>154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155</v>
      </c>
      <c r="N44">
        <v>0.49</v>
      </c>
      <c r="O44" t="s">
        <v>33</v>
      </c>
      <c r="P44" t="s">
        <v>53</v>
      </c>
      <c r="Q44" t="s">
        <v>152</v>
      </c>
      <c r="R44" t="s">
        <v>156</v>
      </c>
      <c r="S44">
        <v>45231</v>
      </c>
      <c r="T44" s="1">
        <v>42037</v>
      </c>
      <c r="U44" s="1">
        <v>42038</v>
      </c>
      <c r="V44" s="2">
        <v>-144.56</v>
      </c>
      <c r="W44">
        <v>11</v>
      </c>
      <c r="X44" s="2">
        <v>90.98</v>
      </c>
      <c r="Y44">
        <v>87364</v>
      </c>
      <c r="Z44">
        <f t="shared" si="0"/>
        <v>1000.7800000000001</v>
      </c>
    </row>
    <row r="45" spans="1:26" x14ac:dyDescent="0.25">
      <c r="A45">
        <v>23880</v>
      </c>
      <c r="B45" t="s">
        <v>25</v>
      </c>
      <c r="C45" s="2">
        <v>0.08</v>
      </c>
      <c r="D45" s="2">
        <v>896.99</v>
      </c>
      <c r="E45" s="2">
        <v>19.989999999999998</v>
      </c>
      <c r="F45">
        <v>84</v>
      </c>
      <c r="G45" t="s">
        <v>154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157</v>
      </c>
      <c r="N45">
        <v>0.38</v>
      </c>
      <c r="O45" t="s">
        <v>33</v>
      </c>
      <c r="P45" t="s">
        <v>53</v>
      </c>
      <c r="Q45" t="s">
        <v>152</v>
      </c>
      <c r="R45" t="s">
        <v>156</v>
      </c>
      <c r="S45">
        <v>45231</v>
      </c>
      <c r="T45" s="1">
        <v>42093</v>
      </c>
      <c r="U45" s="1">
        <v>42096</v>
      </c>
      <c r="V45" s="2">
        <v>7402.32</v>
      </c>
      <c r="W45">
        <v>13</v>
      </c>
      <c r="X45" s="2">
        <v>10728</v>
      </c>
      <c r="Y45">
        <v>87366</v>
      </c>
      <c r="Z45">
        <f t="shared" si="0"/>
        <v>139464</v>
      </c>
    </row>
    <row r="46" spans="1:26" x14ac:dyDescent="0.25">
      <c r="A46">
        <v>24663</v>
      </c>
      <c r="B46" t="s">
        <v>106</v>
      </c>
      <c r="C46" s="2">
        <v>0.05</v>
      </c>
      <c r="D46" s="2">
        <v>161.55000000000001</v>
      </c>
      <c r="E46" s="2">
        <v>19.989999999999998</v>
      </c>
      <c r="F46">
        <v>87</v>
      </c>
      <c r="G46" t="s">
        <v>158</v>
      </c>
      <c r="H46" t="s">
        <v>49</v>
      </c>
      <c r="I46" t="s">
        <v>28</v>
      </c>
      <c r="J46" t="s">
        <v>29</v>
      </c>
      <c r="K46" t="s">
        <v>139</v>
      </c>
      <c r="L46" t="s">
        <v>59</v>
      </c>
      <c r="M46" t="s">
        <v>159</v>
      </c>
      <c r="N46">
        <v>0.66</v>
      </c>
      <c r="O46" t="s">
        <v>33</v>
      </c>
      <c r="P46" t="s">
        <v>34</v>
      </c>
      <c r="Q46" t="s">
        <v>45</v>
      </c>
      <c r="R46" t="s">
        <v>160</v>
      </c>
      <c r="S46">
        <v>95687</v>
      </c>
      <c r="T46" s="1">
        <v>42158</v>
      </c>
      <c r="U46" s="1">
        <v>42163</v>
      </c>
      <c r="V46" s="2">
        <v>1892.424</v>
      </c>
      <c r="W46">
        <v>19</v>
      </c>
      <c r="X46" s="2">
        <v>3127.69</v>
      </c>
      <c r="Y46">
        <v>90596</v>
      </c>
      <c r="Z46">
        <f t="shared" si="0"/>
        <v>59426.11</v>
      </c>
    </row>
    <row r="47" spans="1:26" x14ac:dyDescent="0.25">
      <c r="A47">
        <v>23841</v>
      </c>
      <c r="B47" t="s">
        <v>25</v>
      </c>
      <c r="C47" s="2">
        <v>0.09</v>
      </c>
      <c r="D47" s="2">
        <v>4.91</v>
      </c>
      <c r="E47" s="2">
        <v>0.5</v>
      </c>
      <c r="F47">
        <v>87</v>
      </c>
      <c r="G47" t="s">
        <v>158</v>
      </c>
      <c r="H47" t="s">
        <v>49</v>
      </c>
      <c r="I47" t="s">
        <v>28</v>
      </c>
      <c r="J47" t="s">
        <v>29</v>
      </c>
      <c r="K47" t="s">
        <v>133</v>
      </c>
      <c r="L47" t="s">
        <v>59</v>
      </c>
      <c r="M47" t="s">
        <v>161</v>
      </c>
      <c r="N47">
        <v>0.36</v>
      </c>
      <c r="O47" t="s">
        <v>33</v>
      </c>
      <c r="P47" t="s">
        <v>34</v>
      </c>
      <c r="Q47" t="s">
        <v>45</v>
      </c>
      <c r="R47" t="s">
        <v>160</v>
      </c>
      <c r="S47">
        <v>95687</v>
      </c>
      <c r="T47" s="1">
        <v>42085</v>
      </c>
      <c r="U47" s="1">
        <v>42086</v>
      </c>
      <c r="V47" s="2">
        <v>28.855799999999999</v>
      </c>
      <c r="W47">
        <v>9</v>
      </c>
      <c r="X47" s="2">
        <v>41.82</v>
      </c>
      <c r="Y47">
        <v>90597</v>
      </c>
      <c r="Z47">
        <f t="shared" si="0"/>
        <v>376.38</v>
      </c>
    </row>
    <row r="48" spans="1:26" x14ac:dyDescent="0.25">
      <c r="A48">
        <v>23842</v>
      </c>
      <c r="B48" t="s">
        <v>25</v>
      </c>
      <c r="C48" s="2">
        <v>0.01</v>
      </c>
      <c r="D48" s="2">
        <v>296.18</v>
      </c>
      <c r="E48" s="2">
        <v>54.12</v>
      </c>
      <c r="F48">
        <v>87</v>
      </c>
      <c r="G48" t="s">
        <v>158</v>
      </c>
      <c r="H48" t="s">
        <v>39</v>
      </c>
      <c r="I48" t="s">
        <v>28</v>
      </c>
      <c r="J48" t="s">
        <v>41</v>
      </c>
      <c r="K48" t="s">
        <v>150</v>
      </c>
      <c r="L48" t="s">
        <v>120</v>
      </c>
      <c r="M48" t="s">
        <v>151</v>
      </c>
      <c r="N48">
        <v>0.76</v>
      </c>
      <c r="O48" t="s">
        <v>33</v>
      </c>
      <c r="P48" t="s">
        <v>34</v>
      </c>
      <c r="Q48" t="s">
        <v>45</v>
      </c>
      <c r="R48" t="s">
        <v>160</v>
      </c>
      <c r="S48">
        <v>95687</v>
      </c>
      <c r="T48" s="1">
        <v>42085</v>
      </c>
      <c r="U48" s="1">
        <v>42088</v>
      </c>
      <c r="V48" s="2">
        <v>173.48</v>
      </c>
      <c r="W48">
        <v>9</v>
      </c>
      <c r="X48" s="2">
        <v>2875.72</v>
      </c>
      <c r="Y48">
        <v>90597</v>
      </c>
      <c r="Z48">
        <f t="shared" si="0"/>
        <v>25881.48</v>
      </c>
    </row>
    <row r="49" spans="1:26" x14ac:dyDescent="0.25">
      <c r="A49">
        <v>23071</v>
      </c>
      <c r="B49" t="s">
        <v>25</v>
      </c>
      <c r="C49" s="2">
        <v>7.0000000000000007E-2</v>
      </c>
      <c r="D49" s="2">
        <v>19.84</v>
      </c>
      <c r="E49" s="2">
        <v>4.0999999999999996</v>
      </c>
      <c r="F49">
        <v>91</v>
      </c>
      <c r="G49" t="s">
        <v>162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163</v>
      </c>
      <c r="N49">
        <v>0.44</v>
      </c>
      <c r="O49" t="s">
        <v>33</v>
      </c>
      <c r="P49" t="s">
        <v>34</v>
      </c>
      <c r="Q49" t="s">
        <v>45</v>
      </c>
      <c r="R49" t="s">
        <v>164</v>
      </c>
      <c r="S49">
        <v>94591</v>
      </c>
      <c r="T49" s="1">
        <v>42141</v>
      </c>
      <c r="U49" s="1">
        <v>42142</v>
      </c>
      <c r="V49" s="2">
        <v>117.852</v>
      </c>
      <c r="W49">
        <v>9</v>
      </c>
      <c r="X49" s="2">
        <v>170.8</v>
      </c>
      <c r="Y49">
        <v>87175</v>
      </c>
      <c r="Z49">
        <f t="shared" si="0"/>
        <v>1537.2</v>
      </c>
    </row>
    <row r="50" spans="1:26" x14ac:dyDescent="0.25">
      <c r="A50">
        <v>19877</v>
      </c>
      <c r="B50" t="s">
        <v>56</v>
      </c>
      <c r="C50" s="2">
        <v>0.05</v>
      </c>
      <c r="D50" s="2">
        <v>5.18</v>
      </c>
      <c r="E50" s="2">
        <v>2.04</v>
      </c>
      <c r="F50">
        <v>91</v>
      </c>
      <c r="G50" t="s">
        <v>162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165</v>
      </c>
      <c r="N50">
        <v>0.36</v>
      </c>
      <c r="O50" t="s">
        <v>33</v>
      </c>
      <c r="P50" t="s">
        <v>34</v>
      </c>
      <c r="Q50" t="s">
        <v>45</v>
      </c>
      <c r="R50" t="s">
        <v>164</v>
      </c>
      <c r="S50">
        <v>94591</v>
      </c>
      <c r="T50" s="1">
        <v>42053</v>
      </c>
      <c r="U50" s="1">
        <v>42055</v>
      </c>
      <c r="V50" s="2">
        <v>34.010399999999997</v>
      </c>
      <c r="W50">
        <v>10</v>
      </c>
      <c r="X50" s="2">
        <v>53.54</v>
      </c>
      <c r="Y50">
        <v>87176</v>
      </c>
      <c r="Z50">
        <f t="shared" si="0"/>
        <v>535.4</v>
      </c>
    </row>
    <row r="51" spans="1:26" x14ac:dyDescent="0.25">
      <c r="A51">
        <v>19611</v>
      </c>
      <c r="B51" t="s">
        <v>56</v>
      </c>
      <c r="C51" s="2">
        <v>0.06</v>
      </c>
      <c r="D51" s="2">
        <v>175.99</v>
      </c>
      <c r="E51" s="2">
        <v>8.99</v>
      </c>
      <c r="F51">
        <v>91</v>
      </c>
      <c r="G51" t="s">
        <v>162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>
        <v>2180</v>
      </c>
      <c r="N51">
        <v>0.56999999999999995</v>
      </c>
      <c r="O51" t="s">
        <v>33</v>
      </c>
      <c r="P51" t="s">
        <v>34</v>
      </c>
      <c r="Q51" t="s">
        <v>45</v>
      </c>
      <c r="R51" t="s">
        <v>164</v>
      </c>
      <c r="S51">
        <v>94591</v>
      </c>
      <c r="T51" s="1">
        <v>42067</v>
      </c>
      <c r="U51" s="1">
        <v>42069</v>
      </c>
      <c r="V51" s="2">
        <v>2031.5070000000001</v>
      </c>
      <c r="W51">
        <v>23</v>
      </c>
      <c r="X51" s="2">
        <v>3363.53</v>
      </c>
      <c r="Y51">
        <v>87177</v>
      </c>
      <c r="Z51">
        <f t="shared" si="0"/>
        <v>77361.19</v>
      </c>
    </row>
    <row r="52" spans="1:26" x14ac:dyDescent="0.25">
      <c r="A52">
        <v>23069</v>
      </c>
      <c r="B52" t="s">
        <v>25</v>
      </c>
      <c r="C52" s="2">
        <v>7.0000000000000007E-2</v>
      </c>
      <c r="D52" s="2">
        <v>8.34</v>
      </c>
      <c r="E52" s="2">
        <v>1.43</v>
      </c>
      <c r="F52">
        <v>92</v>
      </c>
      <c r="G52" t="s">
        <v>166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167</v>
      </c>
      <c r="N52">
        <v>0.35</v>
      </c>
      <c r="O52" t="s">
        <v>33</v>
      </c>
      <c r="P52" t="s">
        <v>135</v>
      </c>
      <c r="Q52" t="s">
        <v>168</v>
      </c>
      <c r="R52" t="s">
        <v>169</v>
      </c>
      <c r="S52">
        <v>70056</v>
      </c>
      <c r="T52" s="1">
        <v>42141</v>
      </c>
      <c r="U52" s="1">
        <v>42143</v>
      </c>
      <c r="V52" s="2">
        <v>-190.68</v>
      </c>
      <c r="W52">
        <v>16</v>
      </c>
      <c r="X52" s="2">
        <v>132.08000000000001</v>
      </c>
      <c r="Y52">
        <v>87175</v>
      </c>
      <c r="Z52">
        <f t="shared" si="0"/>
        <v>2113.2800000000002</v>
      </c>
    </row>
    <row r="53" spans="1:26" x14ac:dyDescent="0.25">
      <c r="A53">
        <v>23070</v>
      </c>
      <c r="B53" t="s">
        <v>25</v>
      </c>
      <c r="C53" s="2">
        <v>0.09</v>
      </c>
      <c r="D53" s="2">
        <v>4.9800000000000004</v>
      </c>
      <c r="E53" s="2">
        <v>6.07</v>
      </c>
      <c r="F53">
        <v>92</v>
      </c>
      <c r="G53" t="s">
        <v>166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170</v>
      </c>
      <c r="N53">
        <v>0.36</v>
      </c>
      <c r="O53" t="s">
        <v>33</v>
      </c>
      <c r="P53" t="s">
        <v>135</v>
      </c>
      <c r="Q53" t="s">
        <v>168</v>
      </c>
      <c r="R53" t="s">
        <v>169</v>
      </c>
      <c r="S53">
        <v>70056</v>
      </c>
      <c r="T53" s="1">
        <v>42141</v>
      </c>
      <c r="U53" s="1">
        <v>42142</v>
      </c>
      <c r="V53" s="2">
        <v>325.39800000000002</v>
      </c>
      <c r="W53">
        <v>9</v>
      </c>
      <c r="X53" s="2">
        <v>45.34</v>
      </c>
      <c r="Y53">
        <v>87175</v>
      </c>
      <c r="Z53">
        <f t="shared" si="0"/>
        <v>408.06000000000006</v>
      </c>
    </row>
    <row r="54" spans="1:26" x14ac:dyDescent="0.25">
      <c r="A54">
        <v>23203</v>
      </c>
      <c r="B54" t="s">
        <v>56</v>
      </c>
      <c r="C54" s="2">
        <v>0.04</v>
      </c>
      <c r="D54" s="2">
        <v>12.98</v>
      </c>
      <c r="E54" s="2">
        <v>3.14</v>
      </c>
      <c r="F54">
        <v>92</v>
      </c>
      <c r="G54" t="s">
        <v>166</v>
      </c>
      <c r="H54" t="s">
        <v>27</v>
      </c>
      <c r="I54" t="s">
        <v>28</v>
      </c>
      <c r="J54" t="s">
        <v>29</v>
      </c>
      <c r="K54" t="s">
        <v>171</v>
      </c>
      <c r="L54" t="s">
        <v>51</v>
      </c>
      <c r="M54" t="s">
        <v>172</v>
      </c>
      <c r="N54">
        <v>0.6</v>
      </c>
      <c r="O54" t="s">
        <v>33</v>
      </c>
      <c r="P54" t="s">
        <v>135</v>
      </c>
      <c r="Q54" t="s">
        <v>168</v>
      </c>
      <c r="R54" t="s">
        <v>169</v>
      </c>
      <c r="S54">
        <v>70056</v>
      </c>
      <c r="T54" s="1">
        <v>42162</v>
      </c>
      <c r="U54" s="1">
        <v>42164</v>
      </c>
      <c r="V54" s="2">
        <v>22.818000000000001</v>
      </c>
      <c r="W54">
        <v>16</v>
      </c>
      <c r="X54" s="2">
        <v>216.04</v>
      </c>
      <c r="Y54">
        <v>87178</v>
      </c>
      <c r="Z54">
        <f t="shared" si="0"/>
        <v>3456.64</v>
      </c>
    </row>
    <row r="55" spans="1:26" x14ac:dyDescent="0.25">
      <c r="A55">
        <v>6243</v>
      </c>
      <c r="B55" t="s">
        <v>37</v>
      </c>
      <c r="C55" s="2">
        <v>0.04</v>
      </c>
      <c r="D55" s="2">
        <v>160.97999999999999</v>
      </c>
      <c r="E55" s="2">
        <v>30</v>
      </c>
      <c r="F55">
        <v>94</v>
      </c>
      <c r="G55" t="s">
        <v>173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174</v>
      </c>
      <c r="N55">
        <v>0.62</v>
      </c>
      <c r="O55" t="s">
        <v>33</v>
      </c>
      <c r="P55" t="s">
        <v>61</v>
      </c>
      <c r="Q55" t="s">
        <v>175</v>
      </c>
      <c r="R55" t="s">
        <v>176</v>
      </c>
      <c r="S55">
        <v>60601</v>
      </c>
      <c r="T55" s="1">
        <v>42127</v>
      </c>
      <c r="U55" s="1">
        <v>42129</v>
      </c>
      <c r="V55" s="2">
        <v>116.1</v>
      </c>
      <c r="W55">
        <v>37</v>
      </c>
      <c r="X55" s="2">
        <v>6276.34</v>
      </c>
      <c r="Y55">
        <v>44231</v>
      </c>
      <c r="Z55">
        <f t="shared" si="0"/>
        <v>232224.58000000002</v>
      </c>
    </row>
    <row r="56" spans="1:26" x14ac:dyDescent="0.25">
      <c r="A56">
        <v>6244</v>
      </c>
      <c r="B56" t="s">
        <v>37</v>
      </c>
      <c r="C56" s="2">
        <v>0.01</v>
      </c>
      <c r="D56" s="2">
        <v>17.98</v>
      </c>
      <c r="E56" s="2">
        <v>4</v>
      </c>
      <c r="F56">
        <v>94</v>
      </c>
      <c r="G56" t="s">
        <v>173</v>
      </c>
      <c r="H56" t="s">
        <v>49</v>
      </c>
      <c r="I56" t="s">
        <v>40</v>
      </c>
      <c r="J56" t="s">
        <v>77</v>
      </c>
      <c r="K56" t="s">
        <v>177</v>
      </c>
      <c r="L56" t="s">
        <v>59</v>
      </c>
      <c r="M56" t="s">
        <v>178</v>
      </c>
      <c r="N56">
        <v>0.79</v>
      </c>
      <c r="O56" t="s">
        <v>33</v>
      </c>
      <c r="P56" t="s">
        <v>61</v>
      </c>
      <c r="Q56" t="s">
        <v>175</v>
      </c>
      <c r="R56" t="s">
        <v>176</v>
      </c>
      <c r="S56">
        <v>60601</v>
      </c>
      <c r="T56" s="1">
        <v>42127</v>
      </c>
      <c r="U56" s="1">
        <v>42129</v>
      </c>
      <c r="V56" s="2">
        <v>-87.96</v>
      </c>
      <c r="W56">
        <v>146</v>
      </c>
      <c r="X56" s="2">
        <v>2664.4</v>
      </c>
      <c r="Y56">
        <v>44231</v>
      </c>
      <c r="Z56">
        <f t="shared" si="0"/>
        <v>389002.4</v>
      </c>
    </row>
    <row r="57" spans="1:26" x14ac:dyDescent="0.25">
      <c r="A57">
        <v>24243</v>
      </c>
      <c r="B57" t="s">
        <v>37</v>
      </c>
      <c r="C57" s="2">
        <v>0.04</v>
      </c>
      <c r="D57" s="2">
        <v>160.97999999999999</v>
      </c>
      <c r="E57" s="2">
        <v>30</v>
      </c>
      <c r="F57">
        <v>97</v>
      </c>
      <c r="G57" t="s">
        <v>179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174</v>
      </c>
      <c r="N57">
        <v>0.62</v>
      </c>
      <c r="O57" t="s">
        <v>33</v>
      </c>
      <c r="P57" t="s">
        <v>61</v>
      </c>
      <c r="Q57" t="s">
        <v>180</v>
      </c>
      <c r="R57" t="s">
        <v>181</v>
      </c>
      <c r="S57">
        <v>66502</v>
      </c>
      <c r="T57" s="1">
        <v>42127</v>
      </c>
      <c r="U57" s="1">
        <v>42129</v>
      </c>
      <c r="V57" s="2">
        <v>255.42</v>
      </c>
      <c r="W57">
        <v>9</v>
      </c>
      <c r="X57" s="2">
        <v>1526.68</v>
      </c>
      <c r="Y57">
        <v>87306</v>
      </c>
      <c r="Z57">
        <f t="shared" si="0"/>
        <v>13740.12</v>
      </c>
    </row>
    <row r="58" spans="1:26" x14ac:dyDescent="0.25">
      <c r="A58">
        <v>24245</v>
      </c>
      <c r="B58" t="s">
        <v>37</v>
      </c>
      <c r="C58" s="2">
        <v>0.06</v>
      </c>
      <c r="D58" s="2">
        <v>115.99</v>
      </c>
      <c r="E58" s="2">
        <v>8.99</v>
      </c>
      <c r="F58">
        <v>97</v>
      </c>
      <c r="G58" t="s">
        <v>179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>
        <v>5185</v>
      </c>
      <c r="N58">
        <v>0.57999999999999996</v>
      </c>
      <c r="O58" t="s">
        <v>33</v>
      </c>
      <c r="P58" t="s">
        <v>61</v>
      </c>
      <c r="Q58" t="s">
        <v>180</v>
      </c>
      <c r="R58" t="s">
        <v>181</v>
      </c>
      <c r="S58">
        <v>66502</v>
      </c>
      <c r="T58" s="1">
        <v>42127</v>
      </c>
      <c r="U58" s="1">
        <v>42128</v>
      </c>
      <c r="V58" s="2">
        <v>685.6146</v>
      </c>
      <c r="W58">
        <v>20</v>
      </c>
      <c r="X58" s="2">
        <v>1952.56</v>
      </c>
      <c r="Y58">
        <v>87306</v>
      </c>
      <c r="Z58">
        <f t="shared" si="0"/>
        <v>39051.199999999997</v>
      </c>
    </row>
    <row r="59" spans="1:26" x14ac:dyDescent="0.25">
      <c r="A59">
        <v>18494</v>
      </c>
      <c r="B59" t="s">
        <v>56</v>
      </c>
      <c r="C59" s="2">
        <v>0.1</v>
      </c>
      <c r="D59" s="2">
        <v>19.98</v>
      </c>
      <c r="E59" s="2">
        <v>4</v>
      </c>
      <c r="F59">
        <v>101</v>
      </c>
      <c r="G59" t="s">
        <v>182</v>
      </c>
      <c r="H59" t="s">
        <v>49</v>
      </c>
      <c r="I59" t="s">
        <v>114</v>
      </c>
      <c r="J59" t="s">
        <v>77</v>
      </c>
      <c r="K59" t="s">
        <v>177</v>
      </c>
      <c r="L59" t="s">
        <v>59</v>
      </c>
      <c r="M59" t="s">
        <v>183</v>
      </c>
      <c r="N59">
        <v>0.68</v>
      </c>
      <c r="O59" t="s">
        <v>33</v>
      </c>
      <c r="P59" t="s">
        <v>53</v>
      </c>
      <c r="Q59" t="s">
        <v>184</v>
      </c>
      <c r="R59" t="s">
        <v>185</v>
      </c>
      <c r="S59">
        <v>4005</v>
      </c>
      <c r="T59" s="1">
        <v>42177</v>
      </c>
      <c r="U59" s="1">
        <v>42179</v>
      </c>
      <c r="V59" s="2">
        <v>-16.2</v>
      </c>
      <c r="W59">
        <v>16</v>
      </c>
      <c r="X59" s="2">
        <v>303.58999999999997</v>
      </c>
      <c r="Y59">
        <v>88205</v>
      </c>
      <c r="Z59">
        <f t="shared" si="0"/>
        <v>4857.4399999999996</v>
      </c>
    </row>
    <row r="60" spans="1:26" x14ac:dyDescent="0.25">
      <c r="A60">
        <v>6014</v>
      </c>
      <c r="B60" t="s">
        <v>56</v>
      </c>
      <c r="C60" s="2">
        <v>0.04</v>
      </c>
      <c r="D60" s="2">
        <v>300.98</v>
      </c>
      <c r="E60" s="2">
        <v>54.92</v>
      </c>
      <c r="F60">
        <v>102</v>
      </c>
      <c r="G60" t="s">
        <v>186</v>
      </c>
      <c r="H60" t="s">
        <v>39</v>
      </c>
      <c r="I60" t="s">
        <v>114</v>
      </c>
      <c r="J60" t="s">
        <v>41</v>
      </c>
      <c r="K60" t="s">
        <v>187</v>
      </c>
      <c r="L60" t="s">
        <v>120</v>
      </c>
      <c r="M60" t="s">
        <v>188</v>
      </c>
      <c r="N60">
        <v>0.55000000000000004</v>
      </c>
      <c r="O60" t="s">
        <v>33</v>
      </c>
      <c r="P60" t="s">
        <v>53</v>
      </c>
      <c r="Q60" t="s">
        <v>189</v>
      </c>
      <c r="R60" t="s">
        <v>190</v>
      </c>
      <c r="S60">
        <v>2129</v>
      </c>
      <c r="T60" s="1">
        <v>42100</v>
      </c>
      <c r="U60" s="1">
        <v>42101</v>
      </c>
      <c r="V60" s="2">
        <v>2023.75</v>
      </c>
      <c r="W60">
        <v>31</v>
      </c>
      <c r="X60" s="2">
        <v>9459.94</v>
      </c>
      <c r="Y60">
        <v>42599</v>
      </c>
      <c r="Z60">
        <f t="shared" si="0"/>
        <v>293258.14</v>
      </c>
    </row>
    <row r="61" spans="1:26" x14ac:dyDescent="0.25">
      <c r="A61">
        <v>494</v>
      </c>
      <c r="B61" t="s">
        <v>56</v>
      </c>
      <c r="C61" s="2">
        <v>0.1</v>
      </c>
      <c r="D61" s="2">
        <v>19.98</v>
      </c>
      <c r="E61" s="2">
        <v>4</v>
      </c>
      <c r="F61">
        <v>102</v>
      </c>
      <c r="G61" t="s">
        <v>186</v>
      </c>
      <c r="H61" t="s">
        <v>49</v>
      </c>
      <c r="I61" t="s">
        <v>114</v>
      </c>
      <c r="J61" t="s">
        <v>77</v>
      </c>
      <c r="K61" t="s">
        <v>177</v>
      </c>
      <c r="L61" t="s">
        <v>59</v>
      </c>
      <c r="M61" t="s">
        <v>183</v>
      </c>
      <c r="N61">
        <v>0.68</v>
      </c>
      <c r="O61" t="s">
        <v>33</v>
      </c>
      <c r="P61" t="s">
        <v>53</v>
      </c>
      <c r="Q61" t="s">
        <v>189</v>
      </c>
      <c r="R61" t="s">
        <v>190</v>
      </c>
      <c r="S61">
        <v>2129</v>
      </c>
      <c r="T61" s="1">
        <v>42177</v>
      </c>
      <c r="U61" s="1">
        <v>42179</v>
      </c>
      <c r="V61" s="2">
        <v>-20.25</v>
      </c>
      <c r="W61">
        <v>65</v>
      </c>
      <c r="X61" s="2">
        <v>1233.32</v>
      </c>
      <c r="Y61">
        <v>3397</v>
      </c>
      <c r="Z61">
        <f t="shared" si="0"/>
        <v>80165.8</v>
      </c>
    </row>
    <row r="62" spans="1:26" x14ac:dyDescent="0.25">
      <c r="A62">
        <v>495</v>
      </c>
      <c r="B62" t="s">
        <v>56</v>
      </c>
      <c r="C62" s="2">
        <v>0.09</v>
      </c>
      <c r="D62" s="2">
        <v>2.88</v>
      </c>
      <c r="E62" s="2">
        <v>1.49</v>
      </c>
      <c r="F62">
        <v>102</v>
      </c>
      <c r="G62" t="s">
        <v>186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191</v>
      </c>
      <c r="N62">
        <v>0.36</v>
      </c>
      <c r="O62" t="s">
        <v>33</v>
      </c>
      <c r="P62" t="s">
        <v>53</v>
      </c>
      <c r="Q62" t="s">
        <v>189</v>
      </c>
      <c r="R62" t="s">
        <v>190</v>
      </c>
      <c r="S62">
        <v>2129</v>
      </c>
      <c r="T62" s="1">
        <v>42177</v>
      </c>
      <c r="U62" s="1">
        <v>42178</v>
      </c>
      <c r="V62" s="2">
        <v>-3.3809999999999998</v>
      </c>
      <c r="W62">
        <v>17</v>
      </c>
      <c r="X62" s="2">
        <v>47.31</v>
      </c>
      <c r="Y62">
        <v>3397</v>
      </c>
      <c r="Z62">
        <f t="shared" si="0"/>
        <v>804.27</v>
      </c>
    </row>
    <row r="63" spans="1:26" x14ac:dyDescent="0.25">
      <c r="A63">
        <v>24014</v>
      </c>
      <c r="B63" t="s">
        <v>56</v>
      </c>
      <c r="C63" s="2">
        <v>0.04</v>
      </c>
      <c r="D63" s="2">
        <v>300.98</v>
      </c>
      <c r="E63" s="2">
        <v>54.92</v>
      </c>
      <c r="F63">
        <v>107</v>
      </c>
      <c r="G63" t="s">
        <v>192</v>
      </c>
      <c r="H63" t="s">
        <v>39</v>
      </c>
      <c r="I63" t="s">
        <v>114</v>
      </c>
      <c r="J63" t="s">
        <v>41</v>
      </c>
      <c r="K63" t="s">
        <v>187</v>
      </c>
      <c r="L63" t="s">
        <v>120</v>
      </c>
      <c r="M63" t="s">
        <v>188</v>
      </c>
      <c r="N63">
        <v>0.55000000000000004</v>
      </c>
      <c r="O63" t="s">
        <v>33</v>
      </c>
      <c r="P63" t="s">
        <v>53</v>
      </c>
      <c r="Q63" t="s">
        <v>193</v>
      </c>
      <c r="R63" t="s">
        <v>194</v>
      </c>
      <c r="S63">
        <v>3820</v>
      </c>
      <c r="T63" s="1">
        <v>42100</v>
      </c>
      <c r="U63" s="1">
        <v>42101</v>
      </c>
      <c r="V63" s="2">
        <v>1684.4763</v>
      </c>
      <c r="W63">
        <v>8</v>
      </c>
      <c r="X63" s="2">
        <v>2441.27</v>
      </c>
      <c r="Y63">
        <v>88204</v>
      </c>
      <c r="Z63">
        <f t="shared" si="0"/>
        <v>19530.16</v>
      </c>
    </row>
    <row r="64" spans="1:26" x14ac:dyDescent="0.25">
      <c r="A64">
        <v>18495</v>
      </c>
      <c r="B64" t="s">
        <v>56</v>
      </c>
      <c r="C64" s="2">
        <v>0.09</v>
      </c>
      <c r="D64" s="2">
        <v>2.88</v>
      </c>
      <c r="E64" s="2">
        <v>1.49</v>
      </c>
      <c r="F64">
        <v>109</v>
      </c>
      <c r="G64" t="s">
        <v>195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191</v>
      </c>
      <c r="N64">
        <v>0.36</v>
      </c>
      <c r="O64" t="s">
        <v>33</v>
      </c>
      <c r="P64" t="s">
        <v>53</v>
      </c>
      <c r="Q64" t="s">
        <v>54</v>
      </c>
      <c r="R64" t="s">
        <v>196</v>
      </c>
      <c r="S64">
        <v>7644</v>
      </c>
      <c r="T64" s="1">
        <v>42177</v>
      </c>
      <c r="U64" s="1">
        <v>42178</v>
      </c>
      <c r="V64" s="2">
        <v>-2.7048000000000001</v>
      </c>
      <c r="W64">
        <v>4</v>
      </c>
      <c r="X64" s="2">
        <v>11.13</v>
      </c>
      <c r="Y64">
        <v>88205</v>
      </c>
      <c r="Z64">
        <f t="shared" si="0"/>
        <v>44.52</v>
      </c>
    </row>
    <row r="65" spans="1:26" x14ac:dyDescent="0.25">
      <c r="A65">
        <v>19074</v>
      </c>
      <c r="B65" t="s">
        <v>25</v>
      </c>
      <c r="C65" s="2">
        <v>0.03</v>
      </c>
      <c r="D65" s="2">
        <v>4.26</v>
      </c>
      <c r="E65" s="2">
        <v>1.2</v>
      </c>
      <c r="F65">
        <v>114</v>
      </c>
      <c r="G65" t="s">
        <v>197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198</v>
      </c>
      <c r="N65">
        <v>0.44</v>
      </c>
      <c r="O65" t="s">
        <v>33</v>
      </c>
      <c r="P65" t="s">
        <v>34</v>
      </c>
      <c r="Q65" t="s">
        <v>102</v>
      </c>
      <c r="R65" t="s">
        <v>199</v>
      </c>
      <c r="S65">
        <v>97035</v>
      </c>
      <c r="T65" s="1">
        <v>42007</v>
      </c>
      <c r="U65" s="1">
        <v>42008</v>
      </c>
      <c r="V65" s="2">
        <v>18.658000000000001</v>
      </c>
      <c r="W65">
        <v>7</v>
      </c>
      <c r="X65" s="2">
        <v>29.5</v>
      </c>
      <c r="Y65">
        <v>89583</v>
      </c>
      <c r="Z65">
        <f t="shared" si="0"/>
        <v>206.5</v>
      </c>
    </row>
    <row r="66" spans="1:26" x14ac:dyDescent="0.25">
      <c r="A66">
        <v>19950</v>
      </c>
      <c r="B66" t="s">
        <v>56</v>
      </c>
      <c r="C66" s="2">
        <v>0.01</v>
      </c>
      <c r="D66" s="2">
        <v>4.91</v>
      </c>
      <c r="E66" s="2">
        <v>0.5</v>
      </c>
      <c r="F66">
        <v>114</v>
      </c>
      <c r="G66" t="s">
        <v>197</v>
      </c>
      <c r="H66" t="s">
        <v>49</v>
      </c>
      <c r="I66" t="s">
        <v>40</v>
      </c>
      <c r="J66" t="s">
        <v>29</v>
      </c>
      <c r="K66" t="s">
        <v>133</v>
      </c>
      <c r="L66" t="s">
        <v>59</v>
      </c>
      <c r="M66" t="s">
        <v>161</v>
      </c>
      <c r="N66">
        <v>0.36</v>
      </c>
      <c r="O66" t="s">
        <v>33</v>
      </c>
      <c r="P66" t="s">
        <v>34</v>
      </c>
      <c r="Q66" t="s">
        <v>102</v>
      </c>
      <c r="R66" t="s">
        <v>199</v>
      </c>
      <c r="S66">
        <v>97035</v>
      </c>
      <c r="T66" s="1">
        <v>42098</v>
      </c>
      <c r="U66" s="1">
        <v>42100</v>
      </c>
      <c r="V66" s="2">
        <v>40.247700000000002</v>
      </c>
      <c r="W66">
        <v>12</v>
      </c>
      <c r="X66" s="2">
        <v>58.33</v>
      </c>
      <c r="Y66">
        <v>89584</v>
      </c>
      <c r="Z66">
        <f t="shared" si="0"/>
        <v>699.96</v>
      </c>
    </row>
    <row r="67" spans="1:26" x14ac:dyDescent="0.25">
      <c r="A67">
        <v>19951</v>
      </c>
      <c r="B67" t="s">
        <v>56</v>
      </c>
      <c r="C67" s="2">
        <v>0.09</v>
      </c>
      <c r="D67" s="2">
        <v>4</v>
      </c>
      <c r="E67" s="2">
        <v>1.3</v>
      </c>
      <c r="F67">
        <v>114</v>
      </c>
      <c r="G67" t="s">
        <v>197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200</v>
      </c>
      <c r="N67">
        <v>0.37</v>
      </c>
      <c r="O67" t="s">
        <v>33</v>
      </c>
      <c r="P67" t="s">
        <v>34</v>
      </c>
      <c r="Q67" t="s">
        <v>102</v>
      </c>
      <c r="R67" t="s">
        <v>199</v>
      </c>
      <c r="S67">
        <v>97035</v>
      </c>
      <c r="T67" s="1">
        <v>42098</v>
      </c>
      <c r="U67" s="1">
        <v>42100</v>
      </c>
      <c r="V67" s="2">
        <v>14.0898</v>
      </c>
      <c r="W67">
        <v>5</v>
      </c>
      <c r="X67" s="2">
        <v>20.420000000000002</v>
      </c>
      <c r="Y67">
        <v>89584</v>
      </c>
      <c r="Z67">
        <f t="shared" ref="Z67:Z130" si="1">W67*X67</f>
        <v>102.10000000000001</v>
      </c>
    </row>
    <row r="68" spans="1:26" x14ac:dyDescent="0.25">
      <c r="A68">
        <v>26241</v>
      </c>
      <c r="B68" t="s">
        <v>106</v>
      </c>
      <c r="C68" s="2">
        <v>7.0000000000000007E-2</v>
      </c>
      <c r="D68" s="2">
        <v>2.12</v>
      </c>
      <c r="E68" s="2">
        <v>1.99</v>
      </c>
      <c r="F68">
        <v>115</v>
      </c>
      <c r="G68" t="s">
        <v>201</v>
      </c>
      <c r="H68" t="s">
        <v>49</v>
      </c>
      <c r="I68" t="s">
        <v>40</v>
      </c>
      <c r="J68" t="s">
        <v>77</v>
      </c>
      <c r="K68" t="s">
        <v>177</v>
      </c>
      <c r="L68" t="s">
        <v>51</v>
      </c>
      <c r="M68" t="s">
        <v>202</v>
      </c>
      <c r="N68">
        <v>0.55000000000000004</v>
      </c>
      <c r="O68" t="s">
        <v>33</v>
      </c>
      <c r="P68" t="s">
        <v>34</v>
      </c>
      <c r="Q68" t="s">
        <v>102</v>
      </c>
      <c r="R68" t="s">
        <v>203</v>
      </c>
      <c r="S68">
        <v>97128</v>
      </c>
      <c r="T68" s="1">
        <v>42103</v>
      </c>
      <c r="U68" s="1">
        <v>42105</v>
      </c>
      <c r="V68" s="2">
        <v>-55.84</v>
      </c>
      <c r="W68">
        <v>12</v>
      </c>
      <c r="X68" s="2">
        <v>26.07</v>
      </c>
      <c r="Y68">
        <v>89585</v>
      </c>
      <c r="Z68">
        <f t="shared" si="1"/>
        <v>312.84000000000003</v>
      </c>
    </row>
    <row r="69" spans="1:26" x14ac:dyDescent="0.25">
      <c r="A69">
        <v>1074</v>
      </c>
      <c r="B69" t="s">
        <v>25</v>
      </c>
      <c r="C69" s="2">
        <v>0.03</v>
      </c>
      <c r="D69" s="2">
        <v>4.26</v>
      </c>
      <c r="E69" s="2">
        <v>1.2</v>
      </c>
      <c r="F69">
        <v>117</v>
      </c>
      <c r="G69" t="s">
        <v>204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198</v>
      </c>
      <c r="N69">
        <v>0.44</v>
      </c>
      <c r="O69" t="s">
        <v>33</v>
      </c>
      <c r="P69" t="s">
        <v>34</v>
      </c>
      <c r="Q69" t="s">
        <v>35</v>
      </c>
      <c r="R69" t="s">
        <v>205</v>
      </c>
      <c r="S69">
        <v>98103</v>
      </c>
      <c r="T69" s="1">
        <v>42007</v>
      </c>
      <c r="U69" s="1">
        <v>42008</v>
      </c>
      <c r="V69" s="2">
        <v>9.82</v>
      </c>
      <c r="W69">
        <v>29</v>
      </c>
      <c r="X69" s="2">
        <v>122.23</v>
      </c>
      <c r="Y69">
        <v>7909</v>
      </c>
      <c r="Z69">
        <f t="shared" si="1"/>
        <v>3544.67</v>
      </c>
    </row>
    <row r="70" spans="1:26" x14ac:dyDescent="0.25">
      <c r="A70">
        <v>1950</v>
      </c>
      <c r="B70" t="s">
        <v>56</v>
      </c>
      <c r="C70" s="2">
        <v>0.01</v>
      </c>
      <c r="D70" s="2">
        <v>4.91</v>
      </c>
      <c r="E70" s="2">
        <v>0.5</v>
      </c>
      <c r="F70">
        <v>117</v>
      </c>
      <c r="G70" t="s">
        <v>204</v>
      </c>
      <c r="H70" t="s">
        <v>49</v>
      </c>
      <c r="I70" t="s">
        <v>40</v>
      </c>
      <c r="J70" t="s">
        <v>29</v>
      </c>
      <c r="K70" t="s">
        <v>133</v>
      </c>
      <c r="L70" t="s">
        <v>59</v>
      </c>
      <c r="M70" t="s">
        <v>161</v>
      </c>
      <c r="N70">
        <v>0.36</v>
      </c>
      <c r="O70" t="s">
        <v>33</v>
      </c>
      <c r="P70" t="s">
        <v>34</v>
      </c>
      <c r="Q70" t="s">
        <v>35</v>
      </c>
      <c r="R70" t="s">
        <v>205</v>
      </c>
      <c r="S70">
        <v>98103</v>
      </c>
      <c r="T70" s="1">
        <v>42098</v>
      </c>
      <c r="U70" s="1">
        <v>42100</v>
      </c>
      <c r="V70" s="2">
        <v>112.06</v>
      </c>
      <c r="W70">
        <v>47</v>
      </c>
      <c r="X70" s="2">
        <v>228.46</v>
      </c>
      <c r="Y70">
        <v>13959</v>
      </c>
      <c r="Z70">
        <f t="shared" si="1"/>
        <v>10737.62</v>
      </c>
    </row>
    <row r="71" spans="1:26" x14ac:dyDescent="0.25">
      <c r="A71">
        <v>1951</v>
      </c>
      <c r="B71" t="s">
        <v>56</v>
      </c>
      <c r="C71" s="2">
        <v>0.09</v>
      </c>
      <c r="D71" s="2">
        <v>4</v>
      </c>
      <c r="E71" s="2">
        <v>1.3</v>
      </c>
      <c r="F71">
        <v>117</v>
      </c>
      <c r="G71" t="s">
        <v>204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200</v>
      </c>
      <c r="N71">
        <v>0.37</v>
      </c>
      <c r="O71" t="s">
        <v>33</v>
      </c>
      <c r="P71" t="s">
        <v>34</v>
      </c>
      <c r="Q71" t="s">
        <v>35</v>
      </c>
      <c r="R71" t="s">
        <v>205</v>
      </c>
      <c r="S71">
        <v>98103</v>
      </c>
      <c r="T71" s="1">
        <v>42098</v>
      </c>
      <c r="U71" s="1">
        <v>42100</v>
      </c>
      <c r="V71" s="2">
        <v>16.79</v>
      </c>
      <c r="W71">
        <v>19</v>
      </c>
      <c r="X71" s="2">
        <v>77.61</v>
      </c>
      <c r="Y71">
        <v>13959</v>
      </c>
      <c r="Z71">
        <f t="shared" si="1"/>
        <v>1474.59</v>
      </c>
    </row>
    <row r="72" spans="1:26" x14ac:dyDescent="0.25">
      <c r="A72">
        <v>8241</v>
      </c>
      <c r="B72" t="s">
        <v>106</v>
      </c>
      <c r="C72" s="2">
        <v>7.0000000000000007E-2</v>
      </c>
      <c r="D72" s="2">
        <v>2.12</v>
      </c>
      <c r="E72" s="2">
        <v>1.99</v>
      </c>
      <c r="F72">
        <v>117</v>
      </c>
      <c r="G72" t="s">
        <v>204</v>
      </c>
      <c r="H72" t="s">
        <v>49</v>
      </c>
      <c r="I72" t="s">
        <v>40</v>
      </c>
      <c r="J72" t="s">
        <v>77</v>
      </c>
      <c r="K72" t="s">
        <v>177</v>
      </c>
      <c r="L72" t="s">
        <v>51</v>
      </c>
      <c r="M72" t="s">
        <v>202</v>
      </c>
      <c r="N72">
        <v>0.55000000000000004</v>
      </c>
      <c r="O72" t="s">
        <v>33</v>
      </c>
      <c r="P72" t="s">
        <v>34</v>
      </c>
      <c r="Q72" t="s">
        <v>35</v>
      </c>
      <c r="R72" t="s">
        <v>205</v>
      </c>
      <c r="S72">
        <v>98103</v>
      </c>
      <c r="T72" s="1">
        <v>42103</v>
      </c>
      <c r="U72" s="1">
        <v>42105</v>
      </c>
      <c r="V72" s="2">
        <v>-55.84</v>
      </c>
      <c r="W72">
        <v>46</v>
      </c>
      <c r="X72" s="2">
        <v>99.94</v>
      </c>
      <c r="Y72">
        <v>58914</v>
      </c>
      <c r="Z72">
        <f t="shared" si="1"/>
        <v>4597.24</v>
      </c>
    </row>
    <row r="73" spans="1:26" x14ac:dyDescent="0.25">
      <c r="A73">
        <v>20688</v>
      </c>
      <c r="B73" t="s">
        <v>25</v>
      </c>
      <c r="C73" s="2">
        <v>0.05</v>
      </c>
      <c r="D73" s="2">
        <v>6.3</v>
      </c>
      <c r="E73" s="2">
        <v>0.5</v>
      </c>
      <c r="F73">
        <v>120</v>
      </c>
      <c r="G73" t="s">
        <v>206</v>
      </c>
      <c r="H73" t="s">
        <v>49</v>
      </c>
      <c r="I73" t="s">
        <v>28</v>
      </c>
      <c r="J73" t="s">
        <v>29</v>
      </c>
      <c r="K73" t="s">
        <v>133</v>
      </c>
      <c r="L73" t="s">
        <v>59</v>
      </c>
      <c r="M73" t="s">
        <v>207</v>
      </c>
      <c r="N73">
        <v>0.39</v>
      </c>
      <c r="O73" t="s">
        <v>33</v>
      </c>
      <c r="P73" t="s">
        <v>34</v>
      </c>
      <c r="Q73" t="s">
        <v>208</v>
      </c>
      <c r="R73" t="s">
        <v>209</v>
      </c>
      <c r="S73">
        <v>84041</v>
      </c>
      <c r="T73" s="1">
        <v>42016</v>
      </c>
      <c r="U73" s="1">
        <v>42017</v>
      </c>
      <c r="V73" s="2">
        <v>41.296500000000002</v>
      </c>
      <c r="W73">
        <v>10</v>
      </c>
      <c r="X73" s="2">
        <v>59.85</v>
      </c>
      <c r="Y73">
        <v>86520</v>
      </c>
      <c r="Z73">
        <f t="shared" si="1"/>
        <v>598.5</v>
      </c>
    </row>
    <row r="74" spans="1:26" x14ac:dyDescent="0.25">
      <c r="A74">
        <v>20689</v>
      </c>
      <c r="B74" t="s">
        <v>25</v>
      </c>
      <c r="C74" s="2">
        <v>0.09</v>
      </c>
      <c r="D74" s="2">
        <v>205.99</v>
      </c>
      <c r="E74" s="2">
        <v>3</v>
      </c>
      <c r="F74">
        <v>120</v>
      </c>
      <c r="G74" t="s">
        <v>206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>
        <v>6185</v>
      </c>
      <c r="N74">
        <v>0.57999999999999996</v>
      </c>
      <c r="O74" t="s">
        <v>33</v>
      </c>
      <c r="P74" t="s">
        <v>34</v>
      </c>
      <c r="Q74" t="s">
        <v>208</v>
      </c>
      <c r="R74" t="s">
        <v>209</v>
      </c>
      <c r="S74">
        <v>84041</v>
      </c>
      <c r="T74" s="1">
        <v>42016</v>
      </c>
      <c r="U74" s="1">
        <v>42018</v>
      </c>
      <c r="V74" s="2">
        <v>1179.0237</v>
      </c>
      <c r="W74">
        <v>10</v>
      </c>
      <c r="X74" s="2">
        <v>1708.73</v>
      </c>
      <c r="Y74">
        <v>86520</v>
      </c>
      <c r="Z74">
        <f t="shared" si="1"/>
        <v>17087.3</v>
      </c>
    </row>
    <row r="75" spans="1:26" x14ac:dyDescent="0.25">
      <c r="A75">
        <v>19942</v>
      </c>
      <c r="B75" t="s">
        <v>47</v>
      </c>
      <c r="C75" s="2">
        <v>0.06</v>
      </c>
      <c r="D75" s="2">
        <v>8.57</v>
      </c>
      <c r="E75" s="2">
        <v>6.14</v>
      </c>
      <c r="F75">
        <v>123</v>
      </c>
      <c r="G75" t="s">
        <v>210</v>
      </c>
      <c r="H75" t="s">
        <v>49</v>
      </c>
      <c r="I75" t="s">
        <v>40</v>
      </c>
      <c r="J75" t="s">
        <v>29</v>
      </c>
      <c r="K75" t="s">
        <v>171</v>
      </c>
      <c r="L75" t="s">
        <v>51</v>
      </c>
      <c r="M75" t="s">
        <v>211</v>
      </c>
      <c r="N75">
        <v>0.59</v>
      </c>
      <c r="O75" t="s">
        <v>33</v>
      </c>
      <c r="P75" t="s">
        <v>135</v>
      </c>
      <c r="Q75" t="s">
        <v>136</v>
      </c>
      <c r="R75" t="s">
        <v>212</v>
      </c>
      <c r="S75">
        <v>22102</v>
      </c>
      <c r="T75" s="1">
        <v>42103</v>
      </c>
      <c r="U75" s="1">
        <v>42104</v>
      </c>
      <c r="V75" s="2">
        <v>105.678</v>
      </c>
      <c r="W75">
        <v>11</v>
      </c>
      <c r="X75" s="2">
        <v>94.97</v>
      </c>
      <c r="Y75">
        <v>90669</v>
      </c>
      <c r="Z75">
        <f t="shared" si="1"/>
        <v>1044.67</v>
      </c>
    </row>
    <row r="76" spans="1:26" x14ac:dyDescent="0.25">
      <c r="A76">
        <v>24319</v>
      </c>
      <c r="B76" t="s">
        <v>37</v>
      </c>
      <c r="C76" s="2">
        <v>0.02</v>
      </c>
      <c r="D76" s="2">
        <v>1.74</v>
      </c>
      <c r="E76" s="2">
        <v>4.08</v>
      </c>
      <c r="F76">
        <v>129</v>
      </c>
      <c r="G76" t="s">
        <v>213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214</v>
      </c>
      <c r="N76">
        <v>0.53</v>
      </c>
      <c r="O76" t="s">
        <v>33</v>
      </c>
      <c r="P76" t="s">
        <v>61</v>
      </c>
      <c r="Q76" t="s">
        <v>175</v>
      </c>
      <c r="R76" t="s">
        <v>215</v>
      </c>
      <c r="S76">
        <v>62002</v>
      </c>
      <c r="T76" s="1">
        <v>42031</v>
      </c>
      <c r="U76" s="1">
        <v>42032</v>
      </c>
      <c r="V76" s="2">
        <v>-37.39</v>
      </c>
      <c r="W76">
        <v>5</v>
      </c>
      <c r="X76" s="2">
        <v>10.23</v>
      </c>
      <c r="Y76">
        <v>86693</v>
      </c>
      <c r="Z76">
        <f t="shared" si="1"/>
        <v>51.150000000000006</v>
      </c>
    </row>
    <row r="77" spans="1:26" x14ac:dyDescent="0.25">
      <c r="A77">
        <v>18161</v>
      </c>
      <c r="B77" t="s">
        <v>37</v>
      </c>
      <c r="C77" s="2">
        <v>7.0000000000000007E-2</v>
      </c>
      <c r="D77" s="2">
        <v>15.74</v>
      </c>
      <c r="E77" s="2">
        <v>1.39</v>
      </c>
      <c r="F77">
        <v>129</v>
      </c>
      <c r="G77" t="s">
        <v>213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216</v>
      </c>
      <c r="N77">
        <v>0.4</v>
      </c>
      <c r="O77" t="s">
        <v>33</v>
      </c>
      <c r="P77" t="s">
        <v>61</v>
      </c>
      <c r="Q77" t="s">
        <v>175</v>
      </c>
      <c r="R77" t="s">
        <v>215</v>
      </c>
      <c r="S77">
        <v>62002</v>
      </c>
      <c r="T77" s="1">
        <v>42149</v>
      </c>
      <c r="U77" s="1">
        <v>42150</v>
      </c>
      <c r="V77" s="2">
        <v>149.8887</v>
      </c>
      <c r="W77">
        <v>14</v>
      </c>
      <c r="X77" s="2">
        <v>217.23</v>
      </c>
      <c r="Y77">
        <v>86694</v>
      </c>
      <c r="Z77">
        <f t="shared" si="1"/>
        <v>3041.22</v>
      </c>
    </row>
    <row r="78" spans="1:26" x14ac:dyDescent="0.25">
      <c r="A78">
        <v>25762</v>
      </c>
      <c r="B78" t="s">
        <v>47</v>
      </c>
      <c r="C78" s="2">
        <v>0.04</v>
      </c>
      <c r="D78" s="2">
        <v>18.97</v>
      </c>
      <c r="E78" s="2">
        <v>9.5399999999999991</v>
      </c>
      <c r="F78">
        <v>136</v>
      </c>
      <c r="G78" t="s">
        <v>217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218</v>
      </c>
      <c r="N78">
        <v>0.37</v>
      </c>
      <c r="O78" t="s">
        <v>33</v>
      </c>
      <c r="P78" t="s">
        <v>34</v>
      </c>
      <c r="Q78" t="s">
        <v>45</v>
      </c>
      <c r="R78" t="s">
        <v>219</v>
      </c>
      <c r="S78">
        <v>94952</v>
      </c>
      <c r="T78" s="1">
        <v>42140</v>
      </c>
      <c r="U78" s="1">
        <v>42141</v>
      </c>
      <c r="V78" s="2">
        <v>3.04</v>
      </c>
      <c r="W78">
        <v>5</v>
      </c>
      <c r="X78" s="2">
        <v>101.74</v>
      </c>
      <c r="Y78">
        <v>88534</v>
      </c>
      <c r="Z78">
        <f t="shared" si="1"/>
        <v>508.7</v>
      </c>
    </row>
    <row r="79" spans="1:26" x14ac:dyDescent="0.25">
      <c r="A79">
        <v>25764</v>
      </c>
      <c r="B79" t="s">
        <v>47</v>
      </c>
      <c r="C79" s="2">
        <v>0.09</v>
      </c>
      <c r="D79" s="2">
        <v>10.98</v>
      </c>
      <c r="E79" s="2">
        <v>3.37</v>
      </c>
      <c r="F79">
        <v>136</v>
      </c>
      <c r="G79" t="s">
        <v>217</v>
      </c>
      <c r="H79" t="s">
        <v>49</v>
      </c>
      <c r="I79" t="s">
        <v>58</v>
      </c>
      <c r="J79" t="s">
        <v>29</v>
      </c>
      <c r="K79" t="s">
        <v>171</v>
      </c>
      <c r="L79" t="s">
        <v>51</v>
      </c>
      <c r="M79" t="s">
        <v>220</v>
      </c>
      <c r="N79">
        <v>0.56999999999999995</v>
      </c>
      <c r="O79" t="s">
        <v>33</v>
      </c>
      <c r="P79" t="s">
        <v>34</v>
      </c>
      <c r="Q79" t="s">
        <v>45</v>
      </c>
      <c r="R79" t="s">
        <v>219</v>
      </c>
      <c r="S79">
        <v>94952</v>
      </c>
      <c r="T79" s="1">
        <v>42140</v>
      </c>
      <c r="U79" s="1">
        <v>42141</v>
      </c>
      <c r="V79" s="2">
        <v>2.706</v>
      </c>
      <c r="W79">
        <v>8</v>
      </c>
      <c r="X79" s="2">
        <v>84.52</v>
      </c>
      <c r="Y79">
        <v>88534</v>
      </c>
      <c r="Z79">
        <f t="shared" si="1"/>
        <v>676.16</v>
      </c>
    </row>
    <row r="80" spans="1:26" x14ac:dyDescent="0.25">
      <c r="A80">
        <v>24803</v>
      </c>
      <c r="B80" t="s">
        <v>47</v>
      </c>
      <c r="C80" s="2">
        <v>0.03</v>
      </c>
      <c r="D80" s="2">
        <v>22.84</v>
      </c>
      <c r="E80" s="2">
        <v>11.54</v>
      </c>
      <c r="F80">
        <v>142</v>
      </c>
      <c r="G80" t="s">
        <v>221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222</v>
      </c>
      <c r="N80">
        <v>0.39</v>
      </c>
      <c r="O80" t="s">
        <v>33</v>
      </c>
      <c r="P80" t="s">
        <v>53</v>
      </c>
      <c r="Q80" t="s">
        <v>223</v>
      </c>
      <c r="R80" t="s">
        <v>224</v>
      </c>
      <c r="S80">
        <v>6401</v>
      </c>
      <c r="T80" s="1">
        <v>42157</v>
      </c>
      <c r="U80" s="1">
        <v>42158</v>
      </c>
      <c r="V80" s="2">
        <v>91.956000000000003</v>
      </c>
      <c r="W80">
        <v>13</v>
      </c>
      <c r="X80" s="2">
        <v>312.58999999999997</v>
      </c>
      <c r="Y80">
        <v>91087</v>
      </c>
      <c r="Z80">
        <f t="shared" si="1"/>
        <v>4063.6699999999996</v>
      </c>
    </row>
    <row r="81" spans="1:26" x14ac:dyDescent="0.25">
      <c r="A81">
        <v>24805</v>
      </c>
      <c r="B81" t="s">
        <v>47</v>
      </c>
      <c r="C81" s="2">
        <v>0.05</v>
      </c>
      <c r="D81" s="2">
        <v>10.98</v>
      </c>
      <c r="E81" s="2">
        <v>3.37</v>
      </c>
      <c r="F81">
        <v>144</v>
      </c>
      <c r="G81" t="s">
        <v>225</v>
      </c>
      <c r="H81" t="s">
        <v>49</v>
      </c>
      <c r="I81" t="s">
        <v>58</v>
      </c>
      <c r="J81" t="s">
        <v>29</v>
      </c>
      <c r="K81" t="s">
        <v>171</v>
      </c>
      <c r="L81" t="s">
        <v>51</v>
      </c>
      <c r="M81" t="s">
        <v>220</v>
      </c>
      <c r="N81">
        <v>0.56999999999999995</v>
      </c>
      <c r="O81" t="s">
        <v>33</v>
      </c>
      <c r="P81" t="s">
        <v>53</v>
      </c>
      <c r="Q81" t="s">
        <v>189</v>
      </c>
      <c r="R81" t="s">
        <v>226</v>
      </c>
      <c r="S81">
        <v>2664</v>
      </c>
      <c r="T81" s="1">
        <v>42157</v>
      </c>
      <c r="U81" s="1">
        <v>42158</v>
      </c>
      <c r="V81" s="2">
        <v>-2.544</v>
      </c>
      <c r="W81">
        <v>6</v>
      </c>
      <c r="X81" s="2">
        <v>64.400000000000006</v>
      </c>
      <c r="Y81">
        <v>91087</v>
      </c>
      <c r="Z81">
        <f t="shared" si="1"/>
        <v>386.40000000000003</v>
      </c>
    </row>
    <row r="82" spans="1:26" x14ac:dyDescent="0.25">
      <c r="A82">
        <v>24849</v>
      </c>
      <c r="B82" t="s">
        <v>56</v>
      </c>
      <c r="C82" s="2">
        <v>0.06</v>
      </c>
      <c r="D82" s="2">
        <v>7.04</v>
      </c>
      <c r="E82" s="2">
        <v>2.17</v>
      </c>
      <c r="F82">
        <v>145</v>
      </c>
      <c r="G82" t="s">
        <v>227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228</v>
      </c>
      <c r="N82">
        <v>0.38</v>
      </c>
      <c r="O82" t="s">
        <v>33</v>
      </c>
      <c r="P82" t="s">
        <v>53</v>
      </c>
      <c r="Q82" t="s">
        <v>229</v>
      </c>
      <c r="R82" t="s">
        <v>230</v>
      </c>
      <c r="S82">
        <v>15122</v>
      </c>
      <c r="T82" s="1">
        <v>42019</v>
      </c>
      <c r="U82" s="1">
        <v>42021</v>
      </c>
      <c r="V82" s="2">
        <v>2.4851999999999999</v>
      </c>
      <c r="W82">
        <v>2</v>
      </c>
      <c r="X82" s="2">
        <v>14.65</v>
      </c>
      <c r="Y82">
        <v>91086</v>
      </c>
      <c r="Z82">
        <f t="shared" si="1"/>
        <v>29.3</v>
      </c>
    </row>
    <row r="83" spans="1:26" x14ac:dyDescent="0.25">
      <c r="A83">
        <v>25582</v>
      </c>
      <c r="B83" t="s">
        <v>106</v>
      </c>
      <c r="C83" s="2">
        <v>7.0000000000000007E-2</v>
      </c>
      <c r="D83" s="2">
        <v>154.13</v>
      </c>
      <c r="E83" s="2">
        <v>69</v>
      </c>
      <c r="F83">
        <v>145</v>
      </c>
      <c r="G83" t="s">
        <v>227</v>
      </c>
      <c r="H83" t="s">
        <v>27</v>
      </c>
      <c r="I83" t="s">
        <v>40</v>
      </c>
      <c r="J83" t="s">
        <v>41</v>
      </c>
      <c r="K83" t="s">
        <v>150</v>
      </c>
      <c r="L83" t="s">
        <v>231</v>
      </c>
      <c r="M83" t="s">
        <v>232</v>
      </c>
      <c r="N83">
        <v>0.68</v>
      </c>
      <c r="O83" t="s">
        <v>33</v>
      </c>
      <c r="P83" t="s">
        <v>53</v>
      </c>
      <c r="Q83" t="s">
        <v>229</v>
      </c>
      <c r="R83" t="s">
        <v>230</v>
      </c>
      <c r="S83">
        <v>15122</v>
      </c>
      <c r="T83" s="1">
        <v>42079</v>
      </c>
      <c r="U83" s="1">
        <v>42079</v>
      </c>
      <c r="V83" s="2">
        <v>-634.73410000000001</v>
      </c>
      <c r="W83">
        <v>3</v>
      </c>
      <c r="X83" s="2">
        <v>453.62</v>
      </c>
      <c r="Y83">
        <v>91089</v>
      </c>
      <c r="Z83">
        <f t="shared" si="1"/>
        <v>1360.8600000000001</v>
      </c>
    </row>
    <row r="84" spans="1:26" x14ac:dyDescent="0.25">
      <c r="A84">
        <v>23365</v>
      </c>
      <c r="B84" t="s">
        <v>37</v>
      </c>
      <c r="C84" s="2">
        <v>0.01</v>
      </c>
      <c r="D84" s="2">
        <v>45.98</v>
      </c>
      <c r="E84" s="2">
        <v>4.8</v>
      </c>
      <c r="F84">
        <v>146</v>
      </c>
      <c r="G84" t="s">
        <v>233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234</v>
      </c>
      <c r="N84">
        <v>0.68</v>
      </c>
      <c r="O84" t="s">
        <v>33</v>
      </c>
      <c r="P84" t="s">
        <v>61</v>
      </c>
      <c r="Q84" t="s">
        <v>129</v>
      </c>
      <c r="R84" t="s">
        <v>235</v>
      </c>
      <c r="S84">
        <v>76148</v>
      </c>
      <c r="T84" s="1">
        <v>42075</v>
      </c>
      <c r="U84" s="1">
        <v>42076</v>
      </c>
      <c r="V84" s="2">
        <v>133.5771</v>
      </c>
      <c r="W84">
        <v>4</v>
      </c>
      <c r="X84" s="2">
        <v>193.59</v>
      </c>
      <c r="Y84">
        <v>91088</v>
      </c>
      <c r="Z84">
        <f t="shared" si="1"/>
        <v>774.36</v>
      </c>
    </row>
    <row r="85" spans="1:26" x14ac:dyDescent="0.25">
      <c r="A85">
        <v>22907</v>
      </c>
      <c r="B85" t="s">
        <v>56</v>
      </c>
      <c r="C85" s="2">
        <v>0.06</v>
      </c>
      <c r="D85" s="2">
        <v>180.98</v>
      </c>
      <c r="E85" s="2">
        <v>26.2</v>
      </c>
      <c r="F85">
        <v>146</v>
      </c>
      <c r="G85" t="s">
        <v>233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236</v>
      </c>
      <c r="N85">
        <v>0.59</v>
      </c>
      <c r="O85" t="s">
        <v>33</v>
      </c>
      <c r="P85" t="s">
        <v>61</v>
      </c>
      <c r="Q85" t="s">
        <v>129</v>
      </c>
      <c r="R85" t="s">
        <v>235</v>
      </c>
      <c r="S85">
        <v>76148</v>
      </c>
      <c r="T85" s="1">
        <v>42117</v>
      </c>
      <c r="U85" s="1">
        <v>42118</v>
      </c>
      <c r="V85" s="2">
        <v>251.4084</v>
      </c>
      <c r="W85">
        <v>5</v>
      </c>
      <c r="X85" s="2">
        <v>929.57</v>
      </c>
      <c r="Y85">
        <v>91090</v>
      </c>
      <c r="Z85">
        <f t="shared" si="1"/>
        <v>4647.8500000000004</v>
      </c>
    </row>
    <row r="86" spans="1:26" x14ac:dyDescent="0.25">
      <c r="A86">
        <v>19058</v>
      </c>
      <c r="B86" t="s">
        <v>47</v>
      </c>
      <c r="C86" s="2">
        <v>0.09</v>
      </c>
      <c r="D86" s="2">
        <v>32.979999999999997</v>
      </c>
      <c r="E86" s="2">
        <v>5.5</v>
      </c>
      <c r="F86">
        <v>151</v>
      </c>
      <c r="G86" t="s">
        <v>237</v>
      </c>
      <c r="H86" t="s">
        <v>49</v>
      </c>
      <c r="I86" t="s">
        <v>40</v>
      </c>
      <c r="J86" t="s">
        <v>77</v>
      </c>
      <c r="K86" t="s">
        <v>177</v>
      </c>
      <c r="L86" t="s">
        <v>59</v>
      </c>
      <c r="M86" t="s">
        <v>238</v>
      </c>
      <c r="N86">
        <v>0.75</v>
      </c>
      <c r="O86" t="s">
        <v>33</v>
      </c>
      <c r="P86" t="s">
        <v>135</v>
      </c>
      <c r="Q86" t="s">
        <v>239</v>
      </c>
      <c r="R86" t="s">
        <v>240</v>
      </c>
      <c r="S86">
        <v>37664</v>
      </c>
      <c r="T86" s="1">
        <v>42026</v>
      </c>
      <c r="U86" s="1">
        <v>42027</v>
      </c>
      <c r="V86" s="2">
        <v>-20.257999999999999</v>
      </c>
      <c r="W86">
        <v>2</v>
      </c>
      <c r="X86" s="2">
        <v>62.46</v>
      </c>
      <c r="Y86">
        <v>89521</v>
      </c>
      <c r="Z86">
        <f t="shared" si="1"/>
        <v>124.92</v>
      </c>
    </row>
    <row r="87" spans="1:26" x14ac:dyDescent="0.25">
      <c r="A87">
        <v>20679</v>
      </c>
      <c r="B87" t="s">
        <v>25</v>
      </c>
      <c r="C87" s="2">
        <v>0.09</v>
      </c>
      <c r="D87" s="2">
        <v>5.98</v>
      </c>
      <c r="E87" s="2">
        <v>2.5</v>
      </c>
      <c r="F87">
        <v>151</v>
      </c>
      <c r="G87" t="s">
        <v>237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241</v>
      </c>
      <c r="N87">
        <v>0.36</v>
      </c>
      <c r="O87" t="s">
        <v>33</v>
      </c>
      <c r="P87" t="s">
        <v>135</v>
      </c>
      <c r="Q87" t="s">
        <v>239</v>
      </c>
      <c r="R87" t="s">
        <v>240</v>
      </c>
      <c r="S87">
        <v>37664</v>
      </c>
      <c r="T87" s="1">
        <v>42114</v>
      </c>
      <c r="U87" s="1">
        <v>42116</v>
      </c>
      <c r="V87" s="2">
        <v>13.896000000000001</v>
      </c>
      <c r="W87">
        <v>5</v>
      </c>
      <c r="X87" s="2">
        <v>28.11</v>
      </c>
      <c r="Y87">
        <v>89523</v>
      </c>
      <c r="Z87">
        <f t="shared" si="1"/>
        <v>140.55000000000001</v>
      </c>
    </row>
    <row r="88" spans="1:26" x14ac:dyDescent="0.25">
      <c r="A88">
        <v>21103</v>
      </c>
      <c r="B88" t="s">
        <v>47</v>
      </c>
      <c r="C88" s="2">
        <v>0.09</v>
      </c>
      <c r="D88" s="2">
        <v>2.88</v>
      </c>
      <c r="E88" s="2">
        <v>0.7</v>
      </c>
      <c r="F88">
        <v>152</v>
      </c>
      <c r="G88" t="s">
        <v>242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243</v>
      </c>
      <c r="N88">
        <v>0.56000000000000005</v>
      </c>
      <c r="O88" t="s">
        <v>33</v>
      </c>
      <c r="P88" t="s">
        <v>135</v>
      </c>
      <c r="Q88" t="s">
        <v>239</v>
      </c>
      <c r="R88" t="s">
        <v>244</v>
      </c>
      <c r="S88">
        <v>37918</v>
      </c>
      <c r="T88" s="1">
        <v>42019</v>
      </c>
      <c r="U88" s="1">
        <v>42020</v>
      </c>
      <c r="V88" s="2">
        <v>-172.71799999999999</v>
      </c>
      <c r="W88">
        <v>2</v>
      </c>
      <c r="X88" s="2">
        <v>5.5</v>
      </c>
      <c r="Y88">
        <v>89520</v>
      </c>
      <c r="Z88">
        <f t="shared" si="1"/>
        <v>11</v>
      </c>
    </row>
    <row r="89" spans="1:26" x14ac:dyDescent="0.25">
      <c r="A89">
        <v>22243</v>
      </c>
      <c r="B89" t="s">
        <v>106</v>
      </c>
      <c r="C89" s="2">
        <v>0.01</v>
      </c>
      <c r="D89" s="2">
        <v>79.52</v>
      </c>
      <c r="E89" s="2">
        <v>48.2</v>
      </c>
      <c r="F89">
        <v>152</v>
      </c>
      <c r="G89" t="s">
        <v>242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245</v>
      </c>
      <c r="N89">
        <v>0.74</v>
      </c>
      <c r="O89" t="s">
        <v>33</v>
      </c>
      <c r="P89" t="s">
        <v>135</v>
      </c>
      <c r="Q89" t="s">
        <v>239</v>
      </c>
      <c r="R89" t="s">
        <v>244</v>
      </c>
      <c r="S89">
        <v>37918</v>
      </c>
      <c r="T89" s="1">
        <v>42113</v>
      </c>
      <c r="U89" s="1">
        <v>42120</v>
      </c>
      <c r="V89" s="2">
        <v>-40.683999999999997</v>
      </c>
      <c r="W89">
        <v>8</v>
      </c>
      <c r="X89" s="2">
        <v>667.84</v>
      </c>
      <c r="Y89">
        <v>89522</v>
      </c>
      <c r="Z89">
        <f t="shared" si="1"/>
        <v>5342.72</v>
      </c>
    </row>
    <row r="90" spans="1:26" x14ac:dyDescent="0.25">
      <c r="A90">
        <v>21767</v>
      </c>
      <c r="B90" t="s">
        <v>25</v>
      </c>
      <c r="C90" s="2">
        <v>0.01</v>
      </c>
      <c r="D90" s="2">
        <v>65.989999999999995</v>
      </c>
      <c r="E90" s="2">
        <v>8.99</v>
      </c>
      <c r="F90">
        <v>152</v>
      </c>
      <c r="G90" t="s">
        <v>242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246</v>
      </c>
      <c r="N90">
        <v>0.6</v>
      </c>
      <c r="O90" t="s">
        <v>33</v>
      </c>
      <c r="P90" t="s">
        <v>135</v>
      </c>
      <c r="Q90" t="s">
        <v>239</v>
      </c>
      <c r="R90" t="s">
        <v>244</v>
      </c>
      <c r="S90">
        <v>37918</v>
      </c>
      <c r="T90" s="1">
        <v>42092</v>
      </c>
      <c r="U90" s="1">
        <v>42095</v>
      </c>
      <c r="V90" s="2">
        <v>97.86</v>
      </c>
      <c r="W90">
        <v>5</v>
      </c>
      <c r="X90" s="2">
        <v>292.23</v>
      </c>
      <c r="Y90">
        <v>89524</v>
      </c>
      <c r="Z90">
        <f t="shared" si="1"/>
        <v>1461.15</v>
      </c>
    </row>
    <row r="91" spans="1:26" x14ac:dyDescent="0.25">
      <c r="A91">
        <v>22470</v>
      </c>
      <c r="B91" t="s">
        <v>106</v>
      </c>
      <c r="C91" s="2">
        <v>0.1</v>
      </c>
      <c r="D91" s="2">
        <v>39.979999999999997</v>
      </c>
      <c r="E91" s="2">
        <v>4</v>
      </c>
      <c r="F91">
        <v>152</v>
      </c>
      <c r="G91" t="s">
        <v>242</v>
      </c>
      <c r="H91" t="s">
        <v>49</v>
      </c>
      <c r="I91" t="s">
        <v>58</v>
      </c>
      <c r="J91" t="s">
        <v>77</v>
      </c>
      <c r="K91" t="s">
        <v>177</v>
      </c>
      <c r="L91" t="s">
        <v>59</v>
      </c>
      <c r="M91" t="s">
        <v>247</v>
      </c>
      <c r="N91">
        <v>0.7</v>
      </c>
      <c r="O91" t="s">
        <v>33</v>
      </c>
      <c r="P91" t="s">
        <v>135</v>
      </c>
      <c r="Q91" t="s">
        <v>239</v>
      </c>
      <c r="R91" t="s">
        <v>244</v>
      </c>
      <c r="S91">
        <v>37918</v>
      </c>
      <c r="T91" s="1">
        <v>42173</v>
      </c>
      <c r="U91" s="1">
        <v>42177</v>
      </c>
      <c r="V91" s="2">
        <v>360.24</v>
      </c>
      <c r="W91">
        <v>21</v>
      </c>
      <c r="X91" s="2">
        <v>772.56</v>
      </c>
      <c r="Y91">
        <v>89525</v>
      </c>
      <c r="Z91">
        <f t="shared" si="1"/>
        <v>16223.759999999998</v>
      </c>
    </row>
    <row r="92" spans="1:26" x14ac:dyDescent="0.25">
      <c r="A92">
        <v>22329</v>
      </c>
      <c r="B92" t="s">
        <v>47</v>
      </c>
      <c r="C92" s="2">
        <v>0.01</v>
      </c>
      <c r="D92" s="2">
        <v>95.99</v>
      </c>
      <c r="E92" s="2">
        <v>4.9000000000000004</v>
      </c>
      <c r="F92">
        <v>156</v>
      </c>
      <c r="G92" t="s">
        <v>248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249</v>
      </c>
      <c r="N92">
        <v>0.56000000000000005</v>
      </c>
      <c r="O92" t="s">
        <v>33</v>
      </c>
      <c r="P92" t="s">
        <v>34</v>
      </c>
      <c r="Q92" t="s">
        <v>250</v>
      </c>
      <c r="R92" t="s">
        <v>251</v>
      </c>
      <c r="S92">
        <v>80525</v>
      </c>
      <c r="T92" s="1">
        <v>42138</v>
      </c>
      <c r="U92" s="1">
        <v>42139</v>
      </c>
      <c r="V92" s="2">
        <v>713.88</v>
      </c>
      <c r="W92">
        <v>13</v>
      </c>
      <c r="X92" s="2">
        <v>1050.08</v>
      </c>
      <c r="Y92">
        <v>87671</v>
      </c>
      <c r="Z92">
        <f t="shared" si="1"/>
        <v>13651.039999999999</v>
      </c>
    </row>
    <row r="93" spans="1:26" x14ac:dyDescent="0.25">
      <c r="A93">
        <v>20324</v>
      </c>
      <c r="B93" t="s">
        <v>25</v>
      </c>
      <c r="C93" s="2">
        <v>0.03</v>
      </c>
      <c r="D93" s="2">
        <v>10.89</v>
      </c>
      <c r="E93" s="2">
        <v>4.5</v>
      </c>
      <c r="F93">
        <v>156</v>
      </c>
      <c r="G93" t="s">
        <v>248</v>
      </c>
      <c r="H93" t="s">
        <v>49</v>
      </c>
      <c r="I93" t="s">
        <v>28</v>
      </c>
      <c r="J93" t="s">
        <v>29</v>
      </c>
      <c r="K93" t="s">
        <v>252</v>
      </c>
      <c r="L93" t="s">
        <v>59</v>
      </c>
      <c r="M93" t="s">
        <v>253</v>
      </c>
      <c r="N93">
        <v>0.59</v>
      </c>
      <c r="O93" t="s">
        <v>33</v>
      </c>
      <c r="P93" t="s">
        <v>34</v>
      </c>
      <c r="Q93" t="s">
        <v>250</v>
      </c>
      <c r="R93" t="s">
        <v>251</v>
      </c>
      <c r="S93">
        <v>80525</v>
      </c>
      <c r="T93" s="1">
        <v>42029</v>
      </c>
      <c r="U93" s="1">
        <v>42030</v>
      </c>
      <c r="V93" s="2">
        <v>-18.64</v>
      </c>
      <c r="W93">
        <v>3</v>
      </c>
      <c r="X93" s="2">
        <v>33.82</v>
      </c>
      <c r="Y93">
        <v>87672</v>
      </c>
      <c r="Z93">
        <f t="shared" si="1"/>
        <v>101.46000000000001</v>
      </c>
    </row>
    <row r="94" spans="1:26" x14ac:dyDescent="0.25">
      <c r="A94">
        <v>26102</v>
      </c>
      <c r="B94" t="s">
        <v>56</v>
      </c>
      <c r="C94" s="2">
        <v>0.05</v>
      </c>
      <c r="D94" s="2">
        <v>100.98</v>
      </c>
      <c r="E94" s="2">
        <v>35.840000000000003</v>
      </c>
      <c r="F94">
        <v>164</v>
      </c>
      <c r="G94" t="s">
        <v>254</v>
      </c>
      <c r="H94" t="s">
        <v>39</v>
      </c>
      <c r="I94" t="s">
        <v>40</v>
      </c>
      <c r="J94" t="s">
        <v>41</v>
      </c>
      <c r="K94" t="s">
        <v>187</v>
      </c>
      <c r="L94" t="s">
        <v>120</v>
      </c>
      <c r="M94" t="s">
        <v>255</v>
      </c>
      <c r="N94">
        <v>0.62</v>
      </c>
      <c r="O94" t="s">
        <v>33</v>
      </c>
      <c r="P94" t="s">
        <v>34</v>
      </c>
      <c r="Q94" t="s">
        <v>35</v>
      </c>
      <c r="R94" t="s">
        <v>256</v>
      </c>
      <c r="S94">
        <v>99352</v>
      </c>
      <c r="T94" s="1">
        <v>42006</v>
      </c>
      <c r="U94" s="1">
        <v>42008</v>
      </c>
      <c r="V94" s="2">
        <v>-111.4</v>
      </c>
      <c r="W94">
        <v>7</v>
      </c>
      <c r="X94" s="2">
        <v>715.55</v>
      </c>
      <c r="Y94">
        <v>89961</v>
      </c>
      <c r="Z94">
        <f t="shared" si="1"/>
        <v>5008.8499999999995</v>
      </c>
    </row>
    <row r="95" spans="1:26" x14ac:dyDescent="0.25">
      <c r="A95">
        <v>26103</v>
      </c>
      <c r="B95" t="s">
        <v>56</v>
      </c>
      <c r="C95" s="2">
        <v>0.02</v>
      </c>
      <c r="D95" s="2">
        <v>4.9800000000000004</v>
      </c>
      <c r="E95" s="2">
        <v>5.49</v>
      </c>
      <c r="F95">
        <v>164</v>
      </c>
      <c r="G95" t="s">
        <v>254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257</v>
      </c>
      <c r="N95">
        <v>0.38</v>
      </c>
      <c r="O95" t="s">
        <v>33</v>
      </c>
      <c r="P95" t="s">
        <v>34</v>
      </c>
      <c r="Q95" t="s">
        <v>35</v>
      </c>
      <c r="R95" t="s">
        <v>256</v>
      </c>
      <c r="S95">
        <v>99352</v>
      </c>
      <c r="T95" s="1">
        <v>42006</v>
      </c>
      <c r="U95" s="1">
        <v>42007</v>
      </c>
      <c r="V95" s="2">
        <v>-77.03</v>
      </c>
      <c r="W95">
        <v>9</v>
      </c>
      <c r="X95" s="2">
        <v>45.63</v>
      </c>
      <c r="Y95">
        <v>89961</v>
      </c>
      <c r="Z95">
        <f t="shared" si="1"/>
        <v>410.67</v>
      </c>
    </row>
    <row r="96" spans="1:26" x14ac:dyDescent="0.25">
      <c r="A96">
        <v>21040</v>
      </c>
      <c r="B96" t="s">
        <v>106</v>
      </c>
      <c r="C96" s="2">
        <v>0.08</v>
      </c>
      <c r="D96" s="2">
        <v>399.98</v>
      </c>
      <c r="E96" s="2">
        <v>12.06</v>
      </c>
      <c r="F96">
        <v>166</v>
      </c>
      <c r="G96" t="s">
        <v>258</v>
      </c>
      <c r="H96" t="s">
        <v>39</v>
      </c>
      <c r="I96" t="s">
        <v>114</v>
      </c>
      <c r="J96" t="s">
        <v>77</v>
      </c>
      <c r="K96" t="s">
        <v>85</v>
      </c>
      <c r="L96" t="s">
        <v>120</v>
      </c>
      <c r="M96" t="s">
        <v>259</v>
      </c>
      <c r="N96">
        <v>0.56000000000000005</v>
      </c>
      <c r="O96" t="s">
        <v>33</v>
      </c>
      <c r="P96" t="s">
        <v>135</v>
      </c>
      <c r="Q96" t="s">
        <v>239</v>
      </c>
      <c r="R96" t="s">
        <v>260</v>
      </c>
      <c r="S96">
        <v>37087</v>
      </c>
      <c r="T96" s="1">
        <v>42015</v>
      </c>
      <c r="U96" s="1">
        <v>42022</v>
      </c>
      <c r="V96" s="2">
        <v>28.514099999999999</v>
      </c>
      <c r="W96">
        <v>5</v>
      </c>
      <c r="X96" s="2">
        <v>1839.91</v>
      </c>
      <c r="Y96">
        <v>89426</v>
      </c>
      <c r="Z96">
        <f t="shared" si="1"/>
        <v>9199.5500000000011</v>
      </c>
    </row>
    <row r="97" spans="1:26" x14ac:dyDescent="0.25">
      <c r="A97">
        <v>19315</v>
      </c>
      <c r="B97" t="s">
        <v>106</v>
      </c>
      <c r="C97" s="2">
        <v>0.08</v>
      </c>
      <c r="D97" s="2">
        <v>43.22</v>
      </c>
      <c r="E97" s="2">
        <v>16.71</v>
      </c>
      <c r="F97">
        <v>169</v>
      </c>
      <c r="G97" t="s">
        <v>261</v>
      </c>
      <c r="H97" t="s">
        <v>49</v>
      </c>
      <c r="I97" t="s">
        <v>28</v>
      </c>
      <c r="J97" t="s">
        <v>77</v>
      </c>
      <c r="K97" t="s">
        <v>177</v>
      </c>
      <c r="L97" t="s">
        <v>59</v>
      </c>
      <c r="M97" t="s">
        <v>262</v>
      </c>
      <c r="N97">
        <v>0.66</v>
      </c>
      <c r="O97" t="s">
        <v>33</v>
      </c>
      <c r="P97" t="s">
        <v>135</v>
      </c>
      <c r="Q97" t="s">
        <v>168</v>
      </c>
      <c r="R97" t="s">
        <v>263</v>
      </c>
      <c r="S97">
        <v>70802</v>
      </c>
      <c r="T97" s="1">
        <v>42007</v>
      </c>
      <c r="U97" s="1">
        <v>42009</v>
      </c>
      <c r="V97" s="2">
        <v>280.27458000000001</v>
      </c>
      <c r="W97">
        <v>3</v>
      </c>
      <c r="X97" s="2">
        <v>130.62</v>
      </c>
      <c r="Y97">
        <v>87463</v>
      </c>
      <c r="Z97">
        <f t="shared" si="1"/>
        <v>391.86</v>
      </c>
    </row>
    <row r="98" spans="1:26" x14ac:dyDescent="0.25">
      <c r="A98">
        <v>19316</v>
      </c>
      <c r="B98" t="s">
        <v>106</v>
      </c>
      <c r="C98" s="2">
        <v>0.05</v>
      </c>
      <c r="D98" s="2">
        <v>574.74</v>
      </c>
      <c r="E98" s="2">
        <v>24.49</v>
      </c>
      <c r="F98">
        <v>169</v>
      </c>
      <c r="G98" t="s">
        <v>261</v>
      </c>
      <c r="H98" t="s">
        <v>49</v>
      </c>
      <c r="I98" t="s">
        <v>28</v>
      </c>
      <c r="J98" t="s">
        <v>77</v>
      </c>
      <c r="K98" t="s">
        <v>85</v>
      </c>
      <c r="L98" t="s">
        <v>231</v>
      </c>
      <c r="M98" t="s">
        <v>264</v>
      </c>
      <c r="N98">
        <v>0.37</v>
      </c>
      <c r="O98" t="s">
        <v>33</v>
      </c>
      <c r="P98" t="s">
        <v>135</v>
      </c>
      <c r="Q98" t="s">
        <v>168</v>
      </c>
      <c r="R98" t="s">
        <v>263</v>
      </c>
      <c r="S98">
        <v>70802</v>
      </c>
      <c r="T98" s="1">
        <v>42007</v>
      </c>
      <c r="U98" s="1">
        <v>42014</v>
      </c>
      <c r="V98" s="2">
        <v>-112.4263</v>
      </c>
      <c r="W98">
        <v>12</v>
      </c>
      <c r="X98" s="2">
        <v>6945.16</v>
      </c>
      <c r="Y98">
        <v>87463</v>
      </c>
      <c r="Z98">
        <f t="shared" si="1"/>
        <v>83341.919999999998</v>
      </c>
    </row>
    <row r="99" spans="1:26" x14ac:dyDescent="0.25">
      <c r="A99">
        <v>19317</v>
      </c>
      <c r="B99" t="s">
        <v>106</v>
      </c>
      <c r="C99" s="2">
        <v>0.04</v>
      </c>
      <c r="D99" s="2">
        <v>10.14</v>
      </c>
      <c r="E99" s="2">
        <v>2.27</v>
      </c>
      <c r="F99">
        <v>169</v>
      </c>
      <c r="G99" t="s">
        <v>261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265</v>
      </c>
      <c r="N99">
        <v>0.36</v>
      </c>
      <c r="O99" t="s">
        <v>33</v>
      </c>
      <c r="P99" t="s">
        <v>135</v>
      </c>
      <c r="Q99" t="s">
        <v>168</v>
      </c>
      <c r="R99" t="s">
        <v>263</v>
      </c>
      <c r="S99">
        <v>70802</v>
      </c>
      <c r="T99" s="1">
        <v>42007</v>
      </c>
      <c r="U99" s="1">
        <v>42011</v>
      </c>
      <c r="V99" s="2">
        <v>24.923999999999999</v>
      </c>
      <c r="W99">
        <v>3</v>
      </c>
      <c r="X99" s="2">
        <v>30.94</v>
      </c>
      <c r="Y99">
        <v>87463</v>
      </c>
      <c r="Z99">
        <f t="shared" si="1"/>
        <v>92.820000000000007</v>
      </c>
    </row>
    <row r="100" spans="1:26" x14ac:dyDescent="0.25">
      <c r="A100">
        <v>19314</v>
      </c>
      <c r="B100" t="s">
        <v>47</v>
      </c>
      <c r="C100" s="2">
        <v>0.05</v>
      </c>
      <c r="D100" s="2">
        <v>1.88</v>
      </c>
      <c r="E100" s="2">
        <v>1.49</v>
      </c>
      <c r="F100">
        <v>171</v>
      </c>
      <c r="G100" t="s">
        <v>266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267</v>
      </c>
      <c r="N100">
        <v>0.37</v>
      </c>
      <c r="O100" t="s">
        <v>33</v>
      </c>
      <c r="P100" t="s">
        <v>53</v>
      </c>
      <c r="Q100" t="s">
        <v>54</v>
      </c>
      <c r="R100" t="s">
        <v>268</v>
      </c>
      <c r="S100">
        <v>7024</v>
      </c>
      <c r="T100" s="1">
        <v>42107</v>
      </c>
      <c r="U100" s="1">
        <v>42109</v>
      </c>
      <c r="V100" s="2">
        <v>-2.9095</v>
      </c>
      <c r="W100">
        <v>1</v>
      </c>
      <c r="X100" s="2">
        <v>3.42</v>
      </c>
      <c r="Y100">
        <v>87464</v>
      </c>
      <c r="Z100">
        <f t="shared" si="1"/>
        <v>3.42</v>
      </c>
    </row>
    <row r="101" spans="1:26" x14ac:dyDescent="0.25">
      <c r="A101">
        <v>5361</v>
      </c>
      <c r="B101" t="s">
        <v>47</v>
      </c>
      <c r="C101" s="2">
        <v>0.02</v>
      </c>
      <c r="D101" s="2">
        <v>49.99</v>
      </c>
      <c r="E101" s="2">
        <v>19.989999999999998</v>
      </c>
      <c r="F101">
        <v>181</v>
      </c>
      <c r="G101" t="s">
        <v>269</v>
      </c>
      <c r="H101" t="s">
        <v>49</v>
      </c>
      <c r="I101" t="s">
        <v>58</v>
      </c>
      <c r="J101" t="s">
        <v>77</v>
      </c>
      <c r="K101" t="s">
        <v>177</v>
      </c>
      <c r="L101" t="s">
        <v>59</v>
      </c>
      <c r="M101" t="s">
        <v>270</v>
      </c>
      <c r="N101">
        <v>0.41</v>
      </c>
      <c r="O101" t="s">
        <v>33</v>
      </c>
      <c r="P101" t="s">
        <v>34</v>
      </c>
      <c r="Q101" t="s">
        <v>45</v>
      </c>
      <c r="R101" t="s">
        <v>271</v>
      </c>
      <c r="S101">
        <v>94122</v>
      </c>
      <c r="T101" s="1">
        <v>42056</v>
      </c>
      <c r="U101" s="1">
        <v>42056</v>
      </c>
      <c r="V101" s="2">
        <v>-76.89</v>
      </c>
      <c r="W101">
        <v>18</v>
      </c>
      <c r="X101" s="2">
        <v>901.81</v>
      </c>
      <c r="Y101">
        <v>38087</v>
      </c>
      <c r="Z101">
        <f t="shared" si="1"/>
        <v>16232.579999999998</v>
      </c>
    </row>
    <row r="102" spans="1:26" x14ac:dyDescent="0.25">
      <c r="A102">
        <v>522</v>
      </c>
      <c r="B102" t="s">
        <v>25</v>
      </c>
      <c r="C102" s="2">
        <v>7.0000000000000007E-2</v>
      </c>
      <c r="D102" s="2">
        <v>1.68</v>
      </c>
      <c r="E102" s="2">
        <v>1.57</v>
      </c>
      <c r="F102">
        <v>181</v>
      </c>
      <c r="G102" t="s">
        <v>269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271</v>
      </c>
      <c r="S102">
        <v>94122</v>
      </c>
      <c r="T102" s="1">
        <v>42146</v>
      </c>
      <c r="U102" s="1">
        <v>42147</v>
      </c>
      <c r="V102" s="2">
        <v>-35.75</v>
      </c>
      <c r="W102">
        <v>116</v>
      </c>
      <c r="X102" s="2">
        <v>186.59</v>
      </c>
      <c r="Y102">
        <v>3585</v>
      </c>
      <c r="Z102">
        <f t="shared" si="1"/>
        <v>21644.44</v>
      </c>
    </row>
    <row r="103" spans="1:26" x14ac:dyDescent="0.25">
      <c r="A103">
        <v>23361</v>
      </c>
      <c r="B103" t="s">
        <v>47</v>
      </c>
      <c r="C103" s="2">
        <v>0.02</v>
      </c>
      <c r="D103" s="2">
        <v>49.99</v>
      </c>
      <c r="E103" s="2">
        <v>19.989999999999998</v>
      </c>
      <c r="F103">
        <v>184</v>
      </c>
      <c r="G103" t="s">
        <v>272</v>
      </c>
      <c r="H103" t="s">
        <v>49</v>
      </c>
      <c r="I103" t="s">
        <v>58</v>
      </c>
      <c r="J103" t="s">
        <v>77</v>
      </c>
      <c r="K103" t="s">
        <v>177</v>
      </c>
      <c r="L103" t="s">
        <v>59</v>
      </c>
      <c r="M103" t="s">
        <v>270</v>
      </c>
      <c r="N103">
        <v>0.41</v>
      </c>
      <c r="O103" t="s">
        <v>33</v>
      </c>
      <c r="P103" t="s">
        <v>53</v>
      </c>
      <c r="Q103" t="s">
        <v>189</v>
      </c>
      <c r="R103" t="s">
        <v>273</v>
      </c>
      <c r="S103">
        <v>2474</v>
      </c>
      <c r="T103" s="1">
        <v>42056</v>
      </c>
      <c r="U103" s="1">
        <v>42056</v>
      </c>
      <c r="V103" s="2">
        <v>-76.89</v>
      </c>
      <c r="W103">
        <v>5</v>
      </c>
      <c r="X103" s="2">
        <v>250.5</v>
      </c>
      <c r="Y103">
        <v>88360</v>
      </c>
      <c r="Z103">
        <f t="shared" si="1"/>
        <v>1252.5</v>
      </c>
    </row>
    <row r="104" spans="1:26" x14ac:dyDescent="0.25">
      <c r="A104">
        <v>18521</v>
      </c>
      <c r="B104" t="s">
        <v>25</v>
      </c>
      <c r="C104" s="2">
        <v>7.0000000000000007E-2</v>
      </c>
      <c r="D104" s="2">
        <v>10.06</v>
      </c>
      <c r="E104" s="2">
        <v>2.06</v>
      </c>
      <c r="F104">
        <v>188</v>
      </c>
      <c r="G104" t="s">
        <v>274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275</v>
      </c>
      <c r="N104">
        <v>0.39</v>
      </c>
      <c r="O104" t="s">
        <v>33</v>
      </c>
      <c r="P104" t="s">
        <v>61</v>
      </c>
      <c r="Q104" t="s">
        <v>129</v>
      </c>
      <c r="R104" t="s">
        <v>276</v>
      </c>
      <c r="S104">
        <v>76240</v>
      </c>
      <c r="T104" s="1">
        <v>42146</v>
      </c>
      <c r="U104" s="1">
        <v>42146</v>
      </c>
      <c r="V104" s="2">
        <v>152.65559999999999</v>
      </c>
      <c r="W104">
        <v>23</v>
      </c>
      <c r="X104" s="2">
        <v>221.24</v>
      </c>
      <c r="Y104">
        <v>88361</v>
      </c>
      <c r="Z104">
        <f t="shared" si="1"/>
        <v>5088.5200000000004</v>
      </c>
    </row>
    <row r="105" spans="1:26" x14ac:dyDescent="0.25">
      <c r="A105">
        <v>18522</v>
      </c>
      <c r="B105" t="s">
        <v>25</v>
      </c>
      <c r="C105" s="2">
        <v>7.0000000000000007E-2</v>
      </c>
      <c r="D105" s="2">
        <v>1.68</v>
      </c>
      <c r="E105" s="2">
        <v>1.57</v>
      </c>
      <c r="F105">
        <v>188</v>
      </c>
      <c r="G105" t="s">
        <v>274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129</v>
      </c>
      <c r="R105" t="s">
        <v>276</v>
      </c>
      <c r="S105">
        <v>76240</v>
      </c>
      <c r="T105" s="1">
        <v>42146</v>
      </c>
      <c r="U105" s="1">
        <v>42147</v>
      </c>
      <c r="V105" s="2">
        <v>7.15</v>
      </c>
      <c r="W105">
        <v>29</v>
      </c>
      <c r="X105" s="2">
        <v>46.65</v>
      </c>
      <c r="Y105">
        <v>88361</v>
      </c>
      <c r="Z105">
        <f t="shared" si="1"/>
        <v>1352.85</v>
      </c>
    </row>
    <row r="106" spans="1:26" x14ac:dyDescent="0.25">
      <c r="A106">
        <v>18817</v>
      </c>
      <c r="B106" t="s">
        <v>25</v>
      </c>
      <c r="C106" s="2">
        <v>0.1</v>
      </c>
      <c r="D106" s="2">
        <v>58.1</v>
      </c>
      <c r="E106" s="2">
        <v>1.49</v>
      </c>
      <c r="F106">
        <v>190</v>
      </c>
      <c r="G106" t="s">
        <v>277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278</v>
      </c>
      <c r="N106">
        <v>0.38</v>
      </c>
      <c r="O106" t="s">
        <v>33</v>
      </c>
      <c r="P106" t="s">
        <v>61</v>
      </c>
      <c r="Q106" t="s">
        <v>175</v>
      </c>
      <c r="R106" t="s">
        <v>279</v>
      </c>
      <c r="S106">
        <v>60004</v>
      </c>
      <c r="T106" s="1">
        <v>42047</v>
      </c>
      <c r="U106" s="1">
        <v>42048</v>
      </c>
      <c r="V106" s="2">
        <v>113.6499</v>
      </c>
      <c r="W106">
        <v>3</v>
      </c>
      <c r="X106" s="2">
        <v>164.71</v>
      </c>
      <c r="Y106">
        <v>89092</v>
      </c>
      <c r="Z106">
        <f t="shared" si="1"/>
        <v>494.13</v>
      </c>
    </row>
    <row r="107" spans="1:26" x14ac:dyDescent="0.25">
      <c r="A107">
        <v>18818</v>
      </c>
      <c r="B107" t="s">
        <v>25</v>
      </c>
      <c r="C107" s="2">
        <v>0.01</v>
      </c>
      <c r="D107" s="2">
        <v>80.48</v>
      </c>
      <c r="E107" s="2">
        <v>4.5</v>
      </c>
      <c r="F107">
        <v>191</v>
      </c>
      <c r="G107" t="s">
        <v>280</v>
      </c>
      <c r="H107" t="s">
        <v>49</v>
      </c>
      <c r="I107" t="s">
        <v>28</v>
      </c>
      <c r="J107" t="s">
        <v>29</v>
      </c>
      <c r="K107" t="s">
        <v>252</v>
      </c>
      <c r="L107" t="s">
        <v>59</v>
      </c>
      <c r="M107" t="s">
        <v>281</v>
      </c>
      <c r="N107">
        <v>0.55000000000000004</v>
      </c>
      <c r="O107" t="s">
        <v>33</v>
      </c>
      <c r="P107" t="s">
        <v>61</v>
      </c>
      <c r="Q107" t="s">
        <v>175</v>
      </c>
      <c r="R107" t="s">
        <v>282</v>
      </c>
      <c r="S107">
        <v>60505</v>
      </c>
      <c r="T107" s="1">
        <v>42047</v>
      </c>
      <c r="U107" s="1">
        <v>42050</v>
      </c>
      <c r="V107" s="2">
        <v>-35.474400000000003</v>
      </c>
      <c r="W107">
        <v>1</v>
      </c>
      <c r="X107" s="2">
        <v>79.680000000000007</v>
      </c>
      <c r="Y107">
        <v>89092</v>
      </c>
      <c r="Z107">
        <f t="shared" si="1"/>
        <v>79.680000000000007</v>
      </c>
    </row>
    <row r="108" spans="1:26" x14ac:dyDescent="0.25">
      <c r="A108">
        <v>20520</v>
      </c>
      <c r="B108" t="s">
        <v>37</v>
      </c>
      <c r="C108" s="2">
        <v>0.05</v>
      </c>
      <c r="D108" s="2">
        <v>3.8</v>
      </c>
      <c r="E108" s="2">
        <v>1.49</v>
      </c>
      <c r="F108">
        <v>191</v>
      </c>
      <c r="G108" t="s">
        <v>280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124</v>
      </c>
      <c r="N108">
        <v>0.38</v>
      </c>
      <c r="O108" t="s">
        <v>33</v>
      </c>
      <c r="P108" t="s">
        <v>61</v>
      </c>
      <c r="Q108" t="s">
        <v>175</v>
      </c>
      <c r="R108" t="s">
        <v>282</v>
      </c>
      <c r="S108">
        <v>60505</v>
      </c>
      <c r="T108" s="1">
        <v>42103</v>
      </c>
      <c r="U108" s="1">
        <v>42105</v>
      </c>
      <c r="V108" s="2">
        <v>14.467000000000001</v>
      </c>
      <c r="W108">
        <v>14</v>
      </c>
      <c r="X108" s="2">
        <v>53.26</v>
      </c>
      <c r="Y108">
        <v>89093</v>
      </c>
      <c r="Z108">
        <f t="shared" si="1"/>
        <v>745.64</v>
      </c>
    </row>
    <row r="109" spans="1:26" x14ac:dyDescent="0.25">
      <c r="A109">
        <v>20521</v>
      </c>
      <c r="B109" t="s">
        <v>37</v>
      </c>
      <c r="C109" s="2">
        <v>0.09</v>
      </c>
      <c r="D109" s="2">
        <v>30.73</v>
      </c>
      <c r="E109" s="2">
        <v>4</v>
      </c>
      <c r="F109">
        <v>191</v>
      </c>
      <c r="G109" t="s">
        <v>280</v>
      </c>
      <c r="H109" t="s">
        <v>49</v>
      </c>
      <c r="I109" t="s">
        <v>28</v>
      </c>
      <c r="J109" t="s">
        <v>77</v>
      </c>
      <c r="K109" t="s">
        <v>177</v>
      </c>
      <c r="L109" t="s">
        <v>59</v>
      </c>
      <c r="M109" t="s">
        <v>283</v>
      </c>
      <c r="N109">
        <v>0.75</v>
      </c>
      <c r="O109" t="s">
        <v>33</v>
      </c>
      <c r="P109" t="s">
        <v>61</v>
      </c>
      <c r="Q109" t="s">
        <v>175</v>
      </c>
      <c r="R109" t="s">
        <v>282</v>
      </c>
      <c r="S109">
        <v>60505</v>
      </c>
      <c r="T109" s="1">
        <v>42103</v>
      </c>
      <c r="U109" s="1">
        <v>42103</v>
      </c>
      <c r="V109" s="2">
        <v>-99.986400000000003</v>
      </c>
      <c r="W109">
        <v>7</v>
      </c>
      <c r="X109" s="2">
        <v>203.49</v>
      </c>
      <c r="Y109">
        <v>89093</v>
      </c>
      <c r="Z109">
        <f t="shared" si="1"/>
        <v>1424.43</v>
      </c>
    </row>
    <row r="110" spans="1:26" x14ac:dyDescent="0.25">
      <c r="A110">
        <v>20522</v>
      </c>
      <c r="B110" t="s">
        <v>37</v>
      </c>
      <c r="C110" s="2">
        <v>0</v>
      </c>
      <c r="D110" s="2">
        <v>125.99</v>
      </c>
      <c r="E110" s="2">
        <v>8.08</v>
      </c>
      <c r="F110">
        <v>191</v>
      </c>
      <c r="G110" t="s">
        <v>280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284</v>
      </c>
      <c r="N110">
        <v>0.56999999999999995</v>
      </c>
      <c r="O110" t="s">
        <v>33</v>
      </c>
      <c r="P110" t="s">
        <v>61</v>
      </c>
      <c r="Q110" t="s">
        <v>175</v>
      </c>
      <c r="R110" t="s">
        <v>282</v>
      </c>
      <c r="S110">
        <v>60505</v>
      </c>
      <c r="T110" s="1">
        <v>42103</v>
      </c>
      <c r="U110" s="1">
        <v>42104</v>
      </c>
      <c r="V110" s="2">
        <v>1348.59672</v>
      </c>
      <c r="W110">
        <v>22</v>
      </c>
      <c r="X110" s="2">
        <v>2356.0100000000002</v>
      </c>
      <c r="Y110">
        <v>89093</v>
      </c>
      <c r="Z110">
        <f t="shared" si="1"/>
        <v>51832.22</v>
      </c>
    </row>
    <row r="111" spans="1:26" x14ac:dyDescent="0.25">
      <c r="A111">
        <v>19663</v>
      </c>
      <c r="B111" t="s">
        <v>37</v>
      </c>
      <c r="C111" s="2">
        <v>0</v>
      </c>
      <c r="D111" s="2">
        <v>213.45</v>
      </c>
      <c r="E111" s="2">
        <v>14.7</v>
      </c>
      <c r="F111">
        <v>193</v>
      </c>
      <c r="G111" t="s">
        <v>285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286</v>
      </c>
      <c r="N111">
        <v>0.59</v>
      </c>
      <c r="O111" t="s">
        <v>33</v>
      </c>
      <c r="P111" t="s">
        <v>34</v>
      </c>
      <c r="Q111" t="s">
        <v>208</v>
      </c>
      <c r="R111" t="s">
        <v>209</v>
      </c>
      <c r="S111">
        <v>84041</v>
      </c>
      <c r="T111" s="1">
        <v>42007</v>
      </c>
      <c r="U111" s="1">
        <v>42009</v>
      </c>
      <c r="V111" s="2">
        <v>-560.81417999999996</v>
      </c>
      <c r="W111">
        <v>1</v>
      </c>
      <c r="X111" s="2">
        <v>224.12</v>
      </c>
      <c r="Y111">
        <v>90430</v>
      </c>
      <c r="Z111">
        <f t="shared" si="1"/>
        <v>224.12</v>
      </c>
    </row>
    <row r="112" spans="1:26" x14ac:dyDescent="0.25">
      <c r="A112">
        <v>20645</v>
      </c>
      <c r="B112" t="s">
        <v>56</v>
      </c>
      <c r="C112" s="2">
        <v>7.0000000000000007E-2</v>
      </c>
      <c r="D112" s="2">
        <v>6.54</v>
      </c>
      <c r="E112" s="2">
        <v>5.27</v>
      </c>
      <c r="F112">
        <v>193</v>
      </c>
      <c r="G112" t="s">
        <v>285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287</v>
      </c>
      <c r="N112">
        <v>0.36</v>
      </c>
      <c r="O112" t="s">
        <v>33</v>
      </c>
      <c r="P112" t="s">
        <v>34</v>
      </c>
      <c r="Q112" t="s">
        <v>208</v>
      </c>
      <c r="R112" t="s">
        <v>209</v>
      </c>
      <c r="S112">
        <v>84041</v>
      </c>
      <c r="T112" s="1">
        <v>42093</v>
      </c>
      <c r="U112" s="1">
        <v>42095</v>
      </c>
      <c r="V112" s="2">
        <v>-66.044499999999999</v>
      </c>
      <c r="W112">
        <v>21</v>
      </c>
      <c r="X112" s="2">
        <v>140.30000000000001</v>
      </c>
      <c r="Y112">
        <v>90432</v>
      </c>
      <c r="Z112">
        <f t="shared" si="1"/>
        <v>2946.3</v>
      </c>
    </row>
    <row r="113" spans="1:26" x14ac:dyDescent="0.25">
      <c r="A113">
        <v>24273</v>
      </c>
      <c r="B113" t="s">
        <v>37</v>
      </c>
      <c r="C113" s="2">
        <v>0.02</v>
      </c>
      <c r="D113" s="2">
        <v>6.48</v>
      </c>
      <c r="E113" s="2">
        <v>9.17</v>
      </c>
      <c r="F113">
        <v>194</v>
      </c>
      <c r="G113" t="s">
        <v>288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289</v>
      </c>
      <c r="N113">
        <v>0.37</v>
      </c>
      <c r="O113" t="s">
        <v>33</v>
      </c>
      <c r="P113" t="s">
        <v>34</v>
      </c>
      <c r="Q113" t="s">
        <v>208</v>
      </c>
      <c r="R113" t="s">
        <v>290</v>
      </c>
      <c r="S113">
        <v>84043</v>
      </c>
      <c r="T113" s="1">
        <v>42014</v>
      </c>
      <c r="U113" s="1">
        <v>42015</v>
      </c>
      <c r="V113" s="2">
        <v>-105.68519999999999</v>
      </c>
      <c r="W113">
        <v>4</v>
      </c>
      <c r="X113" s="2">
        <v>28.2</v>
      </c>
      <c r="Y113">
        <v>90431</v>
      </c>
      <c r="Z113">
        <f t="shared" si="1"/>
        <v>112.8</v>
      </c>
    </row>
    <row r="114" spans="1:26" x14ac:dyDescent="0.25">
      <c r="A114">
        <v>20646</v>
      </c>
      <c r="B114" t="s">
        <v>56</v>
      </c>
      <c r="C114" s="2">
        <v>0.09</v>
      </c>
      <c r="D114" s="2">
        <v>3.29</v>
      </c>
      <c r="E114" s="2">
        <v>1.35</v>
      </c>
      <c r="F114">
        <v>194</v>
      </c>
      <c r="G114" t="s">
        <v>288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291</v>
      </c>
      <c r="N114">
        <v>0.4</v>
      </c>
      <c r="O114" t="s">
        <v>33</v>
      </c>
      <c r="P114" t="s">
        <v>34</v>
      </c>
      <c r="Q114" t="s">
        <v>208</v>
      </c>
      <c r="R114" t="s">
        <v>290</v>
      </c>
      <c r="S114">
        <v>84043</v>
      </c>
      <c r="T114" s="1">
        <v>42093</v>
      </c>
      <c r="U114" s="1">
        <v>42095</v>
      </c>
      <c r="V114" s="2">
        <v>15.66</v>
      </c>
      <c r="W114">
        <v>23</v>
      </c>
      <c r="X114" s="2">
        <v>71.55</v>
      </c>
      <c r="Y114">
        <v>90432</v>
      </c>
      <c r="Z114">
        <f t="shared" si="1"/>
        <v>1645.6499999999999</v>
      </c>
    </row>
    <row r="115" spans="1:26" x14ac:dyDescent="0.25">
      <c r="A115">
        <v>25158</v>
      </c>
      <c r="B115" t="s">
        <v>47</v>
      </c>
      <c r="C115" s="2">
        <v>0</v>
      </c>
      <c r="D115" s="2">
        <v>161.55000000000001</v>
      </c>
      <c r="E115" s="2">
        <v>19.989999999999998</v>
      </c>
      <c r="F115">
        <v>197</v>
      </c>
      <c r="G115" t="s">
        <v>292</v>
      </c>
      <c r="H115" t="s">
        <v>49</v>
      </c>
      <c r="I115" t="s">
        <v>58</v>
      </c>
      <c r="J115" t="s">
        <v>29</v>
      </c>
      <c r="K115" t="s">
        <v>139</v>
      </c>
      <c r="L115" t="s">
        <v>59</v>
      </c>
      <c r="M115" t="s">
        <v>159</v>
      </c>
      <c r="N115">
        <v>0.66</v>
      </c>
      <c r="O115" t="s">
        <v>33</v>
      </c>
      <c r="P115" t="s">
        <v>61</v>
      </c>
      <c r="Q115" t="s">
        <v>180</v>
      </c>
      <c r="R115" t="s">
        <v>293</v>
      </c>
      <c r="S115">
        <v>66212</v>
      </c>
      <c r="T115" s="1">
        <v>42096</v>
      </c>
      <c r="U115" s="1">
        <v>42098</v>
      </c>
      <c r="V115" s="2">
        <v>1167.1579999999999</v>
      </c>
      <c r="W115">
        <v>19</v>
      </c>
      <c r="X115" s="2">
        <v>3108.98</v>
      </c>
      <c r="Y115">
        <v>88921</v>
      </c>
      <c r="Z115">
        <f t="shared" si="1"/>
        <v>59070.62</v>
      </c>
    </row>
    <row r="116" spans="1:26" x14ac:dyDescent="0.25">
      <c r="A116">
        <v>7158</v>
      </c>
      <c r="B116" t="s">
        <v>47</v>
      </c>
      <c r="C116" s="2">
        <v>0</v>
      </c>
      <c r="D116" s="2">
        <v>161.55000000000001</v>
      </c>
      <c r="E116" s="2">
        <v>19.989999999999998</v>
      </c>
      <c r="F116">
        <v>198</v>
      </c>
      <c r="G116" t="s">
        <v>294</v>
      </c>
      <c r="H116" t="s">
        <v>49</v>
      </c>
      <c r="I116" t="s">
        <v>58</v>
      </c>
      <c r="J116" t="s">
        <v>29</v>
      </c>
      <c r="K116" t="s">
        <v>139</v>
      </c>
      <c r="L116" t="s">
        <v>59</v>
      </c>
      <c r="M116" t="s">
        <v>159</v>
      </c>
      <c r="N116">
        <v>0.66</v>
      </c>
      <c r="O116" t="s">
        <v>33</v>
      </c>
      <c r="P116" t="s">
        <v>61</v>
      </c>
      <c r="Q116" t="s">
        <v>295</v>
      </c>
      <c r="R116" t="s">
        <v>296</v>
      </c>
      <c r="S116">
        <v>48138</v>
      </c>
      <c r="T116" s="1">
        <v>42096</v>
      </c>
      <c r="U116" s="1">
        <v>42098</v>
      </c>
      <c r="V116" s="2">
        <v>1014.92</v>
      </c>
      <c r="W116">
        <v>77</v>
      </c>
      <c r="X116" s="2">
        <v>12599.55</v>
      </c>
      <c r="Y116">
        <v>51072</v>
      </c>
      <c r="Z116">
        <f t="shared" si="1"/>
        <v>970165.35</v>
      </c>
    </row>
    <row r="117" spans="1:26" x14ac:dyDescent="0.25">
      <c r="A117">
        <v>22136</v>
      </c>
      <c r="B117" t="s">
        <v>37</v>
      </c>
      <c r="C117" s="2">
        <v>0.09</v>
      </c>
      <c r="D117" s="2">
        <v>12.28</v>
      </c>
      <c r="E117" s="2">
        <v>4.8600000000000003</v>
      </c>
      <c r="F117">
        <v>202</v>
      </c>
      <c r="G117" t="s">
        <v>297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298</v>
      </c>
      <c r="N117">
        <v>0.38</v>
      </c>
      <c r="O117" t="s">
        <v>33</v>
      </c>
      <c r="P117" t="s">
        <v>61</v>
      </c>
      <c r="Q117" t="s">
        <v>299</v>
      </c>
      <c r="R117" t="s">
        <v>300</v>
      </c>
      <c r="S117">
        <v>74006</v>
      </c>
      <c r="T117" s="1">
        <v>42121</v>
      </c>
      <c r="U117" s="1">
        <v>42122</v>
      </c>
      <c r="V117" s="2">
        <v>1.73</v>
      </c>
      <c r="W117">
        <v>3</v>
      </c>
      <c r="X117" s="2">
        <v>34.65</v>
      </c>
      <c r="Y117">
        <v>88971</v>
      </c>
      <c r="Z117">
        <f t="shared" si="1"/>
        <v>103.94999999999999</v>
      </c>
    </row>
    <row r="118" spans="1:26" x14ac:dyDescent="0.25">
      <c r="A118">
        <v>18783</v>
      </c>
      <c r="B118" t="s">
        <v>25</v>
      </c>
      <c r="C118" s="2">
        <v>0.03</v>
      </c>
      <c r="D118" s="2">
        <v>7.37</v>
      </c>
      <c r="E118" s="2">
        <v>5.53</v>
      </c>
      <c r="F118">
        <v>202</v>
      </c>
      <c r="G118" t="s">
        <v>297</v>
      </c>
      <c r="H118" t="s">
        <v>49</v>
      </c>
      <c r="I118" t="s">
        <v>28</v>
      </c>
      <c r="J118" t="s">
        <v>77</v>
      </c>
      <c r="K118" t="s">
        <v>177</v>
      </c>
      <c r="L118" t="s">
        <v>51</v>
      </c>
      <c r="M118" t="s">
        <v>301</v>
      </c>
      <c r="N118">
        <v>0.69</v>
      </c>
      <c r="O118" t="s">
        <v>33</v>
      </c>
      <c r="P118" t="s">
        <v>61</v>
      </c>
      <c r="Q118" t="s">
        <v>299</v>
      </c>
      <c r="R118" t="s">
        <v>300</v>
      </c>
      <c r="S118">
        <v>74006</v>
      </c>
      <c r="T118" s="1">
        <v>42020</v>
      </c>
      <c r="U118" s="1">
        <v>42022</v>
      </c>
      <c r="V118" s="2">
        <v>-133.69999999999999</v>
      </c>
      <c r="W118">
        <v>11</v>
      </c>
      <c r="X118" s="2">
        <v>85.79</v>
      </c>
      <c r="Y118">
        <v>88972</v>
      </c>
      <c r="Z118">
        <f t="shared" si="1"/>
        <v>943.69</v>
      </c>
    </row>
    <row r="119" spans="1:26" x14ac:dyDescent="0.25">
      <c r="A119">
        <v>21401</v>
      </c>
      <c r="B119" t="s">
        <v>106</v>
      </c>
      <c r="C119" s="2">
        <v>0.05</v>
      </c>
      <c r="D119" s="2">
        <v>1.86</v>
      </c>
      <c r="E119" s="2">
        <v>2.58</v>
      </c>
      <c r="F119">
        <v>210</v>
      </c>
      <c r="G119" t="s">
        <v>302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303</v>
      </c>
      <c r="N119">
        <v>0.82</v>
      </c>
      <c r="O119" t="s">
        <v>33</v>
      </c>
      <c r="P119" t="s">
        <v>53</v>
      </c>
      <c r="Q119" t="s">
        <v>71</v>
      </c>
      <c r="R119" t="s">
        <v>304</v>
      </c>
      <c r="S119">
        <v>12180</v>
      </c>
      <c r="T119" s="1">
        <v>42021</v>
      </c>
      <c r="U119" s="1">
        <v>42025</v>
      </c>
      <c r="V119" s="2">
        <v>-66.62</v>
      </c>
      <c r="W119">
        <v>9</v>
      </c>
      <c r="X119" s="2">
        <v>17.61</v>
      </c>
      <c r="Y119">
        <v>85965</v>
      </c>
      <c r="Z119">
        <f t="shared" si="1"/>
        <v>158.49</v>
      </c>
    </row>
    <row r="120" spans="1:26" x14ac:dyDescent="0.25">
      <c r="A120">
        <v>23097</v>
      </c>
      <c r="B120" t="s">
        <v>56</v>
      </c>
      <c r="C120" s="2">
        <v>0.09</v>
      </c>
      <c r="D120" s="2">
        <v>5.4</v>
      </c>
      <c r="E120" s="2">
        <v>7.78</v>
      </c>
      <c r="F120">
        <v>210</v>
      </c>
      <c r="G120" t="s">
        <v>302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305</v>
      </c>
      <c r="N120">
        <v>0.37</v>
      </c>
      <c r="O120" t="s">
        <v>33</v>
      </c>
      <c r="P120" t="s">
        <v>53</v>
      </c>
      <c r="Q120" t="s">
        <v>71</v>
      </c>
      <c r="R120" t="s">
        <v>304</v>
      </c>
      <c r="S120">
        <v>12180</v>
      </c>
      <c r="T120" s="1">
        <v>42157</v>
      </c>
      <c r="U120" s="1">
        <v>42157</v>
      </c>
      <c r="V120" s="2">
        <v>-21.487749999999998</v>
      </c>
      <c r="W120">
        <v>4</v>
      </c>
      <c r="X120" s="2">
        <v>27.3</v>
      </c>
      <c r="Y120">
        <v>85966</v>
      </c>
      <c r="Z120">
        <f t="shared" si="1"/>
        <v>109.2</v>
      </c>
    </row>
    <row r="121" spans="1:26" x14ac:dyDescent="0.25">
      <c r="A121">
        <v>23098</v>
      </c>
      <c r="B121" t="s">
        <v>56</v>
      </c>
      <c r="C121" s="2">
        <v>0.02</v>
      </c>
      <c r="D121" s="2">
        <v>20.28</v>
      </c>
      <c r="E121" s="2">
        <v>6.68</v>
      </c>
      <c r="F121">
        <v>210</v>
      </c>
      <c r="G121" t="s">
        <v>302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306</v>
      </c>
      <c r="N121">
        <v>0.53</v>
      </c>
      <c r="O121" t="s">
        <v>33</v>
      </c>
      <c r="P121" t="s">
        <v>53</v>
      </c>
      <c r="Q121" t="s">
        <v>71</v>
      </c>
      <c r="R121" t="s">
        <v>304</v>
      </c>
      <c r="S121">
        <v>12180</v>
      </c>
      <c r="T121" s="1">
        <v>42157</v>
      </c>
      <c r="U121" s="1">
        <v>42157</v>
      </c>
      <c r="V121" s="2">
        <v>44.677500000000002</v>
      </c>
      <c r="W121">
        <v>3</v>
      </c>
      <c r="X121" s="2">
        <v>64.75</v>
      </c>
      <c r="Y121">
        <v>85966</v>
      </c>
      <c r="Z121">
        <f t="shared" si="1"/>
        <v>194.25</v>
      </c>
    </row>
    <row r="122" spans="1:26" x14ac:dyDescent="0.25">
      <c r="A122">
        <v>23099</v>
      </c>
      <c r="B122" t="s">
        <v>56</v>
      </c>
      <c r="C122" s="2">
        <v>0</v>
      </c>
      <c r="D122" s="2">
        <v>11.55</v>
      </c>
      <c r="E122" s="2">
        <v>2.36</v>
      </c>
      <c r="F122">
        <v>210</v>
      </c>
      <c r="G122" t="s">
        <v>302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307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304</v>
      </c>
      <c r="S122">
        <v>12180</v>
      </c>
      <c r="T122" s="1">
        <v>42157</v>
      </c>
      <c r="U122" s="1">
        <v>42158</v>
      </c>
      <c r="V122" s="2">
        <v>23.594999999999999</v>
      </c>
      <c r="W122">
        <v>5</v>
      </c>
      <c r="X122" s="2">
        <v>62.98</v>
      </c>
      <c r="Y122">
        <v>85966</v>
      </c>
      <c r="Z122">
        <f t="shared" si="1"/>
        <v>314.89999999999998</v>
      </c>
    </row>
    <row r="123" spans="1:26" x14ac:dyDescent="0.25">
      <c r="A123">
        <v>23605</v>
      </c>
      <c r="B123" t="s">
        <v>56</v>
      </c>
      <c r="C123" s="2">
        <v>0.01</v>
      </c>
      <c r="D123" s="2">
        <v>10.06</v>
      </c>
      <c r="E123" s="2">
        <v>2.06</v>
      </c>
      <c r="F123">
        <v>211</v>
      </c>
      <c r="G123" t="s">
        <v>308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275</v>
      </c>
      <c r="N123">
        <v>0.39</v>
      </c>
      <c r="O123" t="s">
        <v>33</v>
      </c>
      <c r="P123" t="s">
        <v>53</v>
      </c>
      <c r="Q123" t="s">
        <v>71</v>
      </c>
      <c r="R123" t="s">
        <v>309</v>
      </c>
      <c r="S123">
        <v>13501</v>
      </c>
      <c r="T123" s="1">
        <v>42010</v>
      </c>
      <c r="U123" s="1">
        <v>42012</v>
      </c>
      <c r="V123" s="2">
        <v>7.59</v>
      </c>
      <c r="W123">
        <v>2</v>
      </c>
      <c r="X123" s="2">
        <v>21.2</v>
      </c>
      <c r="Y123">
        <v>85964</v>
      </c>
      <c r="Z123">
        <f t="shared" si="1"/>
        <v>42.4</v>
      </c>
    </row>
    <row r="124" spans="1:26" x14ac:dyDescent="0.25">
      <c r="A124">
        <v>23606</v>
      </c>
      <c r="B124" t="s">
        <v>56</v>
      </c>
      <c r="C124" s="2">
        <v>0</v>
      </c>
      <c r="D124" s="2">
        <v>65.989999999999995</v>
      </c>
      <c r="E124" s="2">
        <v>5.92</v>
      </c>
      <c r="F124">
        <v>211</v>
      </c>
      <c r="G124" t="s">
        <v>308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>
        <v>252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309</v>
      </c>
      <c r="S124">
        <v>13501</v>
      </c>
      <c r="T124" s="1">
        <v>42010</v>
      </c>
      <c r="U124" s="1">
        <v>42012</v>
      </c>
      <c r="V124" s="2">
        <v>-107.98699999999999</v>
      </c>
      <c r="W124">
        <v>3</v>
      </c>
      <c r="X124" s="2">
        <v>173.32</v>
      </c>
      <c r="Y124">
        <v>85964</v>
      </c>
      <c r="Z124">
        <f t="shared" si="1"/>
        <v>519.96</v>
      </c>
    </row>
    <row r="125" spans="1:26" x14ac:dyDescent="0.25">
      <c r="A125">
        <v>23100</v>
      </c>
      <c r="B125" t="s">
        <v>56</v>
      </c>
      <c r="C125" s="2">
        <v>0.05</v>
      </c>
      <c r="D125" s="2">
        <v>2.08</v>
      </c>
      <c r="E125" s="2">
        <v>2.56</v>
      </c>
      <c r="F125">
        <v>211</v>
      </c>
      <c r="G125" t="s">
        <v>308</v>
      </c>
      <c r="H125" t="s">
        <v>49</v>
      </c>
      <c r="I125" t="s">
        <v>40</v>
      </c>
      <c r="J125" t="s">
        <v>29</v>
      </c>
      <c r="K125" t="s">
        <v>171</v>
      </c>
      <c r="L125" t="s">
        <v>51</v>
      </c>
      <c r="M125" t="s">
        <v>310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309</v>
      </c>
      <c r="S125">
        <v>13501</v>
      </c>
      <c r="T125" s="1">
        <v>42157</v>
      </c>
      <c r="U125" s="1">
        <v>42158</v>
      </c>
      <c r="V125" s="2">
        <v>-36.25</v>
      </c>
      <c r="W125">
        <v>20</v>
      </c>
      <c r="X125" s="2">
        <v>42.29</v>
      </c>
      <c r="Y125">
        <v>85966</v>
      </c>
      <c r="Z125">
        <f t="shared" si="1"/>
        <v>845.8</v>
      </c>
    </row>
    <row r="126" spans="1:26" x14ac:dyDescent="0.25">
      <c r="A126">
        <v>26303</v>
      </c>
      <c r="B126" t="s">
        <v>56</v>
      </c>
      <c r="C126" s="2">
        <v>0.05</v>
      </c>
      <c r="D126" s="2">
        <v>119.99</v>
      </c>
      <c r="E126" s="2">
        <v>56.14</v>
      </c>
      <c r="F126">
        <v>218</v>
      </c>
      <c r="G126" t="s">
        <v>311</v>
      </c>
      <c r="H126" t="s">
        <v>39</v>
      </c>
      <c r="I126" t="s">
        <v>114</v>
      </c>
      <c r="J126" t="s">
        <v>77</v>
      </c>
      <c r="K126" t="s">
        <v>85</v>
      </c>
      <c r="L126" t="s">
        <v>120</v>
      </c>
      <c r="M126" t="s">
        <v>312</v>
      </c>
      <c r="N126">
        <v>0.39</v>
      </c>
      <c r="O126" t="s">
        <v>33</v>
      </c>
      <c r="P126" t="s">
        <v>34</v>
      </c>
      <c r="Q126" t="s">
        <v>208</v>
      </c>
      <c r="R126" t="s">
        <v>313</v>
      </c>
      <c r="S126">
        <v>84107</v>
      </c>
      <c r="T126" s="1">
        <v>42164</v>
      </c>
      <c r="U126" s="1">
        <v>42166</v>
      </c>
      <c r="V126" s="2">
        <v>-102.5121</v>
      </c>
      <c r="W126">
        <v>6</v>
      </c>
      <c r="X126" s="2">
        <v>730.37</v>
      </c>
      <c r="Y126">
        <v>88048</v>
      </c>
      <c r="Z126">
        <f t="shared" si="1"/>
        <v>4382.22</v>
      </c>
    </row>
    <row r="127" spans="1:26" x14ac:dyDescent="0.25">
      <c r="A127">
        <v>21203</v>
      </c>
      <c r="B127" t="s">
        <v>56</v>
      </c>
      <c r="C127" s="2">
        <v>0.03</v>
      </c>
      <c r="D127" s="2">
        <v>60.89</v>
      </c>
      <c r="E127" s="2">
        <v>32.409999999999997</v>
      </c>
      <c r="F127">
        <v>228</v>
      </c>
      <c r="G127" t="s">
        <v>314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315</v>
      </c>
      <c r="N127">
        <v>0.56000000000000005</v>
      </c>
      <c r="O127" t="s">
        <v>33</v>
      </c>
      <c r="P127" t="s">
        <v>135</v>
      </c>
      <c r="Q127" t="s">
        <v>316</v>
      </c>
      <c r="R127" t="s">
        <v>317</v>
      </c>
      <c r="S127">
        <v>28227</v>
      </c>
      <c r="T127" s="1">
        <v>42096</v>
      </c>
      <c r="U127" s="1">
        <v>42097</v>
      </c>
      <c r="V127" s="2">
        <v>36.353999999999999</v>
      </c>
      <c r="W127">
        <v>7</v>
      </c>
      <c r="X127" s="2">
        <v>450.49</v>
      </c>
      <c r="Y127">
        <v>88527</v>
      </c>
      <c r="Z127">
        <f t="shared" si="1"/>
        <v>3153.4300000000003</v>
      </c>
    </row>
    <row r="128" spans="1:26" x14ac:dyDescent="0.25">
      <c r="A128">
        <v>25500</v>
      </c>
      <c r="B128" t="s">
        <v>56</v>
      </c>
      <c r="C128" s="2">
        <v>7.0000000000000007E-2</v>
      </c>
      <c r="D128" s="2">
        <v>5.81</v>
      </c>
      <c r="E128" s="2">
        <v>8.49</v>
      </c>
      <c r="F128">
        <v>233</v>
      </c>
      <c r="G128" t="s">
        <v>318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319</v>
      </c>
      <c r="N128">
        <v>0.39</v>
      </c>
      <c r="O128" t="s">
        <v>33</v>
      </c>
      <c r="P128" t="s">
        <v>61</v>
      </c>
      <c r="Q128" t="s">
        <v>175</v>
      </c>
      <c r="R128" t="s">
        <v>320</v>
      </c>
      <c r="S128">
        <v>60462</v>
      </c>
      <c r="T128" s="1">
        <v>42055</v>
      </c>
      <c r="U128" s="1">
        <v>42057</v>
      </c>
      <c r="V128" s="2">
        <v>-243.23650000000001</v>
      </c>
      <c r="W128">
        <v>10</v>
      </c>
      <c r="X128" s="2">
        <v>58.8</v>
      </c>
      <c r="Y128">
        <v>90237</v>
      </c>
      <c r="Z128">
        <f t="shared" si="1"/>
        <v>588</v>
      </c>
    </row>
    <row r="129" spans="1:26" x14ac:dyDescent="0.25">
      <c r="A129">
        <v>25501</v>
      </c>
      <c r="B129" t="s">
        <v>56</v>
      </c>
      <c r="C129" s="2">
        <v>0.04</v>
      </c>
      <c r="D129" s="2">
        <v>9.65</v>
      </c>
      <c r="E129" s="2">
        <v>6.22</v>
      </c>
      <c r="F129">
        <v>233</v>
      </c>
      <c r="G129" t="s">
        <v>318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321</v>
      </c>
      <c r="N129">
        <v>0.55000000000000004</v>
      </c>
      <c r="O129" t="s">
        <v>33</v>
      </c>
      <c r="P129" t="s">
        <v>61</v>
      </c>
      <c r="Q129" t="s">
        <v>175</v>
      </c>
      <c r="R129" t="s">
        <v>320</v>
      </c>
      <c r="S129">
        <v>60462</v>
      </c>
      <c r="T129" s="1">
        <v>42055</v>
      </c>
      <c r="U129" s="1">
        <v>42056</v>
      </c>
      <c r="V129" s="2">
        <v>-53.62</v>
      </c>
      <c r="W129">
        <v>12</v>
      </c>
      <c r="X129" s="2">
        <v>120.47</v>
      </c>
      <c r="Y129">
        <v>90237</v>
      </c>
      <c r="Z129">
        <f t="shared" si="1"/>
        <v>1445.6399999999999</v>
      </c>
    </row>
    <row r="130" spans="1:26" x14ac:dyDescent="0.25">
      <c r="A130">
        <v>23058</v>
      </c>
      <c r="B130" t="s">
        <v>47</v>
      </c>
      <c r="C130" s="2">
        <v>0.06</v>
      </c>
      <c r="D130" s="2">
        <v>279.81</v>
      </c>
      <c r="E130" s="2">
        <v>23.19</v>
      </c>
      <c r="F130">
        <v>234</v>
      </c>
      <c r="G130" t="s">
        <v>322</v>
      </c>
      <c r="H130" t="s">
        <v>39</v>
      </c>
      <c r="I130" t="s">
        <v>58</v>
      </c>
      <c r="J130" t="s">
        <v>29</v>
      </c>
      <c r="K130" t="s">
        <v>252</v>
      </c>
      <c r="L130" t="s">
        <v>43</v>
      </c>
      <c r="M130" t="s">
        <v>323</v>
      </c>
      <c r="N130">
        <v>0.59</v>
      </c>
      <c r="O130" t="s">
        <v>33</v>
      </c>
      <c r="P130" t="s">
        <v>61</v>
      </c>
      <c r="Q130" t="s">
        <v>324</v>
      </c>
      <c r="R130" t="s">
        <v>325</v>
      </c>
      <c r="S130">
        <v>50208</v>
      </c>
      <c r="T130" s="1">
        <v>42040</v>
      </c>
      <c r="U130" s="1">
        <v>42041</v>
      </c>
      <c r="V130" s="2">
        <v>1103.9724000000001</v>
      </c>
      <c r="W130">
        <v>6</v>
      </c>
      <c r="X130" s="2">
        <v>1599.96</v>
      </c>
      <c r="Y130">
        <v>90236</v>
      </c>
      <c r="Z130">
        <f t="shared" si="1"/>
        <v>9599.76</v>
      </c>
    </row>
    <row r="131" spans="1:26" x14ac:dyDescent="0.25">
      <c r="A131">
        <v>25121</v>
      </c>
      <c r="B131" t="s">
        <v>25</v>
      </c>
      <c r="C131" s="2">
        <v>0.03</v>
      </c>
      <c r="D131" s="2">
        <v>28.53</v>
      </c>
      <c r="E131" s="2">
        <v>1.49</v>
      </c>
      <c r="F131">
        <v>234</v>
      </c>
      <c r="G131" t="s">
        <v>322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326</v>
      </c>
      <c r="N131">
        <v>0.38</v>
      </c>
      <c r="O131" t="s">
        <v>33</v>
      </c>
      <c r="P131" t="s">
        <v>61</v>
      </c>
      <c r="Q131" t="s">
        <v>324</v>
      </c>
      <c r="R131" t="s">
        <v>325</v>
      </c>
      <c r="S131">
        <v>50208</v>
      </c>
      <c r="T131" s="1">
        <v>42090</v>
      </c>
      <c r="U131" s="1">
        <v>42092</v>
      </c>
      <c r="V131" s="2">
        <v>136.33709999999999</v>
      </c>
      <c r="W131">
        <v>7</v>
      </c>
      <c r="X131" s="2">
        <v>197.59</v>
      </c>
      <c r="Y131">
        <v>90238</v>
      </c>
      <c r="Z131">
        <f t="shared" ref="Z131:Z194" si="2">W131*X131</f>
        <v>1383.13</v>
      </c>
    </row>
    <row r="132" spans="1:26" x14ac:dyDescent="0.25">
      <c r="A132">
        <v>25122</v>
      </c>
      <c r="B132" t="s">
        <v>25</v>
      </c>
      <c r="C132" s="2">
        <v>0.01</v>
      </c>
      <c r="D132" s="2">
        <v>15.28</v>
      </c>
      <c r="E132" s="2">
        <v>1.99</v>
      </c>
      <c r="F132">
        <v>234</v>
      </c>
      <c r="G132" t="s">
        <v>322</v>
      </c>
      <c r="H132" t="s">
        <v>49</v>
      </c>
      <c r="I132" t="s">
        <v>58</v>
      </c>
      <c r="J132" t="s">
        <v>77</v>
      </c>
      <c r="K132" t="s">
        <v>177</v>
      </c>
      <c r="L132" t="s">
        <v>51</v>
      </c>
      <c r="M132" t="s">
        <v>327</v>
      </c>
      <c r="N132">
        <v>0.42</v>
      </c>
      <c r="O132" t="s">
        <v>33</v>
      </c>
      <c r="P132" t="s">
        <v>61</v>
      </c>
      <c r="Q132" t="s">
        <v>324</v>
      </c>
      <c r="R132" t="s">
        <v>325</v>
      </c>
      <c r="S132">
        <v>50208</v>
      </c>
      <c r="T132" s="1">
        <v>42090</v>
      </c>
      <c r="U132" s="1">
        <v>42092</v>
      </c>
      <c r="V132" s="2">
        <v>-12.46</v>
      </c>
      <c r="W132">
        <v>2</v>
      </c>
      <c r="X132" s="2">
        <v>33.04</v>
      </c>
      <c r="Y132">
        <v>90238</v>
      </c>
      <c r="Z132">
        <f t="shared" si="2"/>
        <v>66.08</v>
      </c>
    </row>
    <row r="133" spans="1:26" x14ac:dyDescent="0.25">
      <c r="A133">
        <v>22044</v>
      </c>
      <c r="B133" t="s">
        <v>106</v>
      </c>
      <c r="C133" s="2">
        <v>0.06</v>
      </c>
      <c r="D133" s="2">
        <v>3.34</v>
      </c>
      <c r="E133" s="2">
        <v>7.49</v>
      </c>
      <c r="F133">
        <v>234</v>
      </c>
      <c r="G133" t="s">
        <v>322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328</v>
      </c>
      <c r="N133">
        <v>0.54</v>
      </c>
      <c r="O133" t="s">
        <v>33</v>
      </c>
      <c r="P133" t="s">
        <v>61</v>
      </c>
      <c r="Q133" t="s">
        <v>324</v>
      </c>
      <c r="R133" t="s">
        <v>325</v>
      </c>
      <c r="S133">
        <v>50208</v>
      </c>
      <c r="T133" s="1">
        <v>42122</v>
      </c>
      <c r="U133" s="1">
        <v>42124</v>
      </c>
      <c r="V133" s="2">
        <v>-175.86</v>
      </c>
      <c r="W133">
        <v>8</v>
      </c>
      <c r="X133" s="2">
        <v>27.45</v>
      </c>
      <c r="Y133">
        <v>90239</v>
      </c>
      <c r="Z133">
        <f t="shared" si="2"/>
        <v>219.6</v>
      </c>
    </row>
    <row r="134" spans="1:26" x14ac:dyDescent="0.25">
      <c r="A134">
        <v>18885</v>
      </c>
      <c r="B134" t="s">
        <v>37</v>
      </c>
      <c r="C134" s="2">
        <v>0</v>
      </c>
      <c r="D134" s="2">
        <v>442.14</v>
      </c>
      <c r="E134" s="2">
        <v>14.7</v>
      </c>
      <c r="F134">
        <v>236</v>
      </c>
      <c r="G134" t="s">
        <v>329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330</v>
      </c>
      <c r="N134">
        <v>0.56000000000000005</v>
      </c>
      <c r="O134" t="s">
        <v>33</v>
      </c>
      <c r="P134" t="s">
        <v>34</v>
      </c>
      <c r="Q134" t="s">
        <v>250</v>
      </c>
      <c r="R134" t="s">
        <v>331</v>
      </c>
      <c r="S134">
        <v>80027</v>
      </c>
      <c r="T134" s="1">
        <v>42057</v>
      </c>
      <c r="U134" s="1">
        <v>42057</v>
      </c>
      <c r="V134" s="2">
        <v>3294.8258999999998</v>
      </c>
      <c r="W134">
        <v>10</v>
      </c>
      <c r="X134" s="2">
        <v>4775.1099999999997</v>
      </c>
      <c r="Y134">
        <v>86621</v>
      </c>
      <c r="Z134">
        <f t="shared" si="2"/>
        <v>47751.1</v>
      </c>
    </row>
    <row r="135" spans="1:26" x14ac:dyDescent="0.25">
      <c r="A135">
        <v>24327</v>
      </c>
      <c r="B135" t="s">
        <v>56</v>
      </c>
      <c r="C135" s="2">
        <v>0.1</v>
      </c>
      <c r="D135" s="2">
        <v>19.98</v>
      </c>
      <c r="E135" s="2">
        <v>5.77</v>
      </c>
      <c r="F135">
        <v>240</v>
      </c>
      <c r="G135" t="s">
        <v>332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333</v>
      </c>
      <c r="N135">
        <v>0.38</v>
      </c>
      <c r="O135" t="s">
        <v>33</v>
      </c>
      <c r="P135" t="s">
        <v>34</v>
      </c>
      <c r="Q135" t="s">
        <v>250</v>
      </c>
      <c r="R135" t="s">
        <v>334</v>
      </c>
      <c r="S135">
        <v>80817</v>
      </c>
      <c r="T135" s="1">
        <v>42114</v>
      </c>
      <c r="U135" s="1">
        <v>42114</v>
      </c>
      <c r="V135" s="2">
        <v>35.090000000000003</v>
      </c>
      <c r="W135">
        <v>3</v>
      </c>
      <c r="X135" s="2">
        <v>57.41</v>
      </c>
      <c r="Y135">
        <v>90479</v>
      </c>
      <c r="Z135">
        <f t="shared" si="2"/>
        <v>172.23</v>
      </c>
    </row>
    <row r="136" spans="1:26" x14ac:dyDescent="0.25">
      <c r="A136">
        <v>24328</v>
      </c>
      <c r="B136" t="s">
        <v>56</v>
      </c>
      <c r="C136" s="2">
        <v>0.06</v>
      </c>
      <c r="D136" s="2">
        <v>259.70999999999998</v>
      </c>
      <c r="E136" s="2">
        <v>66.67</v>
      </c>
      <c r="F136">
        <v>241</v>
      </c>
      <c r="G136" t="s">
        <v>335</v>
      </c>
      <c r="H136" t="s">
        <v>39</v>
      </c>
      <c r="I136" t="s">
        <v>58</v>
      </c>
      <c r="J136" t="s">
        <v>41</v>
      </c>
      <c r="K136" t="s">
        <v>150</v>
      </c>
      <c r="L136" t="s">
        <v>120</v>
      </c>
      <c r="M136" t="s">
        <v>336</v>
      </c>
      <c r="N136">
        <v>0.61</v>
      </c>
      <c r="O136" t="s">
        <v>33</v>
      </c>
      <c r="P136" t="s">
        <v>34</v>
      </c>
      <c r="Q136" t="s">
        <v>250</v>
      </c>
      <c r="R136" t="s">
        <v>337</v>
      </c>
      <c r="S136">
        <v>81503</v>
      </c>
      <c r="T136" s="1">
        <v>42114</v>
      </c>
      <c r="U136" s="1">
        <v>42115</v>
      </c>
      <c r="V136" s="2">
        <v>785.63</v>
      </c>
      <c r="W136">
        <v>11</v>
      </c>
      <c r="X136" s="2">
        <v>2809.87</v>
      </c>
      <c r="Y136">
        <v>90479</v>
      </c>
      <c r="Z136">
        <f t="shared" si="2"/>
        <v>30908.57</v>
      </c>
    </row>
    <row r="137" spans="1:26" x14ac:dyDescent="0.25">
      <c r="A137">
        <v>25264</v>
      </c>
      <c r="B137" t="s">
        <v>106</v>
      </c>
      <c r="C137" s="2">
        <v>0.01</v>
      </c>
      <c r="D137" s="2">
        <v>5.94</v>
      </c>
      <c r="E137" s="2">
        <v>9.92</v>
      </c>
      <c r="F137">
        <v>241</v>
      </c>
      <c r="G137" t="s">
        <v>335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338</v>
      </c>
      <c r="N137">
        <v>0.38</v>
      </c>
      <c r="O137" t="s">
        <v>33</v>
      </c>
      <c r="P137" t="s">
        <v>34</v>
      </c>
      <c r="Q137" t="s">
        <v>250</v>
      </c>
      <c r="R137" t="s">
        <v>337</v>
      </c>
      <c r="S137">
        <v>81503</v>
      </c>
      <c r="T137" s="1">
        <v>42150</v>
      </c>
      <c r="U137" s="1">
        <v>42157</v>
      </c>
      <c r="V137" s="2">
        <v>-256.51900000000001</v>
      </c>
      <c r="W137">
        <v>13</v>
      </c>
      <c r="X137" s="2">
        <v>79.930000000000007</v>
      </c>
      <c r="Y137">
        <v>90480</v>
      </c>
      <c r="Z137">
        <f t="shared" si="2"/>
        <v>1039.0900000000001</v>
      </c>
    </row>
    <row r="138" spans="1:26" x14ac:dyDescent="0.25">
      <c r="A138">
        <v>25265</v>
      </c>
      <c r="B138" t="s">
        <v>106</v>
      </c>
      <c r="C138" s="2">
        <v>0.02</v>
      </c>
      <c r="D138" s="2">
        <v>125.99</v>
      </c>
      <c r="E138" s="2">
        <v>3</v>
      </c>
      <c r="F138">
        <v>241</v>
      </c>
      <c r="G138" t="s">
        <v>335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339</v>
      </c>
      <c r="N138">
        <v>0.59</v>
      </c>
      <c r="O138" t="s">
        <v>33</v>
      </c>
      <c r="P138" t="s">
        <v>34</v>
      </c>
      <c r="Q138" t="s">
        <v>250</v>
      </c>
      <c r="R138" t="s">
        <v>337</v>
      </c>
      <c r="S138">
        <v>81503</v>
      </c>
      <c r="T138" s="1">
        <v>42150</v>
      </c>
      <c r="U138" s="1">
        <v>42150</v>
      </c>
      <c r="V138" s="2">
        <v>398.358</v>
      </c>
      <c r="W138">
        <v>8</v>
      </c>
      <c r="X138" s="2">
        <v>873.18</v>
      </c>
      <c r="Y138">
        <v>90480</v>
      </c>
      <c r="Z138">
        <f t="shared" si="2"/>
        <v>6985.44</v>
      </c>
    </row>
    <row r="139" spans="1:26" x14ac:dyDescent="0.25">
      <c r="A139">
        <v>18849</v>
      </c>
      <c r="B139" t="s">
        <v>56</v>
      </c>
      <c r="C139" s="2">
        <v>0.02</v>
      </c>
      <c r="D139" s="2">
        <v>146.05000000000001</v>
      </c>
      <c r="E139" s="2">
        <v>80.2</v>
      </c>
      <c r="F139">
        <v>247</v>
      </c>
      <c r="G139" t="s">
        <v>340</v>
      </c>
      <c r="H139" t="s">
        <v>39</v>
      </c>
      <c r="I139" t="s">
        <v>28</v>
      </c>
      <c r="J139" t="s">
        <v>41</v>
      </c>
      <c r="K139" t="s">
        <v>150</v>
      </c>
      <c r="L139" t="s">
        <v>120</v>
      </c>
      <c r="M139" t="s">
        <v>341</v>
      </c>
      <c r="N139">
        <v>0.71</v>
      </c>
      <c r="O139" t="s">
        <v>33</v>
      </c>
      <c r="P139" t="s">
        <v>135</v>
      </c>
      <c r="Q139" t="s">
        <v>239</v>
      </c>
      <c r="R139" t="s">
        <v>342</v>
      </c>
      <c r="S139">
        <v>37804</v>
      </c>
      <c r="T139" s="1">
        <v>42058</v>
      </c>
      <c r="U139" s="1">
        <v>42058</v>
      </c>
      <c r="V139" s="2">
        <v>-101.19199999999999</v>
      </c>
      <c r="W139">
        <v>5</v>
      </c>
      <c r="X139" s="2">
        <v>798.69</v>
      </c>
      <c r="Y139">
        <v>89139</v>
      </c>
      <c r="Z139">
        <f t="shared" si="2"/>
        <v>3993.4500000000003</v>
      </c>
    </row>
    <row r="140" spans="1:26" x14ac:dyDescent="0.25">
      <c r="A140">
        <v>18850</v>
      </c>
      <c r="B140" t="s">
        <v>56</v>
      </c>
      <c r="C140" s="2">
        <v>0.06</v>
      </c>
      <c r="D140" s="2">
        <v>65.989999999999995</v>
      </c>
      <c r="E140" s="2">
        <v>5.92</v>
      </c>
      <c r="F140">
        <v>247</v>
      </c>
      <c r="G140" t="s">
        <v>340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>
        <v>252</v>
      </c>
      <c r="N140">
        <v>0.55000000000000004</v>
      </c>
      <c r="O140" t="s">
        <v>33</v>
      </c>
      <c r="P140" t="s">
        <v>135</v>
      </c>
      <c r="Q140" t="s">
        <v>239</v>
      </c>
      <c r="R140" t="s">
        <v>342</v>
      </c>
      <c r="S140">
        <v>37804</v>
      </c>
      <c r="T140" s="1">
        <v>42058</v>
      </c>
      <c r="U140" s="1">
        <v>42059</v>
      </c>
      <c r="V140" s="2">
        <v>-3.3319999999999999</v>
      </c>
      <c r="W140">
        <v>14</v>
      </c>
      <c r="X140" s="2">
        <v>792.11</v>
      </c>
      <c r="Y140">
        <v>89139</v>
      </c>
      <c r="Z140">
        <f t="shared" si="2"/>
        <v>11089.54</v>
      </c>
    </row>
    <row r="141" spans="1:26" x14ac:dyDescent="0.25">
      <c r="A141">
        <v>18842</v>
      </c>
      <c r="B141" t="s">
        <v>56</v>
      </c>
      <c r="C141" s="2">
        <v>0.09</v>
      </c>
      <c r="D141" s="2">
        <v>2.88</v>
      </c>
      <c r="E141" s="2">
        <v>0.99</v>
      </c>
      <c r="F141">
        <v>247</v>
      </c>
      <c r="G141" t="s">
        <v>340</v>
      </c>
      <c r="H141" t="s">
        <v>49</v>
      </c>
      <c r="I141" t="s">
        <v>28</v>
      </c>
      <c r="J141" t="s">
        <v>29</v>
      </c>
      <c r="K141" t="s">
        <v>133</v>
      </c>
      <c r="L141" t="s">
        <v>59</v>
      </c>
      <c r="M141" t="s">
        <v>343</v>
      </c>
      <c r="N141">
        <v>0.36</v>
      </c>
      <c r="O141" t="s">
        <v>33</v>
      </c>
      <c r="P141" t="s">
        <v>135</v>
      </c>
      <c r="Q141" t="s">
        <v>239</v>
      </c>
      <c r="R141" t="s">
        <v>342</v>
      </c>
      <c r="S141">
        <v>37804</v>
      </c>
      <c r="T141" s="1">
        <v>42084</v>
      </c>
      <c r="U141" s="1">
        <v>42086</v>
      </c>
      <c r="V141" s="2">
        <v>-145.08199999999999</v>
      </c>
      <c r="W141">
        <v>10</v>
      </c>
      <c r="X141" s="2">
        <v>28.73</v>
      </c>
      <c r="Y141">
        <v>89140</v>
      </c>
      <c r="Z141">
        <f t="shared" si="2"/>
        <v>287.3</v>
      </c>
    </row>
    <row r="142" spans="1:26" x14ac:dyDescent="0.25">
      <c r="A142">
        <v>18773</v>
      </c>
      <c r="B142" t="s">
        <v>47</v>
      </c>
      <c r="C142" s="2">
        <v>0.02</v>
      </c>
      <c r="D142" s="2">
        <v>2.58</v>
      </c>
      <c r="E142" s="2">
        <v>1.3</v>
      </c>
      <c r="F142">
        <v>250</v>
      </c>
      <c r="G142" t="s">
        <v>344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345</v>
      </c>
      <c r="N142">
        <v>0.59</v>
      </c>
      <c r="O142" t="s">
        <v>33</v>
      </c>
      <c r="P142" t="s">
        <v>61</v>
      </c>
      <c r="Q142" t="s">
        <v>62</v>
      </c>
      <c r="R142" t="s">
        <v>346</v>
      </c>
      <c r="S142">
        <v>55423</v>
      </c>
      <c r="T142" s="1">
        <v>42152</v>
      </c>
      <c r="U142" s="1">
        <v>42153</v>
      </c>
      <c r="V142" s="2">
        <v>1.1080000000000001</v>
      </c>
      <c r="W142">
        <v>39</v>
      </c>
      <c r="X142" s="2">
        <v>109.74</v>
      </c>
      <c r="Y142">
        <v>87214</v>
      </c>
      <c r="Z142">
        <f t="shared" si="2"/>
        <v>4279.8599999999997</v>
      </c>
    </row>
    <row r="143" spans="1:26" x14ac:dyDescent="0.25">
      <c r="A143">
        <v>18774</v>
      </c>
      <c r="B143" t="s">
        <v>47</v>
      </c>
      <c r="C143" s="2">
        <v>0.02</v>
      </c>
      <c r="D143" s="2">
        <v>65.989999999999995</v>
      </c>
      <c r="E143" s="2">
        <v>3.9</v>
      </c>
      <c r="F143">
        <v>250</v>
      </c>
      <c r="G143" t="s">
        <v>344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347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346</v>
      </c>
      <c r="S143">
        <v>55423</v>
      </c>
      <c r="T143" s="1">
        <v>42152</v>
      </c>
      <c r="U143" s="1">
        <v>42153</v>
      </c>
      <c r="V143" s="2">
        <v>1061.3789999999999</v>
      </c>
      <c r="W143">
        <v>27</v>
      </c>
      <c r="X143" s="2">
        <v>1543.55</v>
      </c>
      <c r="Y143">
        <v>87214</v>
      </c>
      <c r="Z143">
        <f t="shared" si="2"/>
        <v>41675.85</v>
      </c>
    </row>
    <row r="144" spans="1:26" x14ac:dyDescent="0.25">
      <c r="A144">
        <v>18801</v>
      </c>
      <c r="B144" t="s">
        <v>56</v>
      </c>
      <c r="C144" s="2">
        <v>0.1</v>
      </c>
      <c r="D144" s="2">
        <v>280.98</v>
      </c>
      <c r="E144" s="2">
        <v>35.67</v>
      </c>
      <c r="F144">
        <v>254</v>
      </c>
      <c r="G144" t="s">
        <v>348</v>
      </c>
      <c r="H144" t="s">
        <v>39</v>
      </c>
      <c r="I144" t="s">
        <v>40</v>
      </c>
      <c r="J144" t="s">
        <v>41</v>
      </c>
      <c r="K144" t="s">
        <v>150</v>
      </c>
      <c r="L144" t="s">
        <v>120</v>
      </c>
      <c r="M144" t="s">
        <v>349</v>
      </c>
      <c r="N144">
        <v>0.66</v>
      </c>
      <c r="O144" t="s">
        <v>33</v>
      </c>
      <c r="P144" t="s">
        <v>34</v>
      </c>
      <c r="Q144" t="s">
        <v>250</v>
      </c>
      <c r="R144" t="s">
        <v>350</v>
      </c>
      <c r="S144">
        <v>80126</v>
      </c>
      <c r="T144" s="1">
        <v>42165</v>
      </c>
      <c r="U144" s="1">
        <v>42166</v>
      </c>
      <c r="V144" s="2">
        <v>-53.744999999999997</v>
      </c>
      <c r="W144">
        <v>5</v>
      </c>
      <c r="X144" s="2">
        <v>1332.82</v>
      </c>
      <c r="Y144">
        <v>86268</v>
      </c>
      <c r="Z144">
        <f t="shared" si="2"/>
        <v>6664.0999999999995</v>
      </c>
    </row>
    <row r="145" spans="1:26" x14ac:dyDescent="0.25">
      <c r="A145">
        <v>20577</v>
      </c>
      <c r="B145" t="s">
        <v>47</v>
      </c>
      <c r="C145" s="2">
        <v>0.03</v>
      </c>
      <c r="D145" s="2">
        <v>8.34</v>
      </c>
      <c r="E145" s="2">
        <v>2.64</v>
      </c>
      <c r="F145">
        <v>256</v>
      </c>
      <c r="G145" t="s">
        <v>351</v>
      </c>
      <c r="H145" t="s">
        <v>49</v>
      </c>
      <c r="I145" t="s">
        <v>40</v>
      </c>
      <c r="J145" t="s">
        <v>29</v>
      </c>
      <c r="K145" t="s">
        <v>171</v>
      </c>
      <c r="L145" t="s">
        <v>51</v>
      </c>
      <c r="M145" t="s">
        <v>352</v>
      </c>
      <c r="N145">
        <v>0.59</v>
      </c>
      <c r="O145" t="s">
        <v>33</v>
      </c>
      <c r="P145" t="s">
        <v>53</v>
      </c>
      <c r="Q145" t="s">
        <v>229</v>
      </c>
      <c r="R145" t="s">
        <v>353</v>
      </c>
      <c r="S145">
        <v>17331</v>
      </c>
      <c r="T145" s="1">
        <v>42035</v>
      </c>
      <c r="U145" s="1">
        <v>42037</v>
      </c>
      <c r="V145" s="2">
        <v>0.68400000000000005</v>
      </c>
      <c r="W145">
        <v>4</v>
      </c>
      <c r="X145" s="2">
        <v>34.64</v>
      </c>
      <c r="Y145">
        <v>86267</v>
      </c>
      <c r="Z145">
        <f t="shared" si="2"/>
        <v>138.56</v>
      </c>
    </row>
    <row r="146" spans="1:26" x14ac:dyDescent="0.25">
      <c r="A146">
        <v>24498</v>
      </c>
      <c r="B146" t="s">
        <v>56</v>
      </c>
      <c r="C146" s="2">
        <v>0.05</v>
      </c>
      <c r="D146" s="2">
        <v>17.48</v>
      </c>
      <c r="E146" s="2">
        <v>1.99</v>
      </c>
      <c r="F146">
        <v>258</v>
      </c>
      <c r="G146" t="s">
        <v>354</v>
      </c>
      <c r="H146" t="s">
        <v>49</v>
      </c>
      <c r="I146" t="s">
        <v>114</v>
      </c>
      <c r="J146" t="s">
        <v>77</v>
      </c>
      <c r="K146" t="s">
        <v>177</v>
      </c>
      <c r="L146" t="s">
        <v>51</v>
      </c>
      <c r="M146" t="s">
        <v>355</v>
      </c>
      <c r="N146">
        <v>0.45</v>
      </c>
      <c r="O146" t="s">
        <v>33</v>
      </c>
      <c r="P146" t="s">
        <v>135</v>
      </c>
      <c r="Q146" t="s">
        <v>356</v>
      </c>
      <c r="R146" t="s">
        <v>357</v>
      </c>
      <c r="S146">
        <v>33772</v>
      </c>
      <c r="T146" s="1">
        <v>42006</v>
      </c>
      <c r="U146" s="1">
        <v>42008</v>
      </c>
      <c r="V146" s="2">
        <v>-127.008</v>
      </c>
      <c r="W146">
        <v>3</v>
      </c>
      <c r="X146" s="2">
        <v>52.47</v>
      </c>
      <c r="Y146">
        <v>85858</v>
      </c>
      <c r="Z146">
        <f t="shared" si="2"/>
        <v>157.41</v>
      </c>
    </row>
    <row r="147" spans="1:26" x14ac:dyDescent="0.25">
      <c r="A147">
        <v>18011</v>
      </c>
      <c r="B147" t="s">
        <v>106</v>
      </c>
      <c r="C147" s="2">
        <v>0.09</v>
      </c>
      <c r="D147" s="2">
        <v>2.88</v>
      </c>
      <c r="E147" s="2">
        <v>0.7</v>
      </c>
      <c r="F147">
        <v>259</v>
      </c>
      <c r="G147" t="s">
        <v>358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359</v>
      </c>
      <c r="N147">
        <v>0.56000000000000005</v>
      </c>
      <c r="O147" t="s">
        <v>33</v>
      </c>
      <c r="P147" t="s">
        <v>34</v>
      </c>
      <c r="Q147" t="s">
        <v>360</v>
      </c>
      <c r="R147" t="s">
        <v>361</v>
      </c>
      <c r="S147">
        <v>87505</v>
      </c>
      <c r="T147" s="1">
        <v>42023</v>
      </c>
      <c r="U147" s="1">
        <v>42023</v>
      </c>
      <c r="V147" s="2">
        <v>5.7531999999999996</v>
      </c>
      <c r="W147">
        <v>10</v>
      </c>
      <c r="X147" s="2">
        <v>26.38</v>
      </c>
      <c r="Y147">
        <v>85857</v>
      </c>
      <c r="Z147">
        <f t="shared" si="2"/>
        <v>263.8</v>
      </c>
    </row>
    <row r="148" spans="1:26" x14ac:dyDescent="0.25">
      <c r="A148">
        <v>22370</v>
      </c>
      <c r="B148" t="s">
        <v>25</v>
      </c>
      <c r="C148" s="2">
        <v>0.05</v>
      </c>
      <c r="D148" s="2">
        <v>31.76</v>
      </c>
      <c r="E148" s="2">
        <v>45.51</v>
      </c>
      <c r="F148">
        <v>263</v>
      </c>
      <c r="G148" t="s">
        <v>362</v>
      </c>
      <c r="H148" t="s">
        <v>39</v>
      </c>
      <c r="I148" t="s">
        <v>58</v>
      </c>
      <c r="J148" t="s">
        <v>41</v>
      </c>
      <c r="K148" t="s">
        <v>150</v>
      </c>
      <c r="L148" t="s">
        <v>120</v>
      </c>
      <c r="M148" t="s">
        <v>363</v>
      </c>
      <c r="N148">
        <v>0.65</v>
      </c>
      <c r="O148" t="s">
        <v>33</v>
      </c>
      <c r="P148" t="s">
        <v>53</v>
      </c>
      <c r="Q148" t="s">
        <v>152</v>
      </c>
      <c r="R148" t="s">
        <v>364</v>
      </c>
      <c r="S148">
        <v>44106</v>
      </c>
      <c r="T148" s="1">
        <v>42025</v>
      </c>
      <c r="U148" s="1">
        <v>42027</v>
      </c>
      <c r="V148" s="2">
        <v>-2177.9860960000001</v>
      </c>
      <c r="W148">
        <v>9</v>
      </c>
      <c r="X148" s="2">
        <v>304.33999999999997</v>
      </c>
      <c r="Y148">
        <v>86297</v>
      </c>
      <c r="Z148">
        <f t="shared" si="2"/>
        <v>2739.06</v>
      </c>
    </row>
    <row r="149" spans="1:26" x14ac:dyDescent="0.25">
      <c r="A149">
        <v>20858</v>
      </c>
      <c r="B149" t="s">
        <v>37</v>
      </c>
      <c r="C149" s="2">
        <v>0</v>
      </c>
      <c r="D149" s="2">
        <v>73.98</v>
      </c>
      <c r="E149" s="2">
        <v>12.14</v>
      </c>
      <c r="F149">
        <v>266</v>
      </c>
      <c r="G149" t="s">
        <v>365</v>
      </c>
      <c r="H149" t="s">
        <v>27</v>
      </c>
      <c r="I149" t="s">
        <v>28</v>
      </c>
      <c r="J149" t="s">
        <v>77</v>
      </c>
      <c r="K149" t="s">
        <v>177</v>
      </c>
      <c r="L149" t="s">
        <v>59</v>
      </c>
      <c r="M149" t="s">
        <v>366</v>
      </c>
      <c r="N149">
        <v>0.67</v>
      </c>
      <c r="O149" t="s">
        <v>33</v>
      </c>
      <c r="P149" t="s">
        <v>61</v>
      </c>
      <c r="Q149" t="s">
        <v>129</v>
      </c>
      <c r="R149" t="s">
        <v>367</v>
      </c>
      <c r="S149">
        <v>78207</v>
      </c>
      <c r="T149" s="1">
        <v>42142</v>
      </c>
      <c r="U149" s="1">
        <v>42144</v>
      </c>
      <c r="V149" s="2">
        <v>326.25</v>
      </c>
      <c r="W149">
        <v>17</v>
      </c>
      <c r="X149" s="2">
        <v>1300.81</v>
      </c>
      <c r="Y149">
        <v>90593</v>
      </c>
      <c r="Z149">
        <f t="shared" si="2"/>
        <v>22113.77</v>
      </c>
    </row>
    <row r="150" spans="1:26" x14ac:dyDescent="0.25">
      <c r="A150">
        <v>19823</v>
      </c>
      <c r="B150" t="s">
        <v>56</v>
      </c>
      <c r="C150" s="2">
        <v>0.08</v>
      </c>
      <c r="D150" s="2">
        <v>6.48</v>
      </c>
      <c r="E150" s="2">
        <v>7.03</v>
      </c>
      <c r="F150">
        <v>266</v>
      </c>
      <c r="G150" t="s">
        <v>365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368</v>
      </c>
      <c r="N150">
        <v>0.37</v>
      </c>
      <c r="O150" t="s">
        <v>33</v>
      </c>
      <c r="P150" t="s">
        <v>61</v>
      </c>
      <c r="Q150" t="s">
        <v>129</v>
      </c>
      <c r="R150" t="s">
        <v>367</v>
      </c>
      <c r="S150">
        <v>78207</v>
      </c>
      <c r="T150" s="1">
        <v>42139</v>
      </c>
      <c r="U150" s="1">
        <v>42140</v>
      </c>
      <c r="V150" s="2">
        <v>8.9320000000000004</v>
      </c>
      <c r="W150">
        <v>10</v>
      </c>
      <c r="X150" s="2">
        <v>67.86</v>
      </c>
      <c r="Y150">
        <v>90594</v>
      </c>
      <c r="Z150">
        <f t="shared" si="2"/>
        <v>678.6</v>
      </c>
    </row>
    <row r="151" spans="1:26" x14ac:dyDescent="0.25">
      <c r="A151">
        <v>19824</v>
      </c>
      <c r="B151" t="s">
        <v>56</v>
      </c>
      <c r="C151" s="2">
        <v>0.01</v>
      </c>
      <c r="D151" s="2">
        <v>20.34</v>
      </c>
      <c r="E151" s="2">
        <v>35</v>
      </c>
      <c r="F151">
        <v>266</v>
      </c>
      <c r="G151" t="s">
        <v>365</v>
      </c>
      <c r="H151" t="s">
        <v>49</v>
      </c>
      <c r="I151" t="s">
        <v>28</v>
      </c>
      <c r="J151" t="s">
        <v>29</v>
      </c>
      <c r="K151" t="s">
        <v>139</v>
      </c>
      <c r="L151" t="s">
        <v>231</v>
      </c>
      <c r="M151" t="s">
        <v>369</v>
      </c>
      <c r="N151">
        <v>0.84</v>
      </c>
      <c r="O151" t="s">
        <v>33</v>
      </c>
      <c r="P151" t="s">
        <v>61</v>
      </c>
      <c r="Q151" t="s">
        <v>129</v>
      </c>
      <c r="R151" t="s">
        <v>367</v>
      </c>
      <c r="S151">
        <v>78207</v>
      </c>
      <c r="T151" s="1">
        <v>42139</v>
      </c>
      <c r="U151" s="1">
        <v>42140</v>
      </c>
      <c r="V151" s="2">
        <v>229.63800000000001</v>
      </c>
      <c r="W151">
        <v>33</v>
      </c>
      <c r="X151" s="2">
        <v>747.28</v>
      </c>
      <c r="Y151">
        <v>90594</v>
      </c>
      <c r="Z151">
        <f t="shared" si="2"/>
        <v>24660.239999999998</v>
      </c>
    </row>
    <row r="152" spans="1:26" x14ac:dyDescent="0.25">
      <c r="A152">
        <v>18770</v>
      </c>
      <c r="B152" t="s">
        <v>106</v>
      </c>
      <c r="C152" s="2">
        <v>0.02</v>
      </c>
      <c r="D152" s="2">
        <v>5.58</v>
      </c>
      <c r="E152" s="2">
        <v>5.3</v>
      </c>
      <c r="F152">
        <v>268</v>
      </c>
      <c r="G152" t="s">
        <v>370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371</v>
      </c>
      <c r="N152">
        <v>0.35</v>
      </c>
      <c r="O152" t="s">
        <v>33</v>
      </c>
      <c r="P152" t="s">
        <v>34</v>
      </c>
      <c r="Q152" t="s">
        <v>372</v>
      </c>
      <c r="R152" t="s">
        <v>373</v>
      </c>
      <c r="S152">
        <v>86001</v>
      </c>
      <c r="T152" s="1">
        <v>42101</v>
      </c>
      <c r="U152" s="1">
        <v>42106</v>
      </c>
      <c r="V152" s="2">
        <v>-22.48</v>
      </c>
      <c r="W152">
        <v>3</v>
      </c>
      <c r="X152" s="2">
        <v>18.670000000000002</v>
      </c>
      <c r="Y152">
        <v>88941</v>
      </c>
      <c r="Z152">
        <f t="shared" si="2"/>
        <v>56.010000000000005</v>
      </c>
    </row>
    <row r="153" spans="1:26" x14ac:dyDescent="0.25">
      <c r="A153">
        <v>18771</v>
      </c>
      <c r="B153" t="s">
        <v>106</v>
      </c>
      <c r="C153" s="2">
        <v>0.03</v>
      </c>
      <c r="D153" s="2">
        <v>40.89</v>
      </c>
      <c r="E153" s="2">
        <v>18.98</v>
      </c>
      <c r="F153">
        <v>268</v>
      </c>
      <c r="G153" t="s">
        <v>370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374</v>
      </c>
      <c r="N153">
        <v>0.56999999999999995</v>
      </c>
      <c r="O153" t="s">
        <v>33</v>
      </c>
      <c r="P153" t="s">
        <v>34</v>
      </c>
      <c r="Q153" t="s">
        <v>372</v>
      </c>
      <c r="R153" t="s">
        <v>373</v>
      </c>
      <c r="S153">
        <v>86001</v>
      </c>
      <c r="T153" s="1">
        <v>42101</v>
      </c>
      <c r="U153" s="1">
        <v>42108</v>
      </c>
      <c r="V153" s="2">
        <v>78.98</v>
      </c>
      <c r="W153">
        <v>5</v>
      </c>
      <c r="X153" s="2">
        <v>210.77</v>
      </c>
      <c r="Y153">
        <v>88941</v>
      </c>
      <c r="Z153">
        <f t="shared" si="2"/>
        <v>1053.8500000000001</v>
      </c>
    </row>
    <row r="154" spans="1:26" x14ac:dyDescent="0.25">
      <c r="A154">
        <v>23059</v>
      </c>
      <c r="B154" t="s">
        <v>106</v>
      </c>
      <c r="C154" s="2">
        <v>0.09</v>
      </c>
      <c r="D154" s="2">
        <v>35.94</v>
      </c>
      <c r="E154" s="2">
        <v>6.66</v>
      </c>
      <c r="F154">
        <v>269</v>
      </c>
      <c r="G154" t="s">
        <v>375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372</v>
      </c>
      <c r="R154" t="s">
        <v>376</v>
      </c>
      <c r="S154">
        <v>85234</v>
      </c>
      <c r="T154" s="1">
        <v>42160</v>
      </c>
      <c r="U154" s="1">
        <v>42165</v>
      </c>
      <c r="V154" s="2">
        <v>144.2928</v>
      </c>
      <c r="W154">
        <v>6</v>
      </c>
      <c r="X154" s="2">
        <v>209.12</v>
      </c>
      <c r="Y154">
        <v>88942</v>
      </c>
      <c r="Z154">
        <f t="shared" si="2"/>
        <v>1254.72</v>
      </c>
    </row>
    <row r="155" spans="1:26" x14ac:dyDescent="0.25">
      <c r="A155">
        <v>23060</v>
      </c>
      <c r="B155" t="s">
        <v>106</v>
      </c>
      <c r="C155" s="2">
        <v>0</v>
      </c>
      <c r="D155" s="2">
        <v>170.98</v>
      </c>
      <c r="E155" s="2">
        <v>13.99</v>
      </c>
      <c r="F155">
        <v>269</v>
      </c>
      <c r="G155" t="s">
        <v>375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377</v>
      </c>
      <c r="N155">
        <v>0.75</v>
      </c>
      <c r="O155" t="s">
        <v>33</v>
      </c>
      <c r="P155" t="s">
        <v>34</v>
      </c>
      <c r="Q155" t="s">
        <v>372</v>
      </c>
      <c r="R155" t="s">
        <v>376</v>
      </c>
      <c r="S155">
        <v>85234</v>
      </c>
      <c r="T155" s="1">
        <v>42160</v>
      </c>
      <c r="U155" s="1">
        <v>42167</v>
      </c>
      <c r="V155" s="2">
        <v>888.14729999999997</v>
      </c>
      <c r="W155">
        <v>7</v>
      </c>
      <c r="X155" s="2">
        <v>1287.17</v>
      </c>
      <c r="Y155">
        <v>88942</v>
      </c>
      <c r="Z155">
        <f t="shared" si="2"/>
        <v>9010.19</v>
      </c>
    </row>
    <row r="156" spans="1:26" x14ac:dyDescent="0.25">
      <c r="A156">
        <v>23061</v>
      </c>
      <c r="B156" t="s">
        <v>106</v>
      </c>
      <c r="C156" s="2">
        <v>0.09</v>
      </c>
      <c r="D156" s="2">
        <v>4.9800000000000004</v>
      </c>
      <c r="E156" s="2">
        <v>7.44</v>
      </c>
      <c r="F156">
        <v>269</v>
      </c>
      <c r="G156" t="s">
        <v>375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378</v>
      </c>
      <c r="N156">
        <v>0.36</v>
      </c>
      <c r="O156" t="s">
        <v>33</v>
      </c>
      <c r="P156" t="s">
        <v>34</v>
      </c>
      <c r="Q156" t="s">
        <v>372</v>
      </c>
      <c r="R156" t="s">
        <v>376</v>
      </c>
      <c r="S156">
        <v>85234</v>
      </c>
      <c r="T156" s="1">
        <v>42160</v>
      </c>
      <c r="U156" s="1">
        <v>42162</v>
      </c>
      <c r="V156" s="2">
        <v>-46.005000000000003</v>
      </c>
      <c r="W156">
        <v>9</v>
      </c>
      <c r="X156" s="2">
        <v>46.17</v>
      </c>
      <c r="Y156">
        <v>88942</v>
      </c>
      <c r="Z156">
        <f t="shared" si="2"/>
        <v>415.53000000000003</v>
      </c>
    </row>
    <row r="157" spans="1:26" x14ac:dyDescent="0.25">
      <c r="A157">
        <v>19515</v>
      </c>
      <c r="B157" t="s">
        <v>56</v>
      </c>
      <c r="C157" s="2">
        <v>0.1</v>
      </c>
      <c r="D157" s="2">
        <v>80.97</v>
      </c>
      <c r="E157" s="2">
        <v>30.06</v>
      </c>
      <c r="F157">
        <v>271</v>
      </c>
      <c r="G157" t="s">
        <v>379</v>
      </c>
      <c r="H157" t="s">
        <v>39</v>
      </c>
      <c r="I157" t="s">
        <v>58</v>
      </c>
      <c r="J157" t="s">
        <v>77</v>
      </c>
      <c r="K157" t="s">
        <v>85</v>
      </c>
      <c r="L157" t="s">
        <v>120</v>
      </c>
      <c r="M157" t="s">
        <v>380</v>
      </c>
      <c r="N157">
        <v>0.4</v>
      </c>
      <c r="O157" t="s">
        <v>33</v>
      </c>
      <c r="P157" t="s">
        <v>135</v>
      </c>
      <c r="Q157" t="s">
        <v>381</v>
      </c>
      <c r="R157" t="s">
        <v>382</v>
      </c>
      <c r="S157">
        <v>30297</v>
      </c>
      <c r="T157" s="1">
        <v>42093</v>
      </c>
      <c r="U157" s="1">
        <v>42094</v>
      </c>
      <c r="V157" s="2">
        <v>128.02529999999999</v>
      </c>
      <c r="W157">
        <v>12</v>
      </c>
      <c r="X157" s="2">
        <v>899.81</v>
      </c>
      <c r="Y157">
        <v>88940</v>
      </c>
      <c r="Z157">
        <f t="shared" si="2"/>
        <v>10797.72</v>
      </c>
    </row>
    <row r="158" spans="1:26" x14ac:dyDescent="0.25">
      <c r="A158">
        <v>770</v>
      </c>
      <c r="B158" t="s">
        <v>106</v>
      </c>
      <c r="C158" s="2">
        <v>0.02</v>
      </c>
      <c r="D158" s="2">
        <v>5.58</v>
      </c>
      <c r="E158" s="2">
        <v>5.3</v>
      </c>
      <c r="F158">
        <v>272</v>
      </c>
      <c r="G158" t="s">
        <v>383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371</v>
      </c>
      <c r="N158">
        <v>0.35</v>
      </c>
      <c r="O158" t="s">
        <v>33</v>
      </c>
      <c r="P158" t="s">
        <v>135</v>
      </c>
      <c r="Q158" t="s">
        <v>316</v>
      </c>
      <c r="R158" t="s">
        <v>384</v>
      </c>
      <c r="S158">
        <v>28204</v>
      </c>
      <c r="T158" s="1">
        <v>42101</v>
      </c>
      <c r="U158" s="1">
        <v>42106</v>
      </c>
      <c r="V158" s="2">
        <v>-29.898399999999999</v>
      </c>
      <c r="W158">
        <v>11</v>
      </c>
      <c r="X158" s="2">
        <v>68.459999999999994</v>
      </c>
      <c r="Y158">
        <v>5509</v>
      </c>
      <c r="Z158">
        <f t="shared" si="2"/>
        <v>753.06</v>
      </c>
    </row>
    <row r="159" spans="1:26" x14ac:dyDescent="0.25">
      <c r="A159">
        <v>771</v>
      </c>
      <c r="B159" t="s">
        <v>106</v>
      </c>
      <c r="C159" s="2">
        <v>0.03</v>
      </c>
      <c r="D159" s="2">
        <v>40.89</v>
      </c>
      <c r="E159" s="2">
        <v>18.98</v>
      </c>
      <c r="F159">
        <v>272</v>
      </c>
      <c r="G159" t="s">
        <v>383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374</v>
      </c>
      <c r="N159">
        <v>0.56999999999999995</v>
      </c>
      <c r="O159" t="s">
        <v>33</v>
      </c>
      <c r="P159" t="s">
        <v>135</v>
      </c>
      <c r="Q159" t="s">
        <v>316</v>
      </c>
      <c r="R159" t="s">
        <v>384</v>
      </c>
      <c r="S159">
        <v>28204</v>
      </c>
      <c r="T159" s="1">
        <v>42101</v>
      </c>
      <c r="U159" s="1">
        <v>42108</v>
      </c>
      <c r="V159" s="2">
        <v>52.916600000000003</v>
      </c>
      <c r="W159">
        <v>21</v>
      </c>
      <c r="X159" s="2">
        <v>885.23</v>
      </c>
      <c r="Y159">
        <v>5509</v>
      </c>
      <c r="Z159">
        <f t="shared" si="2"/>
        <v>18589.830000000002</v>
      </c>
    </row>
    <row r="160" spans="1:26" x14ac:dyDescent="0.25">
      <c r="A160">
        <v>5059</v>
      </c>
      <c r="B160" t="s">
        <v>106</v>
      </c>
      <c r="C160" s="2">
        <v>0.09</v>
      </c>
      <c r="D160" s="2">
        <v>35.94</v>
      </c>
      <c r="E160" s="2">
        <v>6.66</v>
      </c>
      <c r="F160">
        <v>272</v>
      </c>
      <c r="G160" t="s">
        <v>383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135</v>
      </c>
      <c r="Q160" t="s">
        <v>316</v>
      </c>
      <c r="R160" t="s">
        <v>384</v>
      </c>
      <c r="S160">
        <v>28204</v>
      </c>
      <c r="T160" s="1">
        <v>42160</v>
      </c>
      <c r="U160" s="1">
        <v>42165</v>
      </c>
      <c r="V160" s="2">
        <v>72.1858</v>
      </c>
      <c r="W160">
        <v>24</v>
      </c>
      <c r="X160" s="2">
        <v>836.47</v>
      </c>
      <c r="Y160">
        <v>36069</v>
      </c>
      <c r="Z160">
        <f t="shared" si="2"/>
        <v>20075.28</v>
      </c>
    </row>
    <row r="161" spans="1:26" x14ac:dyDescent="0.25">
      <c r="A161">
        <v>5061</v>
      </c>
      <c r="B161" t="s">
        <v>106</v>
      </c>
      <c r="C161" s="2">
        <v>0.09</v>
      </c>
      <c r="D161" s="2">
        <v>4.9800000000000004</v>
      </c>
      <c r="E161" s="2">
        <v>7.44</v>
      </c>
      <c r="F161">
        <v>272</v>
      </c>
      <c r="G161" t="s">
        <v>383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378</v>
      </c>
      <c r="N161">
        <v>0.36</v>
      </c>
      <c r="O161" t="s">
        <v>33</v>
      </c>
      <c r="P161" t="s">
        <v>135</v>
      </c>
      <c r="Q161" t="s">
        <v>316</v>
      </c>
      <c r="R161" t="s">
        <v>384</v>
      </c>
      <c r="S161">
        <v>28204</v>
      </c>
      <c r="T161" s="1">
        <v>42160</v>
      </c>
      <c r="U161" s="1">
        <v>42162</v>
      </c>
      <c r="V161" s="2">
        <v>-122.3733</v>
      </c>
      <c r="W161">
        <v>37</v>
      </c>
      <c r="X161" s="2">
        <v>189.83</v>
      </c>
      <c r="Y161">
        <v>36069</v>
      </c>
      <c r="Z161">
        <f t="shared" si="2"/>
        <v>7023.71</v>
      </c>
    </row>
    <row r="162" spans="1:26" x14ac:dyDescent="0.25">
      <c r="A162">
        <v>22180</v>
      </c>
      <c r="B162" t="s">
        <v>37</v>
      </c>
      <c r="C162" s="2">
        <v>0.09</v>
      </c>
      <c r="D162" s="2">
        <v>15.28</v>
      </c>
      <c r="E162" s="2">
        <v>10.91</v>
      </c>
      <c r="F162">
        <v>275</v>
      </c>
      <c r="G162" t="s">
        <v>385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386</v>
      </c>
      <c r="N162">
        <v>0.36</v>
      </c>
      <c r="O162" t="s">
        <v>33</v>
      </c>
      <c r="P162" t="s">
        <v>53</v>
      </c>
      <c r="Q162" t="s">
        <v>223</v>
      </c>
      <c r="R162" t="s">
        <v>387</v>
      </c>
      <c r="S162">
        <v>6824</v>
      </c>
      <c r="T162" s="1">
        <v>42028</v>
      </c>
      <c r="U162" s="1">
        <v>42029</v>
      </c>
      <c r="V162" s="2">
        <v>-51.75</v>
      </c>
      <c r="W162">
        <v>4</v>
      </c>
      <c r="X162" s="2">
        <v>61.52</v>
      </c>
      <c r="Y162">
        <v>89292</v>
      </c>
      <c r="Z162">
        <f t="shared" si="2"/>
        <v>246.08</v>
      </c>
    </row>
    <row r="163" spans="1:26" x14ac:dyDescent="0.25">
      <c r="A163">
        <v>23504</v>
      </c>
      <c r="B163" t="s">
        <v>47</v>
      </c>
      <c r="C163" s="2">
        <v>0.04</v>
      </c>
      <c r="D163" s="2">
        <v>1.98</v>
      </c>
      <c r="E163" s="2">
        <v>0.7</v>
      </c>
      <c r="F163">
        <v>276</v>
      </c>
      <c r="G163" t="s">
        <v>388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389</v>
      </c>
      <c r="N163">
        <v>0.83</v>
      </c>
      <c r="O163" t="s">
        <v>33</v>
      </c>
      <c r="P163" t="s">
        <v>53</v>
      </c>
      <c r="Q163" t="s">
        <v>223</v>
      </c>
      <c r="R163" t="s">
        <v>390</v>
      </c>
      <c r="S163">
        <v>6111</v>
      </c>
      <c r="T163" s="1">
        <v>42145</v>
      </c>
      <c r="U163" s="1">
        <v>42146</v>
      </c>
      <c r="V163" s="2">
        <v>-1</v>
      </c>
      <c r="W163">
        <v>3</v>
      </c>
      <c r="X163" s="2">
        <v>8.3000000000000007</v>
      </c>
      <c r="Y163">
        <v>89291</v>
      </c>
      <c r="Z163">
        <f t="shared" si="2"/>
        <v>24.900000000000002</v>
      </c>
    </row>
    <row r="164" spans="1:26" x14ac:dyDescent="0.25">
      <c r="A164">
        <v>23503</v>
      </c>
      <c r="B164" t="s">
        <v>47</v>
      </c>
      <c r="C164" s="2">
        <v>0.03</v>
      </c>
      <c r="D164" s="2">
        <v>55.99</v>
      </c>
      <c r="E164" s="2">
        <v>5</v>
      </c>
      <c r="F164">
        <v>282</v>
      </c>
      <c r="G164" t="s">
        <v>391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392</v>
      </c>
      <c r="N164">
        <v>0.83</v>
      </c>
      <c r="O164" t="s">
        <v>33</v>
      </c>
      <c r="P164" t="s">
        <v>53</v>
      </c>
      <c r="Q164" t="s">
        <v>54</v>
      </c>
      <c r="R164" t="s">
        <v>393</v>
      </c>
      <c r="S164">
        <v>7109</v>
      </c>
      <c r="T164" s="1">
        <v>42145</v>
      </c>
      <c r="U164" s="1">
        <v>42146</v>
      </c>
      <c r="V164" s="2">
        <v>-221.25399999999999</v>
      </c>
      <c r="W164">
        <v>9</v>
      </c>
      <c r="X164" s="2">
        <v>416.95</v>
      </c>
      <c r="Y164">
        <v>89291</v>
      </c>
      <c r="Z164">
        <f t="shared" si="2"/>
        <v>3752.5499999999997</v>
      </c>
    </row>
    <row r="165" spans="1:26" x14ac:dyDescent="0.25">
      <c r="A165">
        <v>24512</v>
      </c>
      <c r="B165" t="s">
        <v>25</v>
      </c>
      <c r="C165" s="2">
        <v>0.1</v>
      </c>
      <c r="D165" s="2">
        <v>1.68</v>
      </c>
      <c r="E165" s="2">
        <v>1.57</v>
      </c>
      <c r="F165">
        <v>283</v>
      </c>
      <c r="G165" t="s">
        <v>394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395</v>
      </c>
      <c r="S165">
        <v>7101</v>
      </c>
      <c r="T165" s="1">
        <v>42172</v>
      </c>
      <c r="U165" s="1">
        <v>42173</v>
      </c>
      <c r="V165" s="2">
        <v>-11.57</v>
      </c>
      <c r="W165">
        <v>11</v>
      </c>
      <c r="X165" s="2">
        <v>18.71</v>
      </c>
      <c r="Y165">
        <v>89293</v>
      </c>
      <c r="Z165">
        <f t="shared" si="2"/>
        <v>205.81</v>
      </c>
    </row>
    <row r="166" spans="1:26" x14ac:dyDescent="0.25">
      <c r="A166">
        <v>19168</v>
      </c>
      <c r="B166" t="s">
        <v>106</v>
      </c>
      <c r="C166" s="2">
        <v>0</v>
      </c>
      <c r="D166" s="2">
        <v>4.13</v>
      </c>
      <c r="E166" s="2">
        <v>5.34</v>
      </c>
      <c r="F166">
        <v>286</v>
      </c>
      <c r="G166" t="s">
        <v>396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397</v>
      </c>
      <c r="N166">
        <v>0.38</v>
      </c>
      <c r="O166" t="s">
        <v>33</v>
      </c>
      <c r="P166" t="s">
        <v>61</v>
      </c>
      <c r="Q166" t="s">
        <v>180</v>
      </c>
      <c r="R166" t="s">
        <v>398</v>
      </c>
      <c r="S166">
        <v>66203</v>
      </c>
      <c r="T166" s="1">
        <v>42172</v>
      </c>
      <c r="U166" s="1">
        <v>42176</v>
      </c>
      <c r="V166" s="2">
        <v>-61.87</v>
      </c>
      <c r="W166">
        <v>9</v>
      </c>
      <c r="X166" s="2">
        <v>40.950000000000003</v>
      </c>
      <c r="Y166">
        <v>89761</v>
      </c>
      <c r="Z166">
        <f t="shared" si="2"/>
        <v>368.55</v>
      </c>
    </row>
    <row r="167" spans="1:26" x14ac:dyDescent="0.25">
      <c r="A167">
        <v>19169</v>
      </c>
      <c r="B167" t="s">
        <v>106</v>
      </c>
      <c r="C167" s="2">
        <v>0.1</v>
      </c>
      <c r="D167" s="2">
        <v>130.97999999999999</v>
      </c>
      <c r="E167" s="2">
        <v>54.74</v>
      </c>
      <c r="F167">
        <v>286</v>
      </c>
      <c r="G167" t="s">
        <v>396</v>
      </c>
      <c r="H167" t="s">
        <v>39</v>
      </c>
      <c r="I167" t="s">
        <v>58</v>
      </c>
      <c r="J167" t="s">
        <v>41</v>
      </c>
      <c r="K167" t="s">
        <v>187</v>
      </c>
      <c r="L167" t="s">
        <v>120</v>
      </c>
      <c r="M167" t="s">
        <v>399</v>
      </c>
      <c r="N167">
        <v>0.69</v>
      </c>
      <c r="O167" t="s">
        <v>33</v>
      </c>
      <c r="P167" t="s">
        <v>61</v>
      </c>
      <c r="Q167" t="s">
        <v>180</v>
      </c>
      <c r="R167" t="s">
        <v>398</v>
      </c>
      <c r="S167">
        <v>66203</v>
      </c>
      <c r="T167" s="1">
        <v>42172</v>
      </c>
      <c r="U167" s="1">
        <v>42176</v>
      </c>
      <c r="V167" s="2">
        <v>-530.24</v>
      </c>
      <c r="W167">
        <v>9</v>
      </c>
      <c r="X167" s="2">
        <v>1155.73</v>
      </c>
      <c r="Y167">
        <v>89761</v>
      </c>
      <c r="Z167">
        <f t="shared" si="2"/>
        <v>10401.57</v>
      </c>
    </row>
    <row r="168" spans="1:26" x14ac:dyDescent="0.25">
      <c r="A168">
        <v>25624</v>
      </c>
      <c r="B168" t="s">
        <v>47</v>
      </c>
      <c r="C168" s="2">
        <v>0.09</v>
      </c>
      <c r="D168" s="2">
        <v>28.48</v>
      </c>
      <c r="E168" s="2">
        <v>1.99</v>
      </c>
      <c r="F168">
        <v>288</v>
      </c>
      <c r="G168" t="s">
        <v>400</v>
      </c>
      <c r="H168" t="s">
        <v>49</v>
      </c>
      <c r="I168" t="s">
        <v>58</v>
      </c>
      <c r="J168" t="s">
        <v>77</v>
      </c>
      <c r="K168" t="s">
        <v>177</v>
      </c>
      <c r="L168" t="s">
        <v>51</v>
      </c>
      <c r="M168" t="s">
        <v>401</v>
      </c>
      <c r="N168">
        <v>0.4</v>
      </c>
      <c r="O168" t="s">
        <v>33</v>
      </c>
      <c r="P168" t="s">
        <v>61</v>
      </c>
      <c r="Q168" t="s">
        <v>180</v>
      </c>
      <c r="R168" t="s">
        <v>402</v>
      </c>
      <c r="S168">
        <v>67212</v>
      </c>
      <c r="T168" s="1">
        <v>42020</v>
      </c>
      <c r="U168" s="1">
        <v>42023</v>
      </c>
      <c r="V168" s="2">
        <v>132.68700000000001</v>
      </c>
      <c r="W168">
        <v>7</v>
      </c>
      <c r="X168" s="2">
        <v>192.3</v>
      </c>
      <c r="Y168">
        <v>89762</v>
      </c>
      <c r="Z168">
        <f t="shared" si="2"/>
        <v>1346.1000000000001</v>
      </c>
    </row>
    <row r="169" spans="1:26" x14ac:dyDescent="0.25">
      <c r="A169">
        <v>25625</v>
      </c>
      <c r="B169" t="s">
        <v>47</v>
      </c>
      <c r="C169" s="2">
        <v>0.08</v>
      </c>
      <c r="D169" s="2">
        <v>65.989999999999995</v>
      </c>
      <c r="E169" s="2">
        <v>4.99</v>
      </c>
      <c r="F169">
        <v>288</v>
      </c>
      <c r="G169" t="s">
        <v>400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403</v>
      </c>
      <c r="N169">
        <v>0.57999999999999996</v>
      </c>
      <c r="O169" t="s">
        <v>33</v>
      </c>
      <c r="P169" t="s">
        <v>61</v>
      </c>
      <c r="Q169" t="s">
        <v>180</v>
      </c>
      <c r="R169" t="s">
        <v>402</v>
      </c>
      <c r="S169">
        <v>67212</v>
      </c>
      <c r="T169" s="1">
        <v>42020</v>
      </c>
      <c r="U169" s="1">
        <v>42022</v>
      </c>
      <c r="V169" s="2">
        <v>496.89</v>
      </c>
      <c r="W169">
        <v>14</v>
      </c>
      <c r="X169" s="2">
        <v>748.1</v>
      </c>
      <c r="Y169">
        <v>89762</v>
      </c>
      <c r="Z169">
        <f t="shared" si="2"/>
        <v>10473.4</v>
      </c>
    </row>
    <row r="170" spans="1:26" x14ac:dyDescent="0.25">
      <c r="A170">
        <v>21223</v>
      </c>
      <c r="B170" t="s">
        <v>37</v>
      </c>
      <c r="C170" s="2">
        <v>0.04</v>
      </c>
      <c r="D170" s="2">
        <v>4.9800000000000004</v>
      </c>
      <c r="E170" s="2">
        <v>4.62</v>
      </c>
      <c r="F170">
        <v>290</v>
      </c>
      <c r="G170" t="s">
        <v>404</v>
      </c>
      <c r="H170" t="s">
        <v>49</v>
      </c>
      <c r="I170" t="s">
        <v>58</v>
      </c>
      <c r="J170" t="s">
        <v>77</v>
      </c>
      <c r="K170" t="s">
        <v>177</v>
      </c>
      <c r="L170" t="s">
        <v>51</v>
      </c>
      <c r="M170" t="s">
        <v>405</v>
      </c>
      <c r="N170">
        <v>0.64</v>
      </c>
      <c r="O170" t="s">
        <v>33</v>
      </c>
      <c r="P170" t="s">
        <v>34</v>
      </c>
      <c r="Q170" t="s">
        <v>250</v>
      </c>
      <c r="R170" t="s">
        <v>406</v>
      </c>
      <c r="S170">
        <v>80538</v>
      </c>
      <c r="T170" s="1">
        <v>42088</v>
      </c>
      <c r="U170" s="1">
        <v>42089</v>
      </c>
      <c r="V170" s="2">
        <v>-135.16</v>
      </c>
      <c r="W170">
        <v>20</v>
      </c>
      <c r="X170" s="2">
        <v>102.54</v>
      </c>
      <c r="Y170">
        <v>90837</v>
      </c>
      <c r="Z170">
        <f t="shared" si="2"/>
        <v>2050.8000000000002</v>
      </c>
    </row>
    <row r="171" spans="1:26" x14ac:dyDescent="0.25">
      <c r="A171">
        <v>23302</v>
      </c>
      <c r="B171" t="s">
        <v>25</v>
      </c>
      <c r="C171" s="2">
        <v>0.01</v>
      </c>
      <c r="D171" s="2">
        <v>8.33</v>
      </c>
      <c r="E171" s="2">
        <v>1.99</v>
      </c>
      <c r="F171">
        <v>306</v>
      </c>
      <c r="G171" t="s">
        <v>407</v>
      </c>
      <c r="H171" t="s">
        <v>49</v>
      </c>
      <c r="I171" t="s">
        <v>58</v>
      </c>
      <c r="J171" t="s">
        <v>77</v>
      </c>
      <c r="K171" t="s">
        <v>177</v>
      </c>
      <c r="L171" t="s">
        <v>51</v>
      </c>
      <c r="M171" t="s">
        <v>408</v>
      </c>
      <c r="N171">
        <v>0.52</v>
      </c>
      <c r="O171" t="s">
        <v>33</v>
      </c>
      <c r="P171" t="s">
        <v>53</v>
      </c>
      <c r="Q171" t="s">
        <v>409</v>
      </c>
      <c r="R171" t="s">
        <v>410</v>
      </c>
      <c r="S171">
        <v>21208</v>
      </c>
      <c r="T171" s="1">
        <v>42049</v>
      </c>
      <c r="U171" s="1">
        <v>42050</v>
      </c>
      <c r="V171" s="2">
        <v>15.895200000000001</v>
      </c>
      <c r="W171">
        <v>8</v>
      </c>
      <c r="X171" s="2">
        <v>70.16</v>
      </c>
      <c r="Y171">
        <v>87057</v>
      </c>
      <c r="Z171">
        <f t="shared" si="2"/>
        <v>561.28</v>
      </c>
    </row>
    <row r="172" spans="1:26" x14ac:dyDescent="0.25">
      <c r="A172">
        <v>23303</v>
      </c>
      <c r="B172" t="s">
        <v>25</v>
      </c>
      <c r="C172" s="2">
        <v>0.04</v>
      </c>
      <c r="D172" s="2">
        <v>85.99</v>
      </c>
      <c r="E172" s="2">
        <v>0.99</v>
      </c>
      <c r="F172">
        <v>306</v>
      </c>
      <c r="G172" t="s">
        <v>407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411</v>
      </c>
      <c r="N172">
        <v>0.55000000000000004</v>
      </c>
      <c r="O172" t="s">
        <v>33</v>
      </c>
      <c r="P172" t="s">
        <v>53</v>
      </c>
      <c r="Q172" t="s">
        <v>409</v>
      </c>
      <c r="R172" t="s">
        <v>410</v>
      </c>
      <c r="S172">
        <v>21208</v>
      </c>
      <c r="T172" s="1">
        <v>42049</v>
      </c>
      <c r="U172" s="1">
        <v>42051</v>
      </c>
      <c r="V172" s="2">
        <v>855.99329999999998</v>
      </c>
      <c r="W172">
        <v>17</v>
      </c>
      <c r="X172" s="2">
        <v>1240.57</v>
      </c>
      <c r="Y172">
        <v>87057</v>
      </c>
      <c r="Z172">
        <f t="shared" si="2"/>
        <v>21089.69</v>
      </c>
    </row>
    <row r="173" spans="1:26" x14ac:dyDescent="0.25">
      <c r="A173">
        <v>5302</v>
      </c>
      <c r="B173" t="s">
        <v>25</v>
      </c>
      <c r="C173" s="2">
        <v>0.01</v>
      </c>
      <c r="D173" s="2">
        <v>8.33</v>
      </c>
      <c r="E173" s="2">
        <v>1.99</v>
      </c>
      <c r="F173">
        <v>308</v>
      </c>
      <c r="G173" t="s">
        <v>412</v>
      </c>
      <c r="H173" t="s">
        <v>49</v>
      </c>
      <c r="I173" t="s">
        <v>58</v>
      </c>
      <c r="J173" t="s">
        <v>77</v>
      </c>
      <c r="K173" t="s">
        <v>177</v>
      </c>
      <c r="L173" t="s">
        <v>51</v>
      </c>
      <c r="M173" t="s">
        <v>408</v>
      </c>
      <c r="N173">
        <v>0.52</v>
      </c>
      <c r="O173" t="s">
        <v>33</v>
      </c>
      <c r="P173" t="s">
        <v>34</v>
      </c>
      <c r="Q173" t="s">
        <v>35</v>
      </c>
      <c r="R173" t="s">
        <v>205</v>
      </c>
      <c r="S173">
        <v>98115</v>
      </c>
      <c r="T173" s="1">
        <v>42049</v>
      </c>
      <c r="U173" s="1">
        <v>42050</v>
      </c>
      <c r="V173" s="2">
        <v>10.74</v>
      </c>
      <c r="W173">
        <v>32</v>
      </c>
      <c r="X173" s="2">
        <v>280.62</v>
      </c>
      <c r="Y173">
        <v>37760</v>
      </c>
      <c r="Z173">
        <f t="shared" si="2"/>
        <v>8979.84</v>
      </c>
    </row>
    <row r="174" spans="1:26" x14ac:dyDescent="0.25">
      <c r="A174">
        <v>18853</v>
      </c>
      <c r="B174" t="s">
        <v>56</v>
      </c>
      <c r="C174" s="2">
        <v>0.04</v>
      </c>
      <c r="D174" s="2">
        <v>1637.53</v>
      </c>
      <c r="E174" s="2">
        <v>24.49</v>
      </c>
      <c r="F174">
        <v>314</v>
      </c>
      <c r="G174" t="s">
        <v>413</v>
      </c>
      <c r="H174" t="s">
        <v>49</v>
      </c>
      <c r="I174" t="s">
        <v>28</v>
      </c>
      <c r="J174" t="s">
        <v>29</v>
      </c>
      <c r="K174" t="s">
        <v>171</v>
      </c>
      <c r="L174" t="s">
        <v>86</v>
      </c>
      <c r="M174" t="s">
        <v>414</v>
      </c>
      <c r="N174">
        <v>0.81</v>
      </c>
      <c r="O174" t="s">
        <v>33</v>
      </c>
      <c r="P174" t="s">
        <v>61</v>
      </c>
      <c r="Q174" t="s">
        <v>175</v>
      </c>
      <c r="R174" t="s">
        <v>382</v>
      </c>
      <c r="S174">
        <v>60130</v>
      </c>
      <c r="T174" s="1">
        <v>42083</v>
      </c>
      <c r="U174" s="1">
        <v>42085</v>
      </c>
      <c r="V174" s="2">
        <v>-1759.58</v>
      </c>
      <c r="W174">
        <v>2</v>
      </c>
      <c r="X174" s="2">
        <v>3206.94</v>
      </c>
      <c r="Y174">
        <v>89166</v>
      </c>
      <c r="Z174">
        <f t="shared" si="2"/>
        <v>6413.88</v>
      </c>
    </row>
    <row r="175" spans="1:26" x14ac:dyDescent="0.25">
      <c r="A175">
        <v>18852</v>
      </c>
      <c r="B175" t="s">
        <v>56</v>
      </c>
      <c r="C175" s="2">
        <v>0.01</v>
      </c>
      <c r="D175" s="2">
        <v>19.98</v>
      </c>
      <c r="E175" s="2">
        <v>4</v>
      </c>
      <c r="F175">
        <v>315</v>
      </c>
      <c r="G175" t="s">
        <v>415</v>
      </c>
      <c r="H175" t="s">
        <v>49</v>
      </c>
      <c r="I175" t="s">
        <v>28</v>
      </c>
      <c r="J175" t="s">
        <v>77</v>
      </c>
      <c r="K175" t="s">
        <v>177</v>
      </c>
      <c r="L175" t="s">
        <v>59</v>
      </c>
      <c r="M175" t="s">
        <v>183</v>
      </c>
      <c r="N175">
        <v>0.68</v>
      </c>
      <c r="O175" t="s">
        <v>33</v>
      </c>
      <c r="P175" t="s">
        <v>53</v>
      </c>
      <c r="Q175" t="s">
        <v>189</v>
      </c>
      <c r="R175" t="s">
        <v>416</v>
      </c>
      <c r="S175">
        <v>1007</v>
      </c>
      <c r="T175" s="1">
        <v>42083</v>
      </c>
      <c r="U175" s="1">
        <v>42083</v>
      </c>
      <c r="V175" s="2">
        <v>-72.23</v>
      </c>
      <c r="W175">
        <v>2</v>
      </c>
      <c r="X175" s="2">
        <v>43.08</v>
      </c>
      <c r="Y175">
        <v>89166</v>
      </c>
      <c r="Z175">
        <f t="shared" si="2"/>
        <v>86.16</v>
      </c>
    </row>
    <row r="176" spans="1:26" x14ac:dyDescent="0.25">
      <c r="A176">
        <v>18032</v>
      </c>
      <c r="B176" t="s">
        <v>37</v>
      </c>
      <c r="C176" s="2">
        <v>0.09</v>
      </c>
      <c r="D176" s="2">
        <v>7.38</v>
      </c>
      <c r="E176" s="2">
        <v>5.21</v>
      </c>
      <c r="F176">
        <v>317</v>
      </c>
      <c r="G176" t="s">
        <v>417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418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419</v>
      </c>
      <c r="S176">
        <v>91945</v>
      </c>
      <c r="T176" s="1">
        <v>42172</v>
      </c>
      <c r="U176" s="1">
        <v>42173</v>
      </c>
      <c r="V176" s="2">
        <v>-27.16</v>
      </c>
      <c r="W176">
        <v>9</v>
      </c>
      <c r="X176" s="2">
        <v>66.55</v>
      </c>
      <c r="Y176">
        <v>86041</v>
      </c>
      <c r="Z176">
        <f t="shared" si="2"/>
        <v>598.94999999999993</v>
      </c>
    </row>
    <row r="177" spans="1:26" x14ac:dyDescent="0.25">
      <c r="A177">
        <v>18033</v>
      </c>
      <c r="B177" t="s">
        <v>37</v>
      </c>
      <c r="C177" s="2">
        <v>0.04</v>
      </c>
      <c r="D177" s="2">
        <v>5.98</v>
      </c>
      <c r="E177" s="2">
        <v>5.15</v>
      </c>
      <c r="F177">
        <v>317</v>
      </c>
      <c r="G177" t="s">
        <v>417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128</v>
      </c>
      <c r="N177">
        <v>0.36</v>
      </c>
      <c r="O177" t="s">
        <v>33</v>
      </c>
      <c r="P177" t="s">
        <v>34</v>
      </c>
      <c r="Q177" t="s">
        <v>45</v>
      </c>
      <c r="R177" t="s">
        <v>419</v>
      </c>
      <c r="S177">
        <v>91945</v>
      </c>
      <c r="T177" s="1">
        <v>42172</v>
      </c>
      <c r="U177" s="1">
        <v>42173</v>
      </c>
      <c r="V177" s="2">
        <v>-52.344000000000001</v>
      </c>
      <c r="W177">
        <v>17</v>
      </c>
      <c r="X177" s="2">
        <v>103.49</v>
      </c>
      <c r="Y177">
        <v>86041</v>
      </c>
      <c r="Z177">
        <f t="shared" si="2"/>
        <v>1759.33</v>
      </c>
    </row>
    <row r="178" spans="1:26" x14ac:dyDescent="0.25">
      <c r="A178">
        <v>18034</v>
      </c>
      <c r="B178" t="s">
        <v>37</v>
      </c>
      <c r="C178" s="2">
        <v>0.04</v>
      </c>
      <c r="D178" s="2">
        <v>15.42</v>
      </c>
      <c r="E178" s="2">
        <v>10.68</v>
      </c>
      <c r="F178">
        <v>317</v>
      </c>
      <c r="G178" t="s">
        <v>417</v>
      </c>
      <c r="H178" t="s">
        <v>49</v>
      </c>
      <c r="I178" t="s">
        <v>28</v>
      </c>
      <c r="J178" t="s">
        <v>29</v>
      </c>
      <c r="K178" t="s">
        <v>139</v>
      </c>
      <c r="L178" t="s">
        <v>59</v>
      </c>
      <c r="M178" t="s">
        <v>420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419</v>
      </c>
      <c r="S178">
        <v>91945</v>
      </c>
      <c r="T178" s="1">
        <v>42172</v>
      </c>
      <c r="U178" s="1">
        <v>42173</v>
      </c>
      <c r="V178" s="2">
        <v>-119.93600000000001</v>
      </c>
      <c r="W178">
        <v>12</v>
      </c>
      <c r="X178" s="2">
        <v>192.18</v>
      </c>
      <c r="Y178">
        <v>86041</v>
      </c>
      <c r="Z178">
        <f t="shared" si="2"/>
        <v>2306.16</v>
      </c>
    </row>
    <row r="179" spans="1:26" x14ac:dyDescent="0.25">
      <c r="A179">
        <v>20641</v>
      </c>
      <c r="B179" t="s">
        <v>106</v>
      </c>
      <c r="C179" s="2">
        <v>0.04</v>
      </c>
      <c r="D179" s="2">
        <v>8.33</v>
      </c>
      <c r="E179" s="2">
        <v>1.99</v>
      </c>
      <c r="F179">
        <v>321</v>
      </c>
      <c r="G179" t="s">
        <v>421</v>
      </c>
      <c r="H179" t="s">
        <v>49</v>
      </c>
      <c r="I179" t="s">
        <v>114</v>
      </c>
      <c r="J179" t="s">
        <v>77</v>
      </c>
      <c r="K179" t="s">
        <v>177</v>
      </c>
      <c r="L179" t="s">
        <v>51</v>
      </c>
      <c r="M179" t="s">
        <v>408</v>
      </c>
      <c r="N179">
        <v>0.52</v>
      </c>
      <c r="O179" t="s">
        <v>33</v>
      </c>
      <c r="P179" t="s">
        <v>53</v>
      </c>
      <c r="Q179" t="s">
        <v>409</v>
      </c>
      <c r="R179" t="s">
        <v>422</v>
      </c>
      <c r="S179">
        <v>20854</v>
      </c>
      <c r="T179" s="1">
        <v>42098</v>
      </c>
      <c r="U179" s="1">
        <v>42103</v>
      </c>
      <c r="V179" s="2">
        <v>9.9268000000000001</v>
      </c>
      <c r="W179">
        <v>11</v>
      </c>
      <c r="X179" s="2">
        <v>89.76</v>
      </c>
      <c r="Y179">
        <v>91057</v>
      </c>
      <c r="Z179">
        <f t="shared" si="2"/>
        <v>987.36</v>
      </c>
    </row>
    <row r="180" spans="1:26" x14ac:dyDescent="0.25">
      <c r="A180">
        <v>25111</v>
      </c>
      <c r="B180" t="s">
        <v>37</v>
      </c>
      <c r="C180" s="2">
        <v>0.06</v>
      </c>
      <c r="D180" s="2">
        <v>7.99</v>
      </c>
      <c r="E180" s="2">
        <v>5.03</v>
      </c>
      <c r="F180">
        <v>326</v>
      </c>
      <c r="G180" t="s">
        <v>423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424</v>
      </c>
      <c r="N180">
        <v>0.6</v>
      </c>
      <c r="O180" t="s">
        <v>33</v>
      </c>
      <c r="P180" t="s">
        <v>61</v>
      </c>
      <c r="Q180" t="s">
        <v>175</v>
      </c>
      <c r="R180" t="s">
        <v>425</v>
      </c>
      <c r="S180">
        <v>60510</v>
      </c>
      <c r="T180" s="1">
        <v>42164</v>
      </c>
      <c r="U180" s="1">
        <v>42165</v>
      </c>
      <c r="V180" s="2">
        <v>-29.172000000000001</v>
      </c>
      <c r="W180">
        <v>4</v>
      </c>
      <c r="X180" s="2">
        <v>28.46</v>
      </c>
      <c r="Y180">
        <v>90973</v>
      </c>
      <c r="Z180">
        <f t="shared" si="2"/>
        <v>113.84</v>
      </c>
    </row>
    <row r="181" spans="1:26" x14ac:dyDescent="0.25">
      <c r="A181">
        <v>19159</v>
      </c>
      <c r="B181" t="s">
        <v>56</v>
      </c>
      <c r="C181" s="2">
        <v>0.06</v>
      </c>
      <c r="D181" s="2">
        <v>296.18</v>
      </c>
      <c r="E181" s="2">
        <v>54.12</v>
      </c>
      <c r="F181">
        <v>329</v>
      </c>
      <c r="G181" t="s">
        <v>426</v>
      </c>
      <c r="H181" t="s">
        <v>39</v>
      </c>
      <c r="I181" t="s">
        <v>40</v>
      </c>
      <c r="J181" t="s">
        <v>41</v>
      </c>
      <c r="K181" t="s">
        <v>150</v>
      </c>
      <c r="L181" t="s">
        <v>120</v>
      </c>
      <c r="M181" t="s">
        <v>151</v>
      </c>
      <c r="N181">
        <v>0.76</v>
      </c>
      <c r="O181" t="s">
        <v>33</v>
      </c>
      <c r="P181" t="s">
        <v>53</v>
      </c>
      <c r="Q181" t="s">
        <v>184</v>
      </c>
      <c r="R181" t="s">
        <v>427</v>
      </c>
      <c r="S181">
        <v>4073</v>
      </c>
      <c r="T181" s="1">
        <v>42108</v>
      </c>
      <c r="U181" s="1">
        <v>42109</v>
      </c>
      <c r="V181" s="2">
        <v>-715.77820599999995</v>
      </c>
      <c r="W181">
        <v>5</v>
      </c>
      <c r="X181" s="2">
        <v>1170.21</v>
      </c>
      <c r="Y181">
        <v>89726</v>
      </c>
      <c r="Z181">
        <f t="shared" si="2"/>
        <v>5851.05</v>
      </c>
    </row>
    <row r="182" spans="1:26" x14ac:dyDescent="0.25">
      <c r="A182">
        <v>19158</v>
      </c>
      <c r="B182" t="s">
        <v>56</v>
      </c>
      <c r="C182" s="2">
        <v>0.01</v>
      </c>
      <c r="D182" s="2">
        <v>29.1</v>
      </c>
      <c r="E182" s="2">
        <v>4</v>
      </c>
      <c r="F182">
        <v>331</v>
      </c>
      <c r="G182" t="s">
        <v>428</v>
      </c>
      <c r="H182" t="s">
        <v>27</v>
      </c>
      <c r="I182" t="s">
        <v>40</v>
      </c>
      <c r="J182" t="s">
        <v>77</v>
      </c>
      <c r="K182" t="s">
        <v>177</v>
      </c>
      <c r="L182" t="s">
        <v>59</v>
      </c>
      <c r="M182" t="s">
        <v>429</v>
      </c>
      <c r="N182">
        <v>0.78</v>
      </c>
      <c r="O182" t="s">
        <v>33</v>
      </c>
      <c r="P182" t="s">
        <v>53</v>
      </c>
      <c r="Q182" t="s">
        <v>193</v>
      </c>
      <c r="R182" t="s">
        <v>430</v>
      </c>
      <c r="S182">
        <v>3045</v>
      </c>
      <c r="T182" s="1">
        <v>42108</v>
      </c>
      <c r="U182" s="1">
        <v>42110</v>
      </c>
      <c r="V182" s="2">
        <v>-22.82</v>
      </c>
      <c r="W182">
        <v>8</v>
      </c>
      <c r="X182" s="2">
        <v>243.32</v>
      </c>
      <c r="Y182">
        <v>89726</v>
      </c>
      <c r="Z182">
        <f t="shared" si="2"/>
        <v>1946.56</v>
      </c>
    </row>
    <row r="183" spans="1:26" x14ac:dyDescent="0.25">
      <c r="A183">
        <v>18261</v>
      </c>
      <c r="B183" t="s">
        <v>47</v>
      </c>
      <c r="C183" s="2">
        <v>0.06</v>
      </c>
      <c r="D183" s="2">
        <v>276.2</v>
      </c>
      <c r="E183" s="2">
        <v>24.49</v>
      </c>
      <c r="F183">
        <v>335</v>
      </c>
      <c r="G183" t="s">
        <v>431</v>
      </c>
      <c r="H183" t="s">
        <v>49</v>
      </c>
      <c r="I183" t="s">
        <v>28</v>
      </c>
      <c r="J183" t="s">
        <v>41</v>
      </c>
      <c r="K183" t="s">
        <v>42</v>
      </c>
      <c r="L183" t="s">
        <v>231</v>
      </c>
      <c r="M183" t="s">
        <v>432</v>
      </c>
      <c r="O183" t="s">
        <v>33</v>
      </c>
      <c r="P183" t="s">
        <v>34</v>
      </c>
      <c r="Q183" t="s">
        <v>102</v>
      </c>
      <c r="R183" t="s">
        <v>433</v>
      </c>
      <c r="S183">
        <v>97504</v>
      </c>
      <c r="T183" s="1">
        <v>42128</v>
      </c>
      <c r="U183" s="1">
        <v>42129</v>
      </c>
      <c r="V183" s="2">
        <v>2639.4708000000001</v>
      </c>
      <c r="W183">
        <v>14</v>
      </c>
      <c r="X183" s="2">
        <v>3825.32</v>
      </c>
      <c r="Y183">
        <v>87277</v>
      </c>
      <c r="Z183">
        <f t="shared" si="2"/>
        <v>53554.48</v>
      </c>
    </row>
    <row r="184" spans="1:26" x14ac:dyDescent="0.25">
      <c r="A184">
        <v>18262</v>
      </c>
      <c r="B184" t="s">
        <v>47</v>
      </c>
      <c r="C184" s="2">
        <v>0.09</v>
      </c>
      <c r="D184" s="2">
        <v>6.28</v>
      </c>
      <c r="E184" s="2">
        <v>5.29</v>
      </c>
      <c r="F184">
        <v>335</v>
      </c>
      <c r="G184" t="s">
        <v>431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434</v>
      </c>
      <c r="N184">
        <v>0.43</v>
      </c>
      <c r="O184" t="s">
        <v>33</v>
      </c>
      <c r="P184" t="s">
        <v>34</v>
      </c>
      <c r="Q184" t="s">
        <v>102</v>
      </c>
      <c r="R184" t="s">
        <v>433</v>
      </c>
      <c r="S184">
        <v>97504</v>
      </c>
      <c r="T184" s="1">
        <v>42128</v>
      </c>
      <c r="U184" s="1">
        <v>42128</v>
      </c>
      <c r="V184" s="2">
        <v>-5.2</v>
      </c>
      <c r="W184">
        <v>1</v>
      </c>
      <c r="X184" s="2">
        <v>8.5299999999999994</v>
      </c>
      <c r="Y184">
        <v>87277</v>
      </c>
      <c r="Z184">
        <f t="shared" si="2"/>
        <v>8.5299999999999994</v>
      </c>
    </row>
    <row r="185" spans="1:26" x14ac:dyDescent="0.25">
      <c r="A185">
        <v>23481</v>
      </c>
      <c r="B185" t="s">
        <v>56</v>
      </c>
      <c r="C185" s="2">
        <v>0.08</v>
      </c>
      <c r="D185" s="2">
        <v>7.77</v>
      </c>
      <c r="E185" s="2">
        <v>9.23</v>
      </c>
      <c r="F185">
        <v>339</v>
      </c>
      <c r="G185" t="s">
        <v>435</v>
      </c>
      <c r="H185" t="s">
        <v>49</v>
      </c>
      <c r="I185" t="s">
        <v>28</v>
      </c>
      <c r="J185" t="s">
        <v>29</v>
      </c>
      <c r="K185" t="s">
        <v>252</v>
      </c>
      <c r="L185" t="s">
        <v>59</v>
      </c>
      <c r="M185" t="s">
        <v>436</v>
      </c>
      <c r="N185">
        <v>0.57999999999999996</v>
      </c>
      <c r="O185" t="s">
        <v>33</v>
      </c>
      <c r="P185" t="s">
        <v>53</v>
      </c>
      <c r="Q185" t="s">
        <v>152</v>
      </c>
      <c r="R185" t="s">
        <v>437</v>
      </c>
      <c r="S185">
        <v>43229</v>
      </c>
      <c r="T185" s="1">
        <v>42080</v>
      </c>
      <c r="U185" s="1">
        <v>42081</v>
      </c>
      <c r="V185" s="2">
        <v>-83.65</v>
      </c>
      <c r="W185">
        <v>5</v>
      </c>
      <c r="X185" s="2">
        <v>40.299999999999997</v>
      </c>
      <c r="Y185">
        <v>90583</v>
      </c>
      <c r="Z185">
        <f t="shared" si="2"/>
        <v>201.5</v>
      </c>
    </row>
    <row r="186" spans="1:26" x14ac:dyDescent="0.25">
      <c r="A186">
        <v>23482</v>
      </c>
      <c r="B186" t="s">
        <v>56</v>
      </c>
      <c r="C186" s="2">
        <v>7.0000000000000007E-2</v>
      </c>
      <c r="D186" s="2">
        <v>7.59</v>
      </c>
      <c r="E186" s="2">
        <v>4</v>
      </c>
      <c r="F186">
        <v>339</v>
      </c>
      <c r="G186" t="s">
        <v>435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438</v>
      </c>
      <c r="N186">
        <v>0.42</v>
      </c>
      <c r="O186" t="s">
        <v>33</v>
      </c>
      <c r="P186" t="s">
        <v>53</v>
      </c>
      <c r="Q186" t="s">
        <v>152</v>
      </c>
      <c r="R186" t="s">
        <v>437</v>
      </c>
      <c r="S186">
        <v>43229</v>
      </c>
      <c r="T186" s="1">
        <v>42080</v>
      </c>
      <c r="U186" s="1">
        <v>42082</v>
      </c>
      <c r="V186" s="2">
        <v>24.39</v>
      </c>
      <c r="W186">
        <v>15</v>
      </c>
      <c r="X186" s="2">
        <v>111.88</v>
      </c>
      <c r="Y186">
        <v>90583</v>
      </c>
      <c r="Z186">
        <f t="shared" si="2"/>
        <v>1678.1999999999998</v>
      </c>
    </row>
    <row r="187" spans="1:26" x14ac:dyDescent="0.25">
      <c r="A187">
        <v>480</v>
      </c>
      <c r="B187" t="s">
        <v>47</v>
      </c>
      <c r="C187" s="2">
        <v>0.01</v>
      </c>
      <c r="D187" s="2">
        <v>3.26</v>
      </c>
      <c r="E187" s="2">
        <v>1.86</v>
      </c>
      <c r="F187">
        <v>342</v>
      </c>
      <c r="G187" t="s">
        <v>439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440</v>
      </c>
      <c r="N187">
        <v>0.41</v>
      </c>
      <c r="O187" t="s">
        <v>33</v>
      </c>
      <c r="P187" t="s">
        <v>135</v>
      </c>
      <c r="Q187" t="s">
        <v>356</v>
      </c>
      <c r="R187" t="s">
        <v>441</v>
      </c>
      <c r="S187">
        <v>33181</v>
      </c>
      <c r="T187" s="1">
        <v>42128</v>
      </c>
      <c r="U187" s="1">
        <v>42130</v>
      </c>
      <c r="V187" s="2">
        <v>-4.6683000000000003</v>
      </c>
      <c r="W187">
        <v>20</v>
      </c>
      <c r="X187" s="2">
        <v>73.97</v>
      </c>
      <c r="Y187">
        <v>3332</v>
      </c>
      <c r="Z187">
        <f t="shared" si="2"/>
        <v>1479.4</v>
      </c>
    </row>
    <row r="188" spans="1:26" x14ac:dyDescent="0.25">
      <c r="A188">
        <v>22784</v>
      </c>
      <c r="B188" t="s">
        <v>47</v>
      </c>
      <c r="C188" s="2">
        <v>0.03</v>
      </c>
      <c r="D188" s="2">
        <v>15.23</v>
      </c>
      <c r="E188" s="2">
        <v>27.75</v>
      </c>
      <c r="F188">
        <v>343</v>
      </c>
      <c r="G188" t="s">
        <v>442</v>
      </c>
      <c r="H188" t="s">
        <v>39</v>
      </c>
      <c r="I188" t="s">
        <v>28</v>
      </c>
      <c r="J188" t="s">
        <v>41</v>
      </c>
      <c r="K188" t="s">
        <v>150</v>
      </c>
      <c r="L188" t="s">
        <v>120</v>
      </c>
      <c r="M188" t="s">
        <v>443</v>
      </c>
      <c r="N188">
        <v>0.76</v>
      </c>
      <c r="O188" t="s">
        <v>33</v>
      </c>
      <c r="P188" t="s">
        <v>53</v>
      </c>
      <c r="Q188" t="s">
        <v>184</v>
      </c>
      <c r="R188" t="s">
        <v>444</v>
      </c>
      <c r="S188">
        <v>4401</v>
      </c>
      <c r="T188" s="1">
        <v>42035</v>
      </c>
      <c r="U188" s="1">
        <v>42036</v>
      </c>
      <c r="V188" s="2">
        <v>11.65095</v>
      </c>
      <c r="W188">
        <v>7</v>
      </c>
      <c r="X188" s="2">
        <v>111.86</v>
      </c>
      <c r="Y188">
        <v>88151</v>
      </c>
      <c r="Z188">
        <f t="shared" si="2"/>
        <v>783.02</v>
      </c>
    </row>
    <row r="189" spans="1:26" x14ac:dyDescent="0.25">
      <c r="A189">
        <v>18480</v>
      </c>
      <c r="B189" t="s">
        <v>47</v>
      </c>
      <c r="C189" s="2">
        <v>0.01</v>
      </c>
      <c r="D189" s="2">
        <v>3.26</v>
      </c>
      <c r="E189" s="2">
        <v>1.86</v>
      </c>
      <c r="F189">
        <v>344</v>
      </c>
      <c r="G189" t="s">
        <v>445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440</v>
      </c>
      <c r="N189">
        <v>0.41</v>
      </c>
      <c r="O189" t="s">
        <v>33</v>
      </c>
      <c r="P189" t="s">
        <v>53</v>
      </c>
      <c r="Q189" t="s">
        <v>184</v>
      </c>
      <c r="R189" t="s">
        <v>446</v>
      </c>
      <c r="S189">
        <v>4101</v>
      </c>
      <c r="T189" s="1">
        <v>42128</v>
      </c>
      <c r="U189" s="1">
        <v>42130</v>
      </c>
      <c r="V189" s="2">
        <v>0.70199999999999996</v>
      </c>
      <c r="W189">
        <v>5</v>
      </c>
      <c r="X189" s="2">
        <v>18.489999999999998</v>
      </c>
      <c r="Y189">
        <v>88152</v>
      </c>
      <c r="Z189">
        <f t="shared" si="2"/>
        <v>92.449999999999989</v>
      </c>
    </row>
    <row r="190" spans="1:26" x14ac:dyDescent="0.25">
      <c r="A190">
        <v>2408</v>
      </c>
      <c r="B190" t="s">
        <v>47</v>
      </c>
      <c r="C190" s="2">
        <v>0</v>
      </c>
      <c r="D190" s="2">
        <v>8.34</v>
      </c>
      <c r="E190" s="2">
        <v>2.64</v>
      </c>
      <c r="F190">
        <v>349</v>
      </c>
      <c r="G190" t="s">
        <v>447</v>
      </c>
      <c r="H190" t="s">
        <v>27</v>
      </c>
      <c r="I190" t="s">
        <v>40</v>
      </c>
      <c r="J190" t="s">
        <v>29</v>
      </c>
      <c r="K190" t="s">
        <v>171</v>
      </c>
      <c r="L190" t="s">
        <v>51</v>
      </c>
      <c r="M190" t="s">
        <v>352</v>
      </c>
      <c r="N190">
        <v>0.59</v>
      </c>
      <c r="O190" t="s">
        <v>33</v>
      </c>
      <c r="P190" t="s">
        <v>135</v>
      </c>
      <c r="Q190" t="s">
        <v>356</v>
      </c>
      <c r="R190" t="s">
        <v>441</v>
      </c>
      <c r="S190">
        <v>33132</v>
      </c>
      <c r="T190" s="1">
        <v>42164</v>
      </c>
      <c r="U190" s="1">
        <v>42166</v>
      </c>
      <c r="V190" s="2">
        <v>5.8624999999999998</v>
      </c>
      <c r="W190">
        <v>23</v>
      </c>
      <c r="X190" s="2">
        <v>212.89</v>
      </c>
      <c r="Y190">
        <v>17446</v>
      </c>
      <c r="Z190">
        <f t="shared" si="2"/>
        <v>4896.4699999999993</v>
      </c>
    </row>
    <row r="191" spans="1:26" x14ac:dyDescent="0.25">
      <c r="A191">
        <v>1595</v>
      </c>
      <c r="B191" t="s">
        <v>56</v>
      </c>
      <c r="C191" s="2">
        <v>0.04</v>
      </c>
      <c r="D191" s="2">
        <v>99.23</v>
      </c>
      <c r="E191" s="2">
        <v>8.99</v>
      </c>
      <c r="F191">
        <v>349</v>
      </c>
      <c r="G191" t="s">
        <v>447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448</v>
      </c>
      <c r="N191">
        <v>0.35</v>
      </c>
      <c r="O191" t="s">
        <v>33</v>
      </c>
      <c r="P191" t="s">
        <v>135</v>
      </c>
      <c r="Q191" t="s">
        <v>356</v>
      </c>
      <c r="R191" t="s">
        <v>441</v>
      </c>
      <c r="S191">
        <v>33132</v>
      </c>
      <c r="T191" s="1">
        <v>42006</v>
      </c>
      <c r="U191" s="1">
        <v>42008</v>
      </c>
      <c r="V191" s="2">
        <v>1916.6757</v>
      </c>
      <c r="W191">
        <v>54</v>
      </c>
      <c r="X191" s="2">
        <v>5555.6</v>
      </c>
      <c r="Y191">
        <v>11527</v>
      </c>
      <c r="Z191">
        <f t="shared" si="2"/>
        <v>300002.40000000002</v>
      </c>
    </row>
    <row r="192" spans="1:26" x14ac:dyDescent="0.25">
      <c r="A192">
        <v>20408</v>
      </c>
      <c r="B192" t="s">
        <v>47</v>
      </c>
      <c r="C192" s="2">
        <v>0</v>
      </c>
      <c r="D192" s="2">
        <v>8.34</v>
      </c>
      <c r="E192" s="2">
        <v>2.64</v>
      </c>
      <c r="F192">
        <v>351</v>
      </c>
      <c r="G192" t="s">
        <v>449</v>
      </c>
      <c r="H192" t="s">
        <v>27</v>
      </c>
      <c r="I192" t="s">
        <v>40</v>
      </c>
      <c r="J192" t="s">
        <v>29</v>
      </c>
      <c r="K192" t="s">
        <v>171</v>
      </c>
      <c r="L192" t="s">
        <v>51</v>
      </c>
      <c r="M192" t="s">
        <v>352</v>
      </c>
      <c r="N192">
        <v>0.59</v>
      </c>
      <c r="O192" t="s">
        <v>33</v>
      </c>
      <c r="P192" t="s">
        <v>53</v>
      </c>
      <c r="Q192" t="s">
        <v>71</v>
      </c>
      <c r="R192" t="s">
        <v>450</v>
      </c>
      <c r="S192">
        <v>13601</v>
      </c>
      <c r="T192" s="1">
        <v>42164</v>
      </c>
      <c r="U192" s="1">
        <v>42166</v>
      </c>
      <c r="V192" s="2">
        <v>10.5</v>
      </c>
      <c r="W192">
        <v>6</v>
      </c>
      <c r="X192" s="2">
        <v>55.54</v>
      </c>
      <c r="Y192">
        <v>88685</v>
      </c>
      <c r="Z192">
        <f t="shared" si="2"/>
        <v>333.24</v>
      </c>
    </row>
    <row r="193" spans="1:26" x14ac:dyDescent="0.25">
      <c r="A193">
        <v>19595</v>
      </c>
      <c r="B193" t="s">
        <v>56</v>
      </c>
      <c r="C193" s="2">
        <v>0.04</v>
      </c>
      <c r="D193" s="2">
        <v>99.23</v>
      </c>
      <c r="E193" s="2">
        <v>8.99</v>
      </c>
      <c r="F193">
        <v>351</v>
      </c>
      <c r="G193" t="s">
        <v>449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448</v>
      </c>
      <c r="N193">
        <v>0.35</v>
      </c>
      <c r="O193" t="s">
        <v>33</v>
      </c>
      <c r="P193" t="s">
        <v>53</v>
      </c>
      <c r="Q193" t="s">
        <v>71</v>
      </c>
      <c r="R193" t="s">
        <v>450</v>
      </c>
      <c r="S193">
        <v>13601</v>
      </c>
      <c r="T193" s="1">
        <v>42006</v>
      </c>
      <c r="U193" s="1">
        <v>42008</v>
      </c>
      <c r="V193" s="2">
        <v>993.83460000000002</v>
      </c>
      <c r="W193">
        <v>14</v>
      </c>
      <c r="X193" s="2">
        <v>1440.34</v>
      </c>
      <c r="Y193">
        <v>88686</v>
      </c>
      <c r="Z193">
        <f t="shared" si="2"/>
        <v>20164.759999999998</v>
      </c>
    </row>
    <row r="194" spans="1:26" x14ac:dyDescent="0.25">
      <c r="A194">
        <v>19107</v>
      </c>
      <c r="B194" t="s">
        <v>106</v>
      </c>
      <c r="C194" s="2">
        <v>0.08</v>
      </c>
      <c r="D194" s="2">
        <v>4.8899999999999997</v>
      </c>
      <c r="E194" s="2">
        <v>4.93</v>
      </c>
      <c r="F194">
        <v>353</v>
      </c>
      <c r="G194" t="s">
        <v>451</v>
      </c>
      <c r="H194" t="s">
        <v>27</v>
      </c>
      <c r="I194" t="s">
        <v>40</v>
      </c>
      <c r="J194" t="s">
        <v>77</v>
      </c>
      <c r="K194" t="s">
        <v>177</v>
      </c>
      <c r="L194" t="s">
        <v>51</v>
      </c>
      <c r="M194" t="s">
        <v>452</v>
      </c>
      <c r="N194">
        <v>0.66</v>
      </c>
      <c r="O194" t="s">
        <v>33</v>
      </c>
      <c r="P194" t="s">
        <v>34</v>
      </c>
      <c r="Q194" t="s">
        <v>372</v>
      </c>
      <c r="R194" t="s">
        <v>453</v>
      </c>
      <c r="S194">
        <v>85301</v>
      </c>
      <c r="T194" s="1">
        <v>42138</v>
      </c>
      <c r="U194" s="1">
        <v>42138</v>
      </c>
      <c r="V194" s="2">
        <v>-165.45</v>
      </c>
      <c r="W194">
        <v>17</v>
      </c>
      <c r="X194" s="2">
        <v>84.76</v>
      </c>
      <c r="Y194">
        <v>89647</v>
      </c>
      <c r="Z194">
        <f t="shared" si="2"/>
        <v>1440.92</v>
      </c>
    </row>
    <row r="195" spans="1:26" x14ac:dyDescent="0.25">
      <c r="A195">
        <v>19108</v>
      </c>
      <c r="B195" t="s">
        <v>106</v>
      </c>
      <c r="C195" s="2">
        <v>7.0000000000000007E-2</v>
      </c>
      <c r="D195" s="2">
        <v>6.68</v>
      </c>
      <c r="E195" s="2">
        <v>6.92</v>
      </c>
      <c r="F195">
        <v>353</v>
      </c>
      <c r="G195" t="s">
        <v>451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454</v>
      </c>
      <c r="N195">
        <v>0.37</v>
      </c>
      <c r="O195" t="s">
        <v>33</v>
      </c>
      <c r="P195" t="s">
        <v>34</v>
      </c>
      <c r="Q195" t="s">
        <v>372</v>
      </c>
      <c r="R195" t="s">
        <v>453</v>
      </c>
      <c r="S195">
        <v>85301</v>
      </c>
      <c r="T195" s="1">
        <v>42138</v>
      </c>
      <c r="U195" s="1">
        <v>42145</v>
      </c>
      <c r="V195" s="2">
        <v>-141.12</v>
      </c>
      <c r="W195">
        <v>16</v>
      </c>
      <c r="X195" s="2">
        <v>104.84</v>
      </c>
      <c r="Y195">
        <v>89647</v>
      </c>
      <c r="Z195">
        <f t="shared" ref="Z195:Z258" si="3">W195*X195</f>
        <v>1677.44</v>
      </c>
    </row>
    <row r="196" spans="1:26" x14ac:dyDescent="0.25">
      <c r="A196">
        <v>20760</v>
      </c>
      <c r="B196" t="s">
        <v>47</v>
      </c>
      <c r="C196" s="2">
        <v>7.0000000000000007E-2</v>
      </c>
      <c r="D196" s="2">
        <v>124.49</v>
      </c>
      <c r="E196" s="2">
        <v>51.94</v>
      </c>
      <c r="F196">
        <v>357</v>
      </c>
      <c r="G196" t="s">
        <v>455</v>
      </c>
      <c r="H196" t="s">
        <v>39</v>
      </c>
      <c r="I196" t="s">
        <v>28</v>
      </c>
      <c r="J196" t="s">
        <v>41</v>
      </c>
      <c r="K196" t="s">
        <v>150</v>
      </c>
      <c r="L196" t="s">
        <v>120</v>
      </c>
      <c r="M196" t="s">
        <v>456</v>
      </c>
      <c r="N196">
        <v>0.63</v>
      </c>
      <c r="O196" t="s">
        <v>33</v>
      </c>
      <c r="P196" t="s">
        <v>34</v>
      </c>
      <c r="Q196" t="s">
        <v>372</v>
      </c>
      <c r="R196" t="s">
        <v>457</v>
      </c>
      <c r="S196">
        <v>86401</v>
      </c>
      <c r="T196" s="1">
        <v>42148</v>
      </c>
      <c r="U196" s="1">
        <v>42149</v>
      </c>
      <c r="V196" s="2">
        <v>1074.44</v>
      </c>
      <c r="W196">
        <v>14</v>
      </c>
      <c r="X196" s="2">
        <v>1714.93</v>
      </c>
      <c r="Y196">
        <v>91131</v>
      </c>
      <c r="Z196">
        <f t="shared" si="3"/>
        <v>24009.02</v>
      </c>
    </row>
    <row r="197" spans="1:26" x14ac:dyDescent="0.25">
      <c r="A197">
        <v>24627</v>
      </c>
      <c r="B197" t="s">
        <v>106</v>
      </c>
      <c r="C197" s="2">
        <v>0.04</v>
      </c>
      <c r="D197" s="2">
        <v>125.99</v>
      </c>
      <c r="E197" s="2">
        <v>8.99</v>
      </c>
      <c r="F197">
        <v>358</v>
      </c>
      <c r="G197" t="s">
        <v>458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459</v>
      </c>
      <c r="N197">
        <v>0.59</v>
      </c>
      <c r="O197" t="s">
        <v>33</v>
      </c>
      <c r="P197" t="s">
        <v>53</v>
      </c>
      <c r="Q197" t="s">
        <v>229</v>
      </c>
      <c r="R197" t="s">
        <v>460</v>
      </c>
      <c r="S197">
        <v>19406</v>
      </c>
      <c r="T197" s="1">
        <v>42013</v>
      </c>
      <c r="U197" s="1">
        <v>42020</v>
      </c>
      <c r="V197" s="2">
        <v>-627.82191999999998</v>
      </c>
      <c r="W197">
        <v>1</v>
      </c>
      <c r="X197" s="2">
        <v>107.95</v>
      </c>
      <c r="Y197">
        <v>91130</v>
      </c>
      <c r="Z197">
        <f t="shared" si="3"/>
        <v>107.95</v>
      </c>
    </row>
    <row r="198" spans="1:26" x14ac:dyDescent="0.25">
      <c r="A198">
        <v>18278</v>
      </c>
      <c r="B198" t="s">
        <v>56</v>
      </c>
      <c r="C198" s="2">
        <v>0.05</v>
      </c>
      <c r="D198" s="2">
        <v>328.14</v>
      </c>
      <c r="E198" s="2">
        <v>91.05</v>
      </c>
      <c r="F198">
        <v>366</v>
      </c>
      <c r="G198" t="s">
        <v>461</v>
      </c>
      <c r="H198" t="s">
        <v>39</v>
      </c>
      <c r="I198" t="s">
        <v>58</v>
      </c>
      <c r="J198" t="s">
        <v>29</v>
      </c>
      <c r="K198" t="s">
        <v>252</v>
      </c>
      <c r="L198" t="s">
        <v>43</v>
      </c>
      <c r="M198" t="s">
        <v>462</v>
      </c>
      <c r="N198">
        <v>0.56999999999999995</v>
      </c>
      <c r="O198" t="s">
        <v>33</v>
      </c>
      <c r="P198" t="s">
        <v>53</v>
      </c>
      <c r="Q198" t="s">
        <v>463</v>
      </c>
      <c r="R198" t="s">
        <v>464</v>
      </c>
      <c r="S198">
        <v>2910</v>
      </c>
      <c r="T198" s="1">
        <v>42021</v>
      </c>
      <c r="U198" s="1">
        <v>42023</v>
      </c>
      <c r="V198" s="2">
        <v>411.5172</v>
      </c>
      <c r="W198">
        <v>6</v>
      </c>
      <c r="X198" s="2">
        <v>1967.98</v>
      </c>
      <c r="Y198">
        <v>87347</v>
      </c>
      <c r="Z198">
        <f t="shared" si="3"/>
        <v>11807.880000000001</v>
      </c>
    </row>
    <row r="199" spans="1:26" x14ac:dyDescent="0.25">
      <c r="A199">
        <v>24794</v>
      </c>
      <c r="B199" t="s">
        <v>106</v>
      </c>
      <c r="C199" s="2">
        <v>0.09</v>
      </c>
      <c r="D199" s="2">
        <v>19.23</v>
      </c>
      <c r="E199" s="2">
        <v>6.15</v>
      </c>
      <c r="F199">
        <v>369</v>
      </c>
      <c r="G199" t="s">
        <v>465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466</v>
      </c>
      <c r="N199">
        <v>0.44</v>
      </c>
      <c r="O199" t="s">
        <v>33</v>
      </c>
      <c r="P199" t="s">
        <v>34</v>
      </c>
      <c r="Q199" t="s">
        <v>45</v>
      </c>
      <c r="R199" t="s">
        <v>467</v>
      </c>
      <c r="S199">
        <v>94601</v>
      </c>
      <c r="T199" s="1">
        <v>42105</v>
      </c>
      <c r="U199" s="1">
        <v>42107</v>
      </c>
      <c r="V199" s="2">
        <v>211.232</v>
      </c>
      <c r="W199">
        <v>21</v>
      </c>
      <c r="X199" s="2">
        <v>394.1</v>
      </c>
      <c r="Y199">
        <v>90292</v>
      </c>
      <c r="Z199">
        <f t="shared" si="3"/>
        <v>8276.1</v>
      </c>
    </row>
    <row r="200" spans="1:26" x14ac:dyDescent="0.25">
      <c r="A200">
        <v>20401</v>
      </c>
      <c r="B200" t="s">
        <v>37</v>
      </c>
      <c r="C200" s="2">
        <v>0.02</v>
      </c>
      <c r="D200" s="2">
        <v>20.99</v>
      </c>
      <c r="E200" s="2">
        <v>4.8099999999999996</v>
      </c>
      <c r="F200">
        <v>370</v>
      </c>
      <c r="G200" t="s">
        <v>468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469</v>
      </c>
      <c r="N200">
        <v>0.57999999999999996</v>
      </c>
      <c r="O200" t="s">
        <v>33</v>
      </c>
      <c r="P200" t="s">
        <v>53</v>
      </c>
      <c r="Q200" t="s">
        <v>184</v>
      </c>
      <c r="R200" t="s">
        <v>470</v>
      </c>
      <c r="S200">
        <v>4240</v>
      </c>
      <c r="T200" s="1">
        <v>42151</v>
      </c>
      <c r="U200" s="1">
        <v>42153</v>
      </c>
      <c r="V200" s="2">
        <v>49.787999999999997</v>
      </c>
      <c r="W200">
        <v>15</v>
      </c>
      <c r="X200" s="2">
        <v>266.39</v>
      </c>
      <c r="Y200">
        <v>90291</v>
      </c>
      <c r="Z200">
        <f t="shared" si="3"/>
        <v>3995.85</v>
      </c>
    </row>
    <row r="201" spans="1:26" x14ac:dyDescent="0.25">
      <c r="A201">
        <v>20400</v>
      </c>
      <c r="B201" t="s">
        <v>37</v>
      </c>
      <c r="C201" s="2">
        <v>0.05</v>
      </c>
      <c r="D201" s="2">
        <v>5.4</v>
      </c>
      <c r="E201" s="2">
        <v>7.78</v>
      </c>
      <c r="F201">
        <v>371</v>
      </c>
      <c r="G201" t="s">
        <v>471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305</v>
      </c>
      <c r="N201">
        <v>0.37</v>
      </c>
      <c r="O201" t="s">
        <v>33</v>
      </c>
      <c r="P201" t="s">
        <v>53</v>
      </c>
      <c r="Q201" t="s">
        <v>189</v>
      </c>
      <c r="R201" t="s">
        <v>472</v>
      </c>
      <c r="S201">
        <v>2149</v>
      </c>
      <c r="T201" s="1">
        <v>42151</v>
      </c>
      <c r="U201" s="1">
        <v>42153</v>
      </c>
      <c r="V201" s="2">
        <v>-132.62950000000001</v>
      </c>
      <c r="W201">
        <v>9</v>
      </c>
      <c r="X201" s="2">
        <v>51.82</v>
      </c>
      <c r="Y201">
        <v>90291</v>
      </c>
      <c r="Z201">
        <f t="shared" si="3"/>
        <v>466.38</v>
      </c>
    </row>
    <row r="202" spans="1:26" x14ac:dyDescent="0.25">
      <c r="A202">
        <v>3392</v>
      </c>
      <c r="B202" t="s">
        <v>37</v>
      </c>
      <c r="C202" s="2">
        <v>0.02</v>
      </c>
      <c r="D202" s="2">
        <v>200.98</v>
      </c>
      <c r="E202" s="2">
        <v>55.96</v>
      </c>
      <c r="F202">
        <v>373</v>
      </c>
      <c r="G202" t="s">
        <v>473</v>
      </c>
      <c r="H202" t="s">
        <v>39</v>
      </c>
      <c r="I202" t="s">
        <v>58</v>
      </c>
      <c r="J202" t="s">
        <v>41</v>
      </c>
      <c r="K202" t="s">
        <v>187</v>
      </c>
      <c r="L202" t="s">
        <v>120</v>
      </c>
      <c r="M202" t="s">
        <v>474</v>
      </c>
      <c r="N202">
        <v>0.75</v>
      </c>
      <c r="O202" t="s">
        <v>33</v>
      </c>
      <c r="P202" t="s">
        <v>61</v>
      </c>
      <c r="Q202" t="s">
        <v>295</v>
      </c>
      <c r="R202" t="s">
        <v>296</v>
      </c>
      <c r="S202">
        <v>48234</v>
      </c>
      <c r="T202" s="1">
        <v>42077</v>
      </c>
      <c r="U202" s="1">
        <v>42079</v>
      </c>
      <c r="V202" s="2">
        <v>-163.63</v>
      </c>
      <c r="W202">
        <v>45</v>
      </c>
      <c r="X202" s="2">
        <v>9539.6</v>
      </c>
      <c r="Y202">
        <v>24193</v>
      </c>
      <c r="Z202">
        <f t="shared" si="3"/>
        <v>429282</v>
      </c>
    </row>
    <row r="203" spans="1:26" x14ac:dyDescent="0.25">
      <c r="A203">
        <v>3393</v>
      </c>
      <c r="B203" t="s">
        <v>37</v>
      </c>
      <c r="C203" s="2">
        <v>0.02</v>
      </c>
      <c r="D203" s="2">
        <v>4.28</v>
      </c>
      <c r="E203" s="2">
        <v>5.17</v>
      </c>
      <c r="F203">
        <v>373</v>
      </c>
      <c r="G203" t="s">
        <v>473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475</v>
      </c>
      <c r="N203">
        <v>0.4</v>
      </c>
      <c r="O203" t="s">
        <v>33</v>
      </c>
      <c r="P203" t="s">
        <v>61</v>
      </c>
      <c r="Q203" t="s">
        <v>295</v>
      </c>
      <c r="R203" t="s">
        <v>296</v>
      </c>
      <c r="S203">
        <v>48234</v>
      </c>
      <c r="T203" s="1">
        <v>42077</v>
      </c>
      <c r="U203" s="1">
        <v>42078</v>
      </c>
      <c r="V203" s="2">
        <v>-63.87</v>
      </c>
      <c r="W203">
        <v>24</v>
      </c>
      <c r="X203" s="2">
        <v>109.86</v>
      </c>
      <c r="Y203">
        <v>24193</v>
      </c>
      <c r="Z203">
        <f t="shared" si="3"/>
        <v>2636.64</v>
      </c>
    </row>
    <row r="204" spans="1:26" x14ac:dyDescent="0.25">
      <c r="A204">
        <v>3394</v>
      </c>
      <c r="B204" t="s">
        <v>37</v>
      </c>
      <c r="C204" s="2">
        <v>0.04</v>
      </c>
      <c r="D204" s="2">
        <v>85.99</v>
      </c>
      <c r="E204" s="2">
        <v>0.99</v>
      </c>
      <c r="F204">
        <v>373</v>
      </c>
      <c r="G204" t="s">
        <v>473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476</v>
      </c>
      <c r="N204">
        <v>0.85</v>
      </c>
      <c r="O204" t="s">
        <v>33</v>
      </c>
      <c r="P204" t="s">
        <v>61</v>
      </c>
      <c r="Q204" t="s">
        <v>295</v>
      </c>
      <c r="R204" t="s">
        <v>296</v>
      </c>
      <c r="S204">
        <v>48234</v>
      </c>
      <c r="T204" s="1">
        <v>42077</v>
      </c>
      <c r="U204" s="1">
        <v>42079</v>
      </c>
      <c r="V204" s="2">
        <v>-175.17500000000001</v>
      </c>
      <c r="W204">
        <v>19</v>
      </c>
      <c r="X204" s="2">
        <v>1426.51</v>
      </c>
      <c r="Y204">
        <v>24193</v>
      </c>
      <c r="Z204">
        <f t="shared" si="3"/>
        <v>27103.69</v>
      </c>
    </row>
    <row r="205" spans="1:26" x14ac:dyDescent="0.25">
      <c r="A205">
        <v>21392</v>
      </c>
      <c r="B205" t="s">
        <v>37</v>
      </c>
      <c r="C205" s="2">
        <v>0.02</v>
      </c>
      <c r="D205" s="2">
        <v>200.98</v>
      </c>
      <c r="E205" s="2">
        <v>55.96</v>
      </c>
      <c r="F205">
        <v>375</v>
      </c>
      <c r="G205" t="s">
        <v>477</v>
      </c>
      <c r="H205" t="s">
        <v>39</v>
      </c>
      <c r="I205" t="s">
        <v>58</v>
      </c>
      <c r="J205" t="s">
        <v>41</v>
      </c>
      <c r="K205" t="s">
        <v>187</v>
      </c>
      <c r="L205" t="s">
        <v>120</v>
      </c>
      <c r="M205" t="s">
        <v>474</v>
      </c>
      <c r="N205">
        <v>0.75</v>
      </c>
      <c r="O205" t="s">
        <v>33</v>
      </c>
      <c r="P205" t="s">
        <v>135</v>
      </c>
      <c r="Q205" t="s">
        <v>239</v>
      </c>
      <c r="R205" t="s">
        <v>478</v>
      </c>
      <c r="S205">
        <v>37814</v>
      </c>
      <c r="T205" s="1">
        <v>42077</v>
      </c>
      <c r="U205" s="1">
        <v>42079</v>
      </c>
      <c r="V205" s="2">
        <v>-224.9478</v>
      </c>
      <c r="W205">
        <v>11</v>
      </c>
      <c r="X205" s="2">
        <v>2331.9</v>
      </c>
      <c r="Y205">
        <v>90917</v>
      </c>
      <c r="Z205">
        <f t="shared" si="3"/>
        <v>25650.9</v>
      </c>
    </row>
    <row r="206" spans="1:26" x14ac:dyDescent="0.25">
      <c r="A206">
        <v>21393</v>
      </c>
      <c r="B206" t="s">
        <v>37</v>
      </c>
      <c r="C206" s="2">
        <v>0.02</v>
      </c>
      <c r="D206" s="2">
        <v>4.28</v>
      </c>
      <c r="E206" s="2">
        <v>5.17</v>
      </c>
      <c r="F206">
        <v>375</v>
      </c>
      <c r="G206" t="s">
        <v>477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475</v>
      </c>
      <c r="N206">
        <v>0.4</v>
      </c>
      <c r="O206" t="s">
        <v>33</v>
      </c>
      <c r="P206" t="s">
        <v>135</v>
      </c>
      <c r="Q206" t="s">
        <v>239</v>
      </c>
      <c r="R206" t="s">
        <v>478</v>
      </c>
      <c r="S206">
        <v>37814</v>
      </c>
      <c r="T206" s="1">
        <v>42077</v>
      </c>
      <c r="U206" s="1">
        <v>42078</v>
      </c>
      <c r="V206" s="2">
        <v>196.8</v>
      </c>
      <c r="W206">
        <v>6</v>
      </c>
      <c r="X206" s="2">
        <v>27.47</v>
      </c>
      <c r="Y206">
        <v>90917</v>
      </c>
      <c r="Z206">
        <f t="shared" si="3"/>
        <v>164.82</v>
      </c>
    </row>
    <row r="207" spans="1:26" x14ac:dyDescent="0.25">
      <c r="A207">
        <v>19073</v>
      </c>
      <c r="B207" t="s">
        <v>56</v>
      </c>
      <c r="C207" s="2">
        <v>0.03</v>
      </c>
      <c r="D207" s="2">
        <v>25.98</v>
      </c>
      <c r="E207" s="2">
        <v>5.37</v>
      </c>
      <c r="F207">
        <v>377</v>
      </c>
      <c r="G207" t="s">
        <v>479</v>
      </c>
      <c r="H207" t="s">
        <v>49</v>
      </c>
      <c r="I207" t="s">
        <v>114</v>
      </c>
      <c r="J207" t="s">
        <v>29</v>
      </c>
      <c r="K207" t="s">
        <v>252</v>
      </c>
      <c r="L207" t="s">
        <v>86</v>
      </c>
      <c r="M207" t="s">
        <v>480</v>
      </c>
      <c r="N207">
        <v>0.5</v>
      </c>
      <c r="O207" t="s">
        <v>33</v>
      </c>
      <c r="P207" t="s">
        <v>61</v>
      </c>
      <c r="Q207" t="s">
        <v>175</v>
      </c>
      <c r="R207" t="s">
        <v>425</v>
      </c>
      <c r="S207">
        <v>60510</v>
      </c>
      <c r="T207" s="1">
        <v>42111</v>
      </c>
      <c r="U207" s="1">
        <v>42111</v>
      </c>
      <c r="V207" s="2">
        <v>250.0376</v>
      </c>
      <c r="W207">
        <v>17</v>
      </c>
      <c r="X207" s="2">
        <v>460.87</v>
      </c>
      <c r="Y207">
        <v>89579</v>
      </c>
      <c r="Z207">
        <f t="shared" si="3"/>
        <v>7834.79</v>
      </c>
    </row>
    <row r="208" spans="1:26" x14ac:dyDescent="0.25">
      <c r="A208">
        <v>22401</v>
      </c>
      <c r="B208" t="s">
        <v>37</v>
      </c>
      <c r="C208" s="2">
        <v>7.0000000000000007E-2</v>
      </c>
      <c r="D208" s="2">
        <v>415.88</v>
      </c>
      <c r="E208" s="2">
        <v>11.37</v>
      </c>
      <c r="F208">
        <v>381</v>
      </c>
      <c r="G208" t="s">
        <v>481</v>
      </c>
      <c r="H208" t="s">
        <v>49</v>
      </c>
      <c r="I208" t="s">
        <v>28</v>
      </c>
      <c r="J208" t="s">
        <v>29</v>
      </c>
      <c r="K208" t="s">
        <v>139</v>
      </c>
      <c r="L208" t="s">
        <v>59</v>
      </c>
      <c r="M208" t="s">
        <v>482</v>
      </c>
      <c r="N208">
        <v>0.56999999999999995</v>
      </c>
      <c r="O208" t="s">
        <v>33</v>
      </c>
      <c r="P208" t="s">
        <v>61</v>
      </c>
      <c r="Q208" t="s">
        <v>175</v>
      </c>
      <c r="R208" t="s">
        <v>483</v>
      </c>
      <c r="S208">
        <v>61701</v>
      </c>
      <c r="T208" s="1">
        <v>42125</v>
      </c>
      <c r="U208" s="1">
        <v>42125</v>
      </c>
      <c r="V208" s="2">
        <v>-539.59</v>
      </c>
      <c r="W208">
        <v>1</v>
      </c>
      <c r="X208" s="2">
        <v>394.51</v>
      </c>
      <c r="Y208">
        <v>88929</v>
      </c>
      <c r="Z208">
        <f t="shared" si="3"/>
        <v>394.51</v>
      </c>
    </row>
    <row r="209" spans="1:26" x14ac:dyDescent="0.25">
      <c r="A209">
        <v>21281</v>
      </c>
      <c r="B209" t="s">
        <v>47</v>
      </c>
      <c r="C209" s="2">
        <v>0.06</v>
      </c>
      <c r="D209" s="2">
        <v>5.34</v>
      </c>
      <c r="E209" s="2">
        <v>5.63</v>
      </c>
      <c r="F209">
        <v>383</v>
      </c>
      <c r="G209" t="s">
        <v>484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485</v>
      </c>
      <c r="N209">
        <v>0.39</v>
      </c>
      <c r="O209" t="s">
        <v>33</v>
      </c>
      <c r="P209" t="s">
        <v>53</v>
      </c>
      <c r="Q209" t="s">
        <v>229</v>
      </c>
      <c r="R209" t="s">
        <v>486</v>
      </c>
      <c r="S209">
        <v>19026</v>
      </c>
      <c r="T209" s="1">
        <v>42082</v>
      </c>
      <c r="U209" s="1">
        <v>42082</v>
      </c>
      <c r="V209" s="2">
        <v>-82.822999999999993</v>
      </c>
      <c r="W209">
        <v>7</v>
      </c>
      <c r="X209" s="2">
        <v>38.65</v>
      </c>
      <c r="Y209">
        <v>88928</v>
      </c>
      <c r="Z209">
        <f t="shared" si="3"/>
        <v>270.55</v>
      </c>
    </row>
    <row r="210" spans="1:26" x14ac:dyDescent="0.25">
      <c r="A210">
        <v>21282</v>
      </c>
      <c r="B210" t="s">
        <v>47</v>
      </c>
      <c r="C210" s="2">
        <v>7.0000000000000007E-2</v>
      </c>
      <c r="D210" s="2">
        <v>65.989999999999995</v>
      </c>
      <c r="E210" s="2">
        <v>5.26</v>
      </c>
      <c r="F210">
        <v>383</v>
      </c>
      <c r="G210" t="s">
        <v>484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>
        <v>8860</v>
      </c>
      <c r="N210">
        <v>0.56000000000000005</v>
      </c>
      <c r="O210" t="s">
        <v>33</v>
      </c>
      <c r="P210" t="s">
        <v>53</v>
      </c>
      <c r="Q210" t="s">
        <v>229</v>
      </c>
      <c r="R210" t="s">
        <v>486</v>
      </c>
      <c r="S210">
        <v>19026</v>
      </c>
      <c r="T210" s="1">
        <v>42082</v>
      </c>
      <c r="U210" s="1">
        <v>42084</v>
      </c>
      <c r="V210" s="2">
        <v>107.08199999999999</v>
      </c>
      <c r="W210">
        <v>5</v>
      </c>
      <c r="X210" s="2">
        <v>279.83</v>
      </c>
      <c r="Y210">
        <v>88928</v>
      </c>
      <c r="Z210">
        <f t="shared" si="3"/>
        <v>1399.1499999999999</v>
      </c>
    </row>
    <row r="211" spans="1:26" x14ac:dyDescent="0.25">
      <c r="A211">
        <v>20919</v>
      </c>
      <c r="B211" t="s">
        <v>25</v>
      </c>
      <c r="C211" s="2">
        <v>0.1</v>
      </c>
      <c r="D211" s="2">
        <v>8.8800000000000008</v>
      </c>
      <c r="E211" s="2">
        <v>6.28</v>
      </c>
      <c r="F211">
        <v>387</v>
      </c>
      <c r="G211" t="s">
        <v>487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488</v>
      </c>
      <c r="N211">
        <v>0.35</v>
      </c>
      <c r="O211" t="s">
        <v>33</v>
      </c>
      <c r="P211" t="s">
        <v>61</v>
      </c>
      <c r="Q211" t="s">
        <v>489</v>
      </c>
      <c r="R211" t="s">
        <v>490</v>
      </c>
      <c r="S211">
        <v>68801</v>
      </c>
      <c r="T211" s="1">
        <v>42167</v>
      </c>
      <c r="U211" s="1">
        <v>42169</v>
      </c>
      <c r="V211" s="2">
        <v>-27.283750000000001</v>
      </c>
      <c r="W211">
        <v>15</v>
      </c>
      <c r="X211" s="2">
        <v>126.9</v>
      </c>
      <c r="Y211">
        <v>90339</v>
      </c>
      <c r="Z211">
        <f t="shared" si="3"/>
        <v>1903.5</v>
      </c>
    </row>
    <row r="212" spans="1:26" x14ac:dyDescent="0.25">
      <c r="A212">
        <v>22223</v>
      </c>
      <c r="B212" t="s">
        <v>47</v>
      </c>
      <c r="C212" s="2">
        <v>0.03</v>
      </c>
      <c r="D212" s="2">
        <v>5.28</v>
      </c>
      <c r="E212" s="2">
        <v>5.66</v>
      </c>
      <c r="F212">
        <v>388</v>
      </c>
      <c r="G212" t="s">
        <v>491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492</v>
      </c>
      <c r="N212">
        <v>0.4</v>
      </c>
      <c r="O212" t="s">
        <v>33</v>
      </c>
      <c r="P212" t="s">
        <v>61</v>
      </c>
      <c r="Q212" t="s">
        <v>489</v>
      </c>
      <c r="R212" t="s">
        <v>493</v>
      </c>
      <c r="S212">
        <v>68847</v>
      </c>
      <c r="T212" s="1">
        <v>42007</v>
      </c>
      <c r="U212" s="1">
        <v>42009</v>
      </c>
      <c r="V212" s="2">
        <v>-51.559199999999997</v>
      </c>
      <c r="W212">
        <v>4</v>
      </c>
      <c r="X212" s="2">
        <v>22.82</v>
      </c>
      <c r="Y212">
        <v>90337</v>
      </c>
      <c r="Z212">
        <f t="shared" si="3"/>
        <v>91.28</v>
      </c>
    </row>
    <row r="213" spans="1:26" x14ac:dyDescent="0.25">
      <c r="A213">
        <v>22224</v>
      </c>
      <c r="B213" t="s">
        <v>47</v>
      </c>
      <c r="C213" s="2">
        <v>0.01</v>
      </c>
      <c r="D213" s="2">
        <v>110.99</v>
      </c>
      <c r="E213" s="2">
        <v>2.5</v>
      </c>
      <c r="F213">
        <v>388</v>
      </c>
      <c r="G213" t="s">
        <v>491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494</v>
      </c>
      <c r="N213">
        <v>0.56999999999999995</v>
      </c>
      <c r="O213" t="s">
        <v>33</v>
      </c>
      <c r="P213" t="s">
        <v>61</v>
      </c>
      <c r="Q213" t="s">
        <v>489</v>
      </c>
      <c r="R213" t="s">
        <v>493</v>
      </c>
      <c r="S213">
        <v>68847</v>
      </c>
      <c r="T213" s="1">
        <v>42007</v>
      </c>
      <c r="U213" s="1">
        <v>42010</v>
      </c>
      <c r="V213" s="2">
        <v>-263.56572</v>
      </c>
      <c r="W213">
        <v>2</v>
      </c>
      <c r="X213" s="2">
        <v>188.66</v>
      </c>
      <c r="Y213">
        <v>90337</v>
      </c>
      <c r="Z213">
        <f t="shared" si="3"/>
        <v>377.32</v>
      </c>
    </row>
    <row r="214" spans="1:26" x14ac:dyDescent="0.25">
      <c r="A214">
        <v>23853</v>
      </c>
      <c r="B214" t="s">
        <v>106</v>
      </c>
      <c r="C214" s="2">
        <v>0.03</v>
      </c>
      <c r="D214" s="2">
        <v>160.97999999999999</v>
      </c>
      <c r="E214" s="2">
        <v>30</v>
      </c>
      <c r="F214">
        <v>389</v>
      </c>
      <c r="G214" t="s">
        <v>495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174</v>
      </c>
      <c r="N214">
        <v>0.62</v>
      </c>
      <c r="O214" t="s">
        <v>33</v>
      </c>
      <c r="P214" t="s">
        <v>61</v>
      </c>
      <c r="Q214" t="s">
        <v>489</v>
      </c>
      <c r="R214" t="s">
        <v>496</v>
      </c>
      <c r="S214">
        <v>68502</v>
      </c>
      <c r="T214" s="1">
        <v>42041</v>
      </c>
      <c r="U214" s="1">
        <v>42045</v>
      </c>
      <c r="V214" s="2">
        <v>1273.2086999999999</v>
      </c>
      <c r="W214">
        <v>11</v>
      </c>
      <c r="X214" s="2">
        <v>1845.23</v>
      </c>
      <c r="Y214">
        <v>90338</v>
      </c>
      <c r="Z214">
        <f t="shared" si="3"/>
        <v>20297.53</v>
      </c>
    </row>
    <row r="215" spans="1:26" x14ac:dyDescent="0.25">
      <c r="A215">
        <v>25449</v>
      </c>
      <c r="B215" t="s">
        <v>56</v>
      </c>
      <c r="C215" s="2">
        <v>0.02</v>
      </c>
      <c r="D215" s="2">
        <v>34.979999999999997</v>
      </c>
      <c r="E215" s="2">
        <v>7.53</v>
      </c>
      <c r="F215">
        <v>392</v>
      </c>
      <c r="G215" t="s">
        <v>497</v>
      </c>
      <c r="H215" t="s">
        <v>49</v>
      </c>
      <c r="I215" t="s">
        <v>28</v>
      </c>
      <c r="J215" t="s">
        <v>77</v>
      </c>
      <c r="K215" t="s">
        <v>177</v>
      </c>
      <c r="L215" t="s">
        <v>59</v>
      </c>
      <c r="M215" t="s">
        <v>498</v>
      </c>
      <c r="N215">
        <v>0.76</v>
      </c>
      <c r="O215" t="s">
        <v>33</v>
      </c>
      <c r="P215" t="s">
        <v>61</v>
      </c>
      <c r="Q215" t="s">
        <v>499</v>
      </c>
      <c r="R215" t="s">
        <v>500</v>
      </c>
      <c r="S215">
        <v>63105</v>
      </c>
      <c r="T215" s="1">
        <v>42068</v>
      </c>
      <c r="U215" s="1">
        <v>42070</v>
      </c>
      <c r="V215" s="2">
        <v>-159.68</v>
      </c>
      <c r="W215">
        <v>1</v>
      </c>
      <c r="X215" s="2">
        <v>37.159999999999997</v>
      </c>
      <c r="Y215">
        <v>86383</v>
      </c>
      <c r="Z215">
        <f t="shared" si="3"/>
        <v>37.159999999999997</v>
      </c>
    </row>
    <row r="216" spans="1:26" x14ac:dyDescent="0.25">
      <c r="A216">
        <v>25450</v>
      </c>
      <c r="B216" t="s">
        <v>56</v>
      </c>
      <c r="C216" s="2">
        <v>0.01</v>
      </c>
      <c r="D216" s="2">
        <v>19.989999999999998</v>
      </c>
      <c r="E216" s="2">
        <v>11.17</v>
      </c>
      <c r="F216">
        <v>392</v>
      </c>
      <c r="G216" t="s">
        <v>497</v>
      </c>
      <c r="H216" t="s">
        <v>49</v>
      </c>
      <c r="I216" t="s">
        <v>28</v>
      </c>
      <c r="J216" t="s">
        <v>41</v>
      </c>
      <c r="K216" t="s">
        <v>50</v>
      </c>
      <c r="L216" t="s">
        <v>231</v>
      </c>
      <c r="M216" t="s">
        <v>501</v>
      </c>
      <c r="N216">
        <v>0.6</v>
      </c>
      <c r="O216" t="s">
        <v>33</v>
      </c>
      <c r="P216" t="s">
        <v>61</v>
      </c>
      <c r="Q216" t="s">
        <v>499</v>
      </c>
      <c r="R216" t="s">
        <v>500</v>
      </c>
      <c r="S216">
        <v>63105</v>
      </c>
      <c r="T216" s="1">
        <v>42068</v>
      </c>
      <c r="U216" s="1">
        <v>42071</v>
      </c>
      <c r="V216" s="2">
        <v>27.91</v>
      </c>
      <c r="W216">
        <v>2</v>
      </c>
      <c r="X216" s="2">
        <v>43.65</v>
      </c>
      <c r="Y216">
        <v>86383</v>
      </c>
      <c r="Z216">
        <f t="shared" si="3"/>
        <v>87.3</v>
      </c>
    </row>
    <row r="217" spans="1:26" x14ac:dyDescent="0.25">
      <c r="A217">
        <v>22598</v>
      </c>
      <c r="B217" t="s">
        <v>106</v>
      </c>
      <c r="C217" s="2">
        <v>7.0000000000000007E-2</v>
      </c>
      <c r="D217" s="2">
        <v>9.7100000000000009</v>
      </c>
      <c r="E217" s="2">
        <v>9.4499999999999993</v>
      </c>
      <c r="F217">
        <v>393</v>
      </c>
      <c r="G217" t="s">
        <v>502</v>
      </c>
      <c r="H217" t="s">
        <v>49</v>
      </c>
      <c r="I217" t="s">
        <v>28</v>
      </c>
      <c r="J217" t="s">
        <v>29</v>
      </c>
      <c r="K217" t="s">
        <v>139</v>
      </c>
      <c r="L217" t="s">
        <v>59</v>
      </c>
      <c r="M217" t="s">
        <v>503</v>
      </c>
      <c r="N217">
        <v>0.6</v>
      </c>
      <c r="O217" t="s">
        <v>33</v>
      </c>
      <c r="P217" t="s">
        <v>53</v>
      </c>
      <c r="Q217" t="s">
        <v>71</v>
      </c>
      <c r="R217" t="s">
        <v>504</v>
      </c>
      <c r="S217">
        <v>13021</v>
      </c>
      <c r="T217" s="1">
        <v>42050</v>
      </c>
      <c r="U217" s="1">
        <v>42057</v>
      </c>
      <c r="V217" s="2">
        <v>-81.77</v>
      </c>
      <c r="W217">
        <v>3</v>
      </c>
      <c r="X217" s="2">
        <v>31.44</v>
      </c>
      <c r="Y217">
        <v>86382</v>
      </c>
      <c r="Z217">
        <f t="shared" si="3"/>
        <v>94.320000000000007</v>
      </c>
    </row>
    <row r="218" spans="1:26" x14ac:dyDescent="0.25">
      <c r="A218">
        <v>24638</v>
      </c>
      <c r="B218" t="s">
        <v>47</v>
      </c>
      <c r="C218" s="2">
        <v>0.04</v>
      </c>
      <c r="D218" s="2">
        <v>15.98</v>
      </c>
      <c r="E218" s="2">
        <v>4</v>
      </c>
      <c r="F218">
        <v>395</v>
      </c>
      <c r="G218" t="s">
        <v>505</v>
      </c>
      <c r="H218" t="s">
        <v>49</v>
      </c>
      <c r="I218" t="s">
        <v>28</v>
      </c>
      <c r="J218" t="s">
        <v>77</v>
      </c>
      <c r="K218" t="s">
        <v>177</v>
      </c>
      <c r="L218" t="s">
        <v>59</v>
      </c>
      <c r="M218" t="s">
        <v>506</v>
      </c>
      <c r="N218">
        <v>0.37</v>
      </c>
      <c r="O218" t="s">
        <v>33</v>
      </c>
      <c r="P218" t="s">
        <v>135</v>
      </c>
      <c r="Q218" t="s">
        <v>316</v>
      </c>
      <c r="R218" t="s">
        <v>507</v>
      </c>
      <c r="S218">
        <v>28001</v>
      </c>
      <c r="T218" s="1">
        <v>42173</v>
      </c>
      <c r="U218" s="1">
        <v>42174</v>
      </c>
      <c r="V218" s="2">
        <v>-19.207999999999998</v>
      </c>
      <c r="W218">
        <v>4</v>
      </c>
      <c r="X218" s="2">
        <v>64.59</v>
      </c>
      <c r="Y218">
        <v>86384</v>
      </c>
      <c r="Z218">
        <f t="shared" si="3"/>
        <v>258.36</v>
      </c>
    </row>
    <row r="219" spans="1:26" x14ac:dyDescent="0.25">
      <c r="A219">
        <v>24639</v>
      </c>
      <c r="B219" t="s">
        <v>47</v>
      </c>
      <c r="C219" s="2">
        <v>0.06</v>
      </c>
      <c r="D219" s="2">
        <v>22.84</v>
      </c>
      <c r="E219" s="2">
        <v>5.47</v>
      </c>
      <c r="F219">
        <v>395</v>
      </c>
      <c r="G219" t="s">
        <v>505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508</v>
      </c>
      <c r="N219">
        <v>0.39</v>
      </c>
      <c r="O219" t="s">
        <v>33</v>
      </c>
      <c r="P219" t="s">
        <v>135</v>
      </c>
      <c r="Q219" t="s">
        <v>316</v>
      </c>
      <c r="R219" t="s">
        <v>507</v>
      </c>
      <c r="S219">
        <v>28001</v>
      </c>
      <c r="T219" s="1">
        <v>42173</v>
      </c>
      <c r="U219" s="1">
        <v>42175</v>
      </c>
      <c r="V219" s="2">
        <v>7.44</v>
      </c>
      <c r="W219">
        <v>20</v>
      </c>
      <c r="X219" s="2">
        <v>461.94</v>
      </c>
      <c r="Y219">
        <v>86384</v>
      </c>
      <c r="Z219">
        <f t="shared" si="3"/>
        <v>9238.7999999999993</v>
      </c>
    </row>
    <row r="220" spans="1:26" x14ac:dyDescent="0.25">
      <c r="A220">
        <v>20693</v>
      </c>
      <c r="B220" t="s">
        <v>47</v>
      </c>
      <c r="C220" s="2">
        <v>0.1</v>
      </c>
      <c r="D220" s="2">
        <v>154.13</v>
      </c>
      <c r="E220" s="2">
        <v>69</v>
      </c>
      <c r="F220">
        <v>397</v>
      </c>
      <c r="G220" t="s">
        <v>509</v>
      </c>
      <c r="H220" t="s">
        <v>49</v>
      </c>
      <c r="I220" t="s">
        <v>28</v>
      </c>
      <c r="J220" t="s">
        <v>41</v>
      </c>
      <c r="K220" t="s">
        <v>150</v>
      </c>
      <c r="L220" t="s">
        <v>231</v>
      </c>
      <c r="M220" t="s">
        <v>232</v>
      </c>
      <c r="N220">
        <v>0.68</v>
      </c>
      <c r="O220" t="s">
        <v>33</v>
      </c>
      <c r="P220" t="s">
        <v>53</v>
      </c>
      <c r="Q220" t="s">
        <v>152</v>
      </c>
      <c r="R220" t="s">
        <v>510</v>
      </c>
      <c r="S220">
        <v>44221</v>
      </c>
      <c r="T220" s="1">
        <v>42037</v>
      </c>
      <c r="U220" s="1">
        <v>42038</v>
      </c>
      <c r="V220" s="2">
        <v>-372.48597100000001</v>
      </c>
      <c r="W220">
        <v>8</v>
      </c>
      <c r="X220" s="2">
        <v>1216.32</v>
      </c>
      <c r="Y220">
        <v>89319</v>
      </c>
      <c r="Z220">
        <f t="shared" si="3"/>
        <v>9730.56</v>
      </c>
    </row>
    <row r="221" spans="1:26" x14ac:dyDescent="0.25">
      <c r="A221">
        <v>24471</v>
      </c>
      <c r="B221" t="s">
        <v>56</v>
      </c>
      <c r="C221" s="2">
        <v>0.05</v>
      </c>
      <c r="D221" s="2">
        <v>63.94</v>
      </c>
      <c r="E221" s="2">
        <v>14.48</v>
      </c>
      <c r="F221">
        <v>398</v>
      </c>
      <c r="G221" t="s">
        <v>511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512</v>
      </c>
      <c r="N221">
        <v>0.46</v>
      </c>
      <c r="O221" t="s">
        <v>33</v>
      </c>
      <c r="P221" t="s">
        <v>53</v>
      </c>
      <c r="Q221" t="s">
        <v>152</v>
      </c>
      <c r="R221" t="s">
        <v>513</v>
      </c>
      <c r="S221">
        <v>45406</v>
      </c>
      <c r="T221" s="1">
        <v>42147</v>
      </c>
      <c r="U221" s="1">
        <v>42149</v>
      </c>
      <c r="V221" s="2">
        <v>1372.6307999999999</v>
      </c>
      <c r="W221">
        <v>31</v>
      </c>
      <c r="X221" s="2">
        <v>1989.32</v>
      </c>
      <c r="Y221">
        <v>89320</v>
      </c>
      <c r="Z221">
        <f t="shared" si="3"/>
        <v>61668.92</v>
      </c>
    </row>
    <row r="222" spans="1:26" x14ac:dyDescent="0.25">
      <c r="A222">
        <v>21570</v>
      </c>
      <c r="B222" t="s">
        <v>25</v>
      </c>
      <c r="C222" s="2">
        <v>0.03</v>
      </c>
      <c r="D222" s="2">
        <v>4.9800000000000004</v>
      </c>
      <c r="E222" s="2">
        <v>0.8</v>
      </c>
      <c r="F222">
        <v>406</v>
      </c>
      <c r="G222" t="s">
        <v>514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515</v>
      </c>
      <c r="N222">
        <v>0.36</v>
      </c>
      <c r="O222" t="s">
        <v>33</v>
      </c>
      <c r="P222" t="s">
        <v>53</v>
      </c>
      <c r="Q222" t="s">
        <v>54</v>
      </c>
      <c r="R222" t="s">
        <v>516</v>
      </c>
      <c r="S222">
        <v>8360</v>
      </c>
      <c r="T222" s="1">
        <v>42145</v>
      </c>
      <c r="U222" s="1">
        <v>42146</v>
      </c>
      <c r="V222" s="2">
        <v>50.2044</v>
      </c>
      <c r="W222">
        <v>15</v>
      </c>
      <c r="X222" s="2">
        <v>72.760000000000005</v>
      </c>
      <c r="Y222">
        <v>87804</v>
      </c>
      <c r="Z222">
        <f t="shared" si="3"/>
        <v>1091.4000000000001</v>
      </c>
    </row>
    <row r="223" spans="1:26" x14ac:dyDescent="0.25">
      <c r="A223">
        <v>19104</v>
      </c>
      <c r="B223" t="s">
        <v>106</v>
      </c>
      <c r="C223" s="2">
        <v>7.0000000000000007E-2</v>
      </c>
      <c r="D223" s="2">
        <v>29.17</v>
      </c>
      <c r="E223" s="2">
        <v>6.27</v>
      </c>
      <c r="F223">
        <v>408</v>
      </c>
      <c r="G223" t="s">
        <v>517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518</v>
      </c>
      <c r="N223">
        <v>0.37</v>
      </c>
      <c r="O223" t="s">
        <v>33</v>
      </c>
      <c r="P223" t="s">
        <v>61</v>
      </c>
      <c r="Q223" t="s">
        <v>129</v>
      </c>
      <c r="R223" t="s">
        <v>519</v>
      </c>
      <c r="S223">
        <v>78589</v>
      </c>
      <c r="T223" s="1">
        <v>42126</v>
      </c>
      <c r="U223" s="1">
        <v>42130</v>
      </c>
      <c r="V223" s="2">
        <v>236.2371</v>
      </c>
      <c r="W223">
        <v>14</v>
      </c>
      <c r="X223" s="2">
        <v>400.47</v>
      </c>
      <c r="Y223">
        <v>89639</v>
      </c>
      <c r="Z223">
        <f t="shared" si="3"/>
        <v>5606.58</v>
      </c>
    </row>
    <row r="224" spans="1:26" x14ac:dyDescent="0.25">
      <c r="A224">
        <v>18428</v>
      </c>
      <c r="B224" t="s">
        <v>25</v>
      </c>
      <c r="C224" s="2">
        <v>0.05</v>
      </c>
      <c r="D224" s="2">
        <v>178.47</v>
      </c>
      <c r="E224" s="2">
        <v>19.989999999999998</v>
      </c>
      <c r="F224">
        <v>411</v>
      </c>
      <c r="G224" t="s">
        <v>520</v>
      </c>
      <c r="H224" t="s">
        <v>27</v>
      </c>
      <c r="I224" t="s">
        <v>114</v>
      </c>
      <c r="J224" t="s">
        <v>29</v>
      </c>
      <c r="K224" t="s">
        <v>139</v>
      </c>
      <c r="L224" t="s">
        <v>59</v>
      </c>
      <c r="M224" t="s">
        <v>521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467</v>
      </c>
      <c r="S224">
        <v>94601</v>
      </c>
      <c r="T224" s="1">
        <v>42128</v>
      </c>
      <c r="U224" s="1">
        <v>42131</v>
      </c>
      <c r="V224" s="2">
        <v>943</v>
      </c>
      <c r="W224">
        <v>9</v>
      </c>
      <c r="X224" s="2">
        <v>1531.31</v>
      </c>
      <c r="Y224">
        <v>87905</v>
      </c>
      <c r="Z224">
        <f t="shared" si="3"/>
        <v>13781.789999999999</v>
      </c>
    </row>
    <row r="225" spans="1:26" x14ac:dyDescent="0.25">
      <c r="A225">
        <v>21739</v>
      </c>
      <c r="B225" t="s">
        <v>47</v>
      </c>
      <c r="C225" s="2">
        <v>0.09</v>
      </c>
      <c r="D225" s="2">
        <v>999.99</v>
      </c>
      <c r="E225" s="2">
        <v>13.99</v>
      </c>
      <c r="F225">
        <v>421</v>
      </c>
      <c r="G225" t="s">
        <v>522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523</v>
      </c>
      <c r="N225">
        <v>0.36</v>
      </c>
      <c r="O225" t="s">
        <v>33</v>
      </c>
      <c r="P225" t="s">
        <v>53</v>
      </c>
      <c r="Q225" t="s">
        <v>54</v>
      </c>
      <c r="R225" t="s">
        <v>524</v>
      </c>
      <c r="S225">
        <v>7201</v>
      </c>
      <c r="T225" s="1">
        <v>42041</v>
      </c>
      <c r="U225" s="1">
        <v>42043</v>
      </c>
      <c r="V225" s="2">
        <v>-2531.4825000000001</v>
      </c>
      <c r="W225">
        <v>1</v>
      </c>
      <c r="X225" s="2">
        <v>919.09</v>
      </c>
      <c r="Y225">
        <v>87700</v>
      </c>
      <c r="Z225">
        <f t="shared" si="3"/>
        <v>919.09</v>
      </c>
    </row>
    <row r="226" spans="1:26" x14ac:dyDescent="0.25">
      <c r="A226">
        <v>22355</v>
      </c>
      <c r="B226" t="s">
        <v>25</v>
      </c>
      <c r="C226" s="2">
        <v>0.02</v>
      </c>
      <c r="D226" s="2">
        <v>15.28</v>
      </c>
      <c r="E226" s="2">
        <v>1.99</v>
      </c>
      <c r="F226">
        <v>428</v>
      </c>
      <c r="G226" t="s">
        <v>525</v>
      </c>
      <c r="H226" t="s">
        <v>49</v>
      </c>
      <c r="I226" t="s">
        <v>28</v>
      </c>
      <c r="J226" t="s">
        <v>77</v>
      </c>
      <c r="K226" t="s">
        <v>177</v>
      </c>
      <c r="L226" t="s">
        <v>51</v>
      </c>
      <c r="M226" t="s">
        <v>327</v>
      </c>
      <c r="N226">
        <v>0.42</v>
      </c>
      <c r="O226" t="s">
        <v>33</v>
      </c>
      <c r="P226" t="s">
        <v>34</v>
      </c>
      <c r="Q226" t="s">
        <v>526</v>
      </c>
      <c r="R226" t="s">
        <v>527</v>
      </c>
      <c r="S226">
        <v>89701</v>
      </c>
      <c r="T226" s="1">
        <v>42019</v>
      </c>
      <c r="U226" s="1">
        <v>42020</v>
      </c>
      <c r="V226" s="2">
        <v>163.1574</v>
      </c>
      <c r="W226">
        <v>15</v>
      </c>
      <c r="X226" s="2">
        <v>236.46</v>
      </c>
      <c r="Y226">
        <v>88479</v>
      </c>
      <c r="Z226">
        <f t="shared" si="3"/>
        <v>3546.9</v>
      </c>
    </row>
    <row r="227" spans="1:26" x14ac:dyDescent="0.25">
      <c r="A227">
        <v>22356</v>
      </c>
      <c r="B227" t="s">
        <v>25</v>
      </c>
      <c r="C227" s="2">
        <v>0</v>
      </c>
      <c r="D227" s="2">
        <v>85.99</v>
      </c>
      <c r="E227" s="2">
        <v>3.3</v>
      </c>
      <c r="F227">
        <v>428</v>
      </c>
      <c r="G227" t="s">
        <v>525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528</v>
      </c>
      <c r="N227">
        <v>0.37</v>
      </c>
      <c r="O227" t="s">
        <v>33</v>
      </c>
      <c r="P227" t="s">
        <v>34</v>
      </c>
      <c r="Q227" t="s">
        <v>526</v>
      </c>
      <c r="R227" t="s">
        <v>527</v>
      </c>
      <c r="S227">
        <v>89701</v>
      </c>
      <c r="T227" s="1">
        <v>42019</v>
      </c>
      <c r="U227" s="1">
        <v>42020</v>
      </c>
      <c r="V227" s="2">
        <v>-302.22500000000002</v>
      </c>
      <c r="W227">
        <v>1</v>
      </c>
      <c r="X227" s="2">
        <v>73.819999999999993</v>
      </c>
      <c r="Y227">
        <v>88479</v>
      </c>
      <c r="Z227">
        <f t="shared" si="3"/>
        <v>73.819999999999993</v>
      </c>
    </row>
    <row r="228" spans="1:26" x14ac:dyDescent="0.25">
      <c r="A228">
        <v>25351</v>
      </c>
      <c r="B228" t="s">
        <v>37</v>
      </c>
      <c r="C228" s="2">
        <v>0.05</v>
      </c>
      <c r="D228" s="2">
        <v>10.98</v>
      </c>
      <c r="E228" s="2">
        <v>4.8</v>
      </c>
      <c r="F228">
        <v>428</v>
      </c>
      <c r="G228" t="s">
        <v>525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529</v>
      </c>
      <c r="N228">
        <v>0.36</v>
      </c>
      <c r="O228" t="s">
        <v>33</v>
      </c>
      <c r="P228" t="s">
        <v>34</v>
      </c>
      <c r="Q228" t="s">
        <v>526</v>
      </c>
      <c r="R228" t="s">
        <v>527</v>
      </c>
      <c r="S228">
        <v>89701</v>
      </c>
      <c r="T228" s="1">
        <v>42066</v>
      </c>
      <c r="U228" s="1">
        <v>42068</v>
      </c>
      <c r="V228" s="2">
        <v>90.62</v>
      </c>
      <c r="W228">
        <v>22</v>
      </c>
      <c r="X228" s="2">
        <v>243.11</v>
      </c>
      <c r="Y228">
        <v>88480</v>
      </c>
      <c r="Z228">
        <f t="shared" si="3"/>
        <v>5348.42</v>
      </c>
    </row>
    <row r="229" spans="1:26" x14ac:dyDescent="0.25">
      <c r="A229">
        <v>19988</v>
      </c>
      <c r="B229" t="s">
        <v>106</v>
      </c>
      <c r="C229" s="2">
        <v>0.05</v>
      </c>
      <c r="D229" s="2">
        <v>125.99</v>
      </c>
      <c r="E229" s="2">
        <v>8.08</v>
      </c>
      <c r="F229">
        <v>437</v>
      </c>
      <c r="G229" t="s">
        <v>530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284</v>
      </c>
      <c r="N229">
        <v>0.56999999999999995</v>
      </c>
      <c r="O229" t="s">
        <v>33</v>
      </c>
      <c r="P229" t="s">
        <v>53</v>
      </c>
      <c r="Q229" t="s">
        <v>189</v>
      </c>
      <c r="R229" t="s">
        <v>531</v>
      </c>
      <c r="S229">
        <v>1462</v>
      </c>
      <c r="T229" s="1">
        <v>42177</v>
      </c>
      <c r="U229" s="1">
        <v>42182</v>
      </c>
      <c r="V229" s="2">
        <v>427.11840000000001</v>
      </c>
      <c r="W229">
        <v>9</v>
      </c>
      <c r="X229" s="2">
        <v>952.26</v>
      </c>
      <c r="Y229">
        <v>90695</v>
      </c>
      <c r="Z229">
        <f t="shared" si="3"/>
        <v>8570.34</v>
      </c>
    </row>
    <row r="230" spans="1:26" x14ac:dyDescent="0.25">
      <c r="A230">
        <v>25813</v>
      </c>
      <c r="B230" t="s">
        <v>47</v>
      </c>
      <c r="C230" s="2">
        <v>0</v>
      </c>
      <c r="D230" s="2">
        <v>7.59</v>
      </c>
      <c r="E230" s="2">
        <v>4</v>
      </c>
      <c r="F230">
        <v>444</v>
      </c>
      <c r="G230" t="s">
        <v>532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438</v>
      </c>
      <c r="N230">
        <v>0.42</v>
      </c>
      <c r="O230" t="s">
        <v>33</v>
      </c>
      <c r="P230" t="s">
        <v>61</v>
      </c>
      <c r="Q230" t="s">
        <v>175</v>
      </c>
      <c r="R230" t="s">
        <v>533</v>
      </c>
      <c r="S230">
        <v>61801</v>
      </c>
      <c r="T230" s="1">
        <v>42149</v>
      </c>
      <c r="U230" s="1">
        <v>42152</v>
      </c>
      <c r="V230" s="2">
        <v>86.438000000000002</v>
      </c>
      <c r="W230">
        <v>43</v>
      </c>
      <c r="X230" s="2">
        <v>355.92</v>
      </c>
      <c r="Y230">
        <v>88085</v>
      </c>
      <c r="Z230">
        <f t="shared" si="3"/>
        <v>15304.560000000001</v>
      </c>
    </row>
    <row r="231" spans="1:26" x14ac:dyDescent="0.25">
      <c r="A231">
        <v>23153</v>
      </c>
      <c r="B231" t="s">
        <v>37</v>
      </c>
      <c r="C231" s="2">
        <v>0.03</v>
      </c>
      <c r="D231" s="2">
        <v>48.04</v>
      </c>
      <c r="E231" s="2">
        <v>19.989999999999998</v>
      </c>
      <c r="F231">
        <v>445</v>
      </c>
      <c r="G231" t="s">
        <v>534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535</v>
      </c>
      <c r="N231">
        <v>0.37</v>
      </c>
      <c r="O231" t="s">
        <v>33</v>
      </c>
      <c r="P231" t="s">
        <v>61</v>
      </c>
      <c r="Q231" t="s">
        <v>489</v>
      </c>
      <c r="R231" t="s">
        <v>536</v>
      </c>
      <c r="S231">
        <v>68701</v>
      </c>
      <c r="T231" s="1">
        <v>42105</v>
      </c>
      <c r="U231" s="1">
        <v>42107</v>
      </c>
      <c r="V231" s="2">
        <v>-4.46</v>
      </c>
      <c r="W231">
        <v>2</v>
      </c>
      <c r="X231" s="2">
        <v>101.71</v>
      </c>
      <c r="Y231">
        <v>88083</v>
      </c>
      <c r="Z231">
        <f t="shared" si="3"/>
        <v>203.42</v>
      </c>
    </row>
    <row r="232" spans="1:26" x14ac:dyDescent="0.25">
      <c r="A232">
        <v>23862</v>
      </c>
      <c r="B232" t="s">
        <v>25</v>
      </c>
      <c r="C232" s="2">
        <v>0.09</v>
      </c>
      <c r="D232" s="2">
        <v>200.98</v>
      </c>
      <c r="E232" s="2">
        <v>55.96</v>
      </c>
      <c r="F232">
        <v>445</v>
      </c>
      <c r="G232" t="s">
        <v>534</v>
      </c>
      <c r="H232" t="s">
        <v>39</v>
      </c>
      <c r="I232" t="s">
        <v>58</v>
      </c>
      <c r="J232" t="s">
        <v>41</v>
      </c>
      <c r="K232" t="s">
        <v>187</v>
      </c>
      <c r="L232" t="s">
        <v>120</v>
      </c>
      <c r="M232" t="s">
        <v>474</v>
      </c>
      <c r="N232">
        <v>0.75</v>
      </c>
      <c r="O232" t="s">
        <v>33</v>
      </c>
      <c r="P232" t="s">
        <v>61</v>
      </c>
      <c r="Q232" t="s">
        <v>489</v>
      </c>
      <c r="R232" t="s">
        <v>536</v>
      </c>
      <c r="S232">
        <v>68701</v>
      </c>
      <c r="T232" s="1">
        <v>42178</v>
      </c>
      <c r="U232" s="1">
        <v>42179</v>
      </c>
      <c r="V232" s="2">
        <v>-512.87199999999996</v>
      </c>
      <c r="W232">
        <v>9</v>
      </c>
      <c r="X232" s="2">
        <v>1766.68</v>
      </c>
      <c r="Y232">
        <v>88084</v>
      </c>
      <c r="Z232">
        <f t="shared" si="3"/>
        <v>15900.12</v>
      </c>
    </row>
    <row r="233" spans="1:26" x14ac:dyDescent="0.25">
      <c r="A233">
        <v>23863</v>
      </c>
      <c r="B233" t="s">
        <v>25</v>
      </c>
      <c r="C233" s="2">
        <v>0.09</v>
      </c>
      <c r="D233" s="2">
        <v>2.78</v>
      </c>
      <c r="E233" s="2">
        <v>0.97</v>
      </c>
      <c r="F233">
        <v>445</v>
      </c>
      <c r="G233" t="s">
        <v>534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537</v>
      </c>
      <c r="N233">
        <v>0.59</v>
      </c>
      <c r="O233" t="s">
        <v>33</v>
      </c>
      <c r="P233" t="s">
        <v>61</v>
      </c>
      <c r="Q233" t="s">
        <v>489</v>
      </c>
      <c r="R233" t="s">
        <v>536</v>
      </c>
      <c r="S233">
        <v>68701</v>
      </c>
      <c r="T233" s="1">
        <v>42178</v>
      </c>
      <c r="U233" s="1">
        <v>42179</v>
      </c>
      <c r="V233" s="2">
        <v>-3.7839999999999998</v>
      </c>
      <c r="W233">
        <v>11</v>
      </c>
      <c r="X233" s="2">
        <v>29.02</v>
      </c>
      <c r="Y233">
        <v>88084</v>
      </c>
      <c r="Z233">
        <f t="shared" si="3"/>
        <v>319.21999999999997</v>
      </c>
    </row>
    <row r="234" spans="1:26" x14ac:dyDescent="0.25">
      <c r="A234">
        <v>19694</v>
      </c>
      <c r="B234" t="s">
        <v>37</v>
      </c>
      <c r="C234" s="2">
        <v>0.04</v>
      </c>
      <c r="D234" s="2">
        <v>130.97999999999999</v>
      </c>
      <c r="E234" s="2">
        <v>30</v>
      </c>
      <c r="F234">
        <v>447</v>
      </c>
      <c r="G234" t="s">
        <v>538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539</v>
      </c>
      <c r="N234">
        <v>0.78</v>
      </c>
      <c r="O234" t="s">
        <v>33</v>
      </c>
      <c r="P234" t="s">
        <v>61</v>
      </c>
      <c r="Q234" t="s">
        <v>62</v>
      </c>
      <c r="R234" t="s">
        <v>540</v>
      </c>
      <c r="S234">
        <v>55113</v>
      </c>
      <c r="T234" s="1">
        <v>42180</v>
      </c>
      <c r="U234" s="1">
        <v>42183</v>
      </c>
      <c r="V234" s="2">
        <v>-82.903999999999996</v>
      </c>
      <c r="W234">
        <v>1</v>
      </c>
      <c r="X234" s="2">
        <v>159.51</v>
      </c>
      <c r="Y234">
        <v>90449</v>
      </c>
      <c r="Z234">
        <f t="shared" si="3"/>
        <v>159.51</v>
      </c>
    </row>
    <row r="235" spans="1:26" x14ac:dyDescent="0.25">
      <c r="A235">
        <v>19695</v>
      </c>
      <c r="B235" t="s">
        <v>37</v>
      </c>
      <c r="C235" s="2">
        <v>0.05</v>
      </c>
      <c r="D235" s="2">
        <v>200.99</v>
      </c>
      <c r="E235" s="2">
        <v>4.2</v>
      </c>
      <c r="F235">
        <v>447</v>
      </c>
      <c r="G235" t="s">
        <v>538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541</v>
      </c>
      <c r="N235">
        <v>0.59</v>
      </c>
      <c r="O235" t="s">
        <v>33</v>
      </c>
      <c r="P235" t="s">
        <v>61</v>
      </c>
      <c r="Q235" t="s">
        <v>62</v>
      </c>
      <c r="R235" t="s">
        <v>540</v>
      </c>
      <c r="S235">
        <v>55113</v>
      </c>
      <c r="T235" s="1">
        <v>42180</v>
      </c>
      <c r="U235" s="1">
        <v>42180</v>
      </c>
      <c r="V235" s="2">
        <v>1268.8064999999999</v>
      </c>
      <c r="W235">
        <v>11</v>
      </c>
      <c r="X235" s="2">
        <v>1838.85</v>
      </c>
      <c r="Y235">
        <v>90449</v>
      </c>
      <c r="Z235">
        <f t="shared" si="3"/>
        <v>20227.349999999999</v>
      </c>
    </row>
    <row r="236" spans="1:26" x14ac:dyDescent="0.25">
      <c r="A236">
        <v>20851</v>
      </c>
      <c r="B236" t="s">
        <v>25</v>
      </c>
      <c r="C236" s="2">
        <v>0.03</v>
      </c>
      <c r="D236" s="2">
        <v>15.99</v>
      </c>
      <c r="E236" s="2">
        <v>11.28</v>
      </c>
      <c r="F236">
        <v>451</v>
      </c>
      <c r="G236" t="s">
        <v>542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543</v>
      </c>
      <c r="N236">
        <v>0.38</v>
      </c>
      <c r="O236" t="s">
        <v>33</v>
      </c>
      <c r="P236" t="s">
        <v>34</v>
      </c>
      <c r="Q236" t="s">
        <v>45</v>
      </c>
      <c r="R236" t="s">
        <v>544</v>
      </c>
      <c r="S236">
        <v>94024</v>
      </c>
      <c r="T236" s="1">
        <v>42104</v>
      </c>
      <c r="U236" s="1">
        <v>42105</v>
      </c>
      <c r="V236" s="2">
        <v>-53.296199999999999</v>
      </c>
      <c r="W236">
        <v>2</v>
      </c>
      <c r="X236" s="2">
        <v>35.479999999999997</v>
      </c>
      <c r="Y236">
        <v>86010</v>
      </c>
      <c r="Z236">
        <f t="shared" si="3"/>
        <v>70.959999999999994</v>
      </c>
    </row>
    <row r="237" spans="1:26" x14ac:dyDescent="0.25">
      <c r="A237">
        <v>21117</v>
      </c>
      <c r="B237" t="s">
        <v>47</v>
      </c>
      <c r="C237" s="2">
        <v>0.04</v>
      </c>
      <c r="D237" s="2">
        <v>37.700000000000003</v>
      </c>
      <c r="E237" s="2">
        <v>2.99</v>
      </c>
      <c r="F237">
        <v>451</v>
      </c>
      <c r="G237" t="s">
        <v>542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545</v>
      </c>
      <c r="N237">
        <v>0.35</v>
      </c>
      <c r="O237" t="s">
        <v>33</v>
      </c>
      <c r="P237" t="s">
        <v>34</v>
      </c>
      <c r="Q237" t="s">
        <v>45</v>
      </c>
      <c r="R237" t="s">
        <v>544</v>
      </c>
      <c r="S237">
        <v>94024</v>
      </c>
      <c r="T237" s="1">
        <v>42151</v>
      </c>
      <c r="U237" s="1">
        <v>42152</v>
      </c>
      <c r="V237" s="2">
        <v>299.6739</v>
      </c>
      <c r="W237">
        <v>12</v>
      </c>
      <c r="X237" s="2">
        <v>434.31</v>
      </c>
      <c r="Y237">
        <v>86012</v>
      </c>
      <c r="Z237">
        <f t="shared" si="3"/>
        <v>5211.72</v>
      </c>
    </row>
    <row r="238" spans="1:26" x14ac:dyDescent="0.25">
      <c r="A238">
        <v>18536</v>
      </c>
      <c r="B238" t="s">
        <v>106</v>
      </c>
      <c r="C238" s="2">
        <v>0.01</v>
      </c>
      <c r="D238" s="2">
        <v>8.8800000000000008</v>
      </c>
      <c r="E238" s="2">
        <v>6.28</v>
      </c>
      <c r="F238">
        <v>451</v>
      </c>
      <c r="G238" t="s">
        <v>542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488</v>
      </c>
      <c r="N238">
        <v>0.35</v>
      </c>
      <c r="O238" t="s">
        <v>33</v>
      </c>
      <c r="P238" t="s">
        <v>34</v>
      </c>
      <c r="Q238" t="s">
        <v>45</v>
      </c>
      <c r="R238" t="s">
        <v>544</v>
      </c>
      <c r="S238">
        <v>94024</v>
      </c>
      <c r="T238" s="1">
        <v>42009</v>
      </c>
      <c r="U238" s="1">
        <v>42014</v>
      </c>
      <c r="V238" s="2">
        <v>-15.456</v>
      </c>
      <c r="W238">
        <v>2</v>
      </c>
      <c r="X238" s="2">
        <v>19.86</v>
      </c>
      <c r="Y238">
        <v>86013</v>
      </c>
      <c r="Z238">
        <f t="shared" si="3"/>
        <v>39.72</v>
      </c>
    </row>
    <row r="239" spans="1:26" x14ac:dyDescent="0.25">
      <c r="A239">
        <v>18537</v>
      </c>
      <c r="B239" t="s">
        <v>106</v>
      </c>
      <c r="C239" s="2">
        <v>0.06</v>
      </c>
      <c r="D239" s="2">
        <v>2.88</v>
      </c>
      <c r="E239" s="2">
        <v>0.99</v>
      </c>
      <c r="F239">
        <v>451</v>
      </c>
      <c r="G239" t="s">
        <v>542</v>
      </c>
      <c r="H239" t="s">
        <v>49</v>
      </c>
      <c r="I239" t="s">
        <v>40</v>
      </c>
      <c r="J239" t="s">
        <v>29</v>
      </c>
      <c r="K239" t="s">
        <v>133</v>
      </c>
      <c r="L239" t="s">
        <v>59</v>
      </c>
      <c r="M239" t="s">
        <v>343</v>
      </c>
      <c r="N239">
        <v>0.36</v>
      </c>
      <c r="O239" t="s">
        <v>33</v>
      </c>
      <c r="P239" t="s">
        <v>34</v>
      </c>
      <c r="Q239" t="s">
        <v>45</v>
      </c>
      <c r="R239" t="s">
        <v>544</v>
      </c>
      <c r="S239">
        <v>94024</v>
      </c>
      <c r="T239" s="1">
        <v>42009</v>
      </c>
      <c r="U239" s="1">
        <v>42018</v>
      </c>
      <c r="V239" s="2">
        <v>16.049399999999999</v>
      </c>
      <c r="W239">
        <v>8</v>
      </c>
      <c r="X239" s="2">
        <v>23.26</v>
      </c>
      <c r="Y239">
        <v>86013</v>
      </c>
      <c r="Z239">
        <f t="shared" si="3"/>
        <v>186.08</v>
      </c>
    </row>
    <row r="240" spans="1:26" x14ac:dyDescent="0.25">
      <c r="A240">
        <v>21118</v>
      </c>
      <c r="B240" t="s">
        <v>47</v>
      </c>
      <c r="C240" s="2">
        <v>0.01</v>
      </c>
      <c r="D240" s="2">
        <v>55.99</v>
      </c>
      <c r="E240" s="2">
        <v>5</v>
      </c>
      <c r="F240">
        <v>452</v>
      </c>
      <c r="G240" t="s">
        <v>546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392</v>
      </c>
      <c r="N240">
        <v>0.83</v>
      </c>
      <c r="O240" t="s">
        <v>33</v>
      </c>
      <c r="P240" t="s">
        <v>34</v>
      </c>
      <c r="Q240" t="s">
        <v>45</v>
      </c>
      <c r="R240" t="s">
        <v>547</v>
      </c>
      <c r="S240">
        <v>93635</v>
      </c>
      <c r="T240" s="1">
        <v>42151</v>
      </c>
      <c r="U240" s="1">
        <v>42152</v>
      </c>
      <c r="V240" s="2">
        <v>-235.89500000000001</v>
      </c>
      <c r="W240">
        <v>1</v>
      </c>
      <c r="X240" s="2">
        <v>51.83</v>
      </c>
      <c r="Y240">
        <v>86012</v>
      </c>
      <c r="Z240">
        <f t="shared" si="3"/>
        <v>51.83</v>
      </c>
    </row>
    <row r="241" spans="1:26" x14ac:dyDescent="0.25">
      <c r="A241">
        <v>22318</v>
      </c>
      <c r="B241" t="s">
        <v>37</v>
      </c>
      <c r="C241" s="2">
        <v>0.03</v>
      </c>
      <c r="D241" s="2">
        <v>29.34</v>
      </c>
      <c r="E241" s="2">
        <v>7.87</v>
      </c>
      <c r="F241">
        <v>453</v>
      </c>
      <c r="G241" t="s">
        <v>548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549</v>
      </c>
      <c r="N241">
        <v>0.54</v>
      </c>
      <c r="O241" t="s">
        <v>33</v>
      </c>
      <c r="P241" t="s">
        <v>34</v>
      </c>
      <c r="Q241" t="s">
        <v>45</v>
      </c>
      <c r="R241" t="s">
        <v>550</v>
      </c>
      <c r="S241">
        <v>95032</v>
      </c>
      <c r="T241" s="1">
        <v>42132</v>
      </c>
      <c r="U241" s="1">
        <v>42134</v>
      </c>
      <c r="V241" s="2">
        <v>-41.32</v>
      </c>
      <c r="W241">
        <v>1</v>
      </c>
      <c r="X241" s="2">
        <v>32.4</v>
      </c>
      <c r="Y241">
        <v>86011</v>
      </c>
      <c r="Z241">
        <f t="shared" si="3"/>
        <v>32.4</v>
      </c>
    </row>
    <row r="242" spans="1:26" x14ac:dyDescent="0.25">
      <c r="A242">
        <v>22874</v>
      </c>
      <c r="B242" t="s">
        <v>106</v>
      </c>
      <c r="C242" s="2">
        <v>7.0000000000000007E-2</v>
      </c>
      <c r="D242" s="2">
        <v>16.91</v>
      </c>
      <c r="E242" s="2">
        <v>6.25</v>
      </c>
      <c r="F242">
        <v>460</v>
      </c>
      <c r="G242" t="s">
        <v>551</v>
      </c>
      <c r="H242" t="s">
        <v>49</v>
      </c>
      <c r="I242" t="s">
        <v>40</v>
      </c>
      <c r="J242" t="s">
        <v>29</v>
      </c>
      <c r="K242" t="s">
        <v>139</v>
      </c>
      <c r="L242" t="s">
        <v>59</v>
      </c>
      <c r="M242" t="s">
        <v>552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553</v>
      </c>
      <c r="S242">
        <v>8332</v>
      </c>
      <c r="T242" s="1">
        <v>42147</v>
      </c>
      <c r="U242" s="1">
        <v>42154</v>
      </c>
      <c r="V242" s="2">
        <v>7.9</v>
      </c>
      <c r="W242">
        <v>31</v>
      </c>
      <c r="X242" s="2">
        <v>492.9</v>
      </c>
      <c r="Y242">
        <v>86014</v>
      </c>
      <c r="Z242">
        <f t="shared" si="3"/>
        <v>15279.9</v>
      </c>
    </row>
    <row r="243" spans="1:26" x14ac:dyDescent="0.25">
      <c r="A243">
        <v>18467</v>
      </c>
      <c r="B243" t="s">
        <v>106</v>
      </c>
      <c r="C243" s="2">
        <v>7.0000000000000007E-2</v>
      </c>
      <c r="D243" s="2">
        <v>165.2</v>
      </c>
      <c r="E243" s="2">
        <v>19.989999999999998</v>
      </c>
      <c r="F243">
        <v>463</v>
      </c>
      <c r="G243" t="s">
        <v>554</v>
      </c>
      <c r="H243" t="s">
        <v>49</v>
      </c>
      <c r="I243" t="s">
        <v>58</v>
      </c>
      <c r="J243" t="s">
        <v>29</v>
      </c>
      <c r="K243" t="s">
        <v>139</v>
      </c>
      <c r="L243" t="s">
        <v>59</v>
      </c>
      <c r="M243" t="s">
        <v>555</v>
      </c>
      <c r="N243">
        <v>0.59</v>
      </c>
      <c r="O243" t="s">
        <v>33</v>
      </c>
      <c r="P243" t="s">
        <v>34</v>
      </c>
      <c r="Q243" t="s">
        <v>45</v>
      </c>
      <c r="R243" t="s">
        <v>556</v>
      </c>
      <c r="S243">
        <v>90069</v>
      </c>
      <c r="T243" s="1">
        <v>42018</v>
      </c>
      <c r="U243" s="1">
        <v>42020</v>
      </c>
      <c r="V243" s="2">
        <v>521.69000000000005</v>
      </c>
      <c r="W243">
        <v>7</v>
      </c>
      <c r="X243" s="2">
        <v>1081.54</v>
      </c>
      <c r="Y243">
        <v>88061</v>
      </c>
      <c r="Z243">
        <f t="shared" si="3"/>
        <v>7570.78</v>
      </c>
    </row>
    <row r="244" spans="1:26" x14ac:dyDescent="0.25">
      <c r="A244">
        <v>22754</v>
      </c>
      <c r="B244" t="s">
        <v>37</v>
      </c>
      <c r="C244" s="2">
        <v>0.08</v>
      </c>
      <c r="D244" s="2">
        <v>297.64</v>
      </c>
      <c r="E244" s="2">
        <v>14.7</v>
      </c>
      <c r="F244">
        <v>466</v>
      </c>
      <c r="G244" t="s">
        <v>557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558</v>
      </c>
      <c r="N244">
        <v>0.56999999999999995</v>
      </c>
      <c r="O244" t="s">
        <v>33</v>
      </c>
      <c r="P244" t="s">
        <v>53</v>
      </c>
      <c r="Q244" t="s">
        <v>189</v>
      </c>
      <c r="R244" t="s">
        <v>559</v>
      </c>
      <c r="S244">
        <v>2019</v>
      </c>
      <c r="T244" s="1">
        <v>42015</v>
      </c>
      <c r="U244" s="1">
        <v>42015</v>
      </c>
      <c r="V244" s="2">
        <v>496.79680000000002</v>
      </c>
      <c r="W244">
        <v>5</v>
      </c>
      <c r="X244" s="2">
        <v>1132.8399999999999</v>
      </c>
      <c r="Y244">
        <v>88060</v>
      </c>
      <c r="Z244">
        <f t="shared" si="3"/>
        <v>5664.2</v>
      </c>
    </row>
    <row r="245" spans="1:26" x14ac:dyDescent="0.25">
      <c r="A245">
        <v>22755</v>
      </c>
      <c r="B245" t="s">
        <v>37</v>
      </c>
      <c r="C245" s="2">
        <v>0.02</v>
      </c>
      <c r="D245" s="2">
        <v>12.99</v>
      </c>
      <c r="E245" s="2">
        <v>14.37</v>
      </c>
      <c r="F245">
        <v>467</v>
      </c>
      <c r="G245" t="s">
        <v>560</v>
      </c>
      <c r="H245" t="s">
        <v>49</v>
      </c>
      <c r="I245" t="s">
        <v>58</v>
      </c>
      <c r="J245" t="s">
        <v>41</v>
      </c>
      <c r="K245" t="s">
        <v>50</v>
      </c>
      <c r="L245" t="s">
        <v>231</v>
      </c>
      <c r="M245" t="s">
        <v>561</v>
      </c>
      <c r="N245">
        <v>0.73</v>
      </c>
      <c r="O245" t="s">
        <v>33</v>
      </c>
      <c r="P245" t="s">
        <v>53</v>
      </c>
      <c r="Q245" t="s">
        <v>189</v>
      </c>
      <c r="R245" t="s">
        <v>562</v>
      </c>
      <c r="S245">
        <v>1915</v>
      </c>
      <c r="T245" s="1">
        <v>42015</v>
      </c>
      <c r="U245" s="1">
        <v>42016</v>
      </c>
      <c r="V245" s="2">
        <v>-556.80960000000005</v>
      </c>
      <c r="W245">
        <v>11</v>
      </c>
      <c r="X245" s="2">
        <v>143.63</v>
      </c>
      <c r="Y245">
        <v>88060</v>
      </c>
      <c r="Z245">
        <f t="shared" si="3"/>
        <v>1579.9299999999998</v>
      </c>
    </row>
    <row r="246" spans="1:26" x14ac:dyDescent="0.25">
      <c r="A246">
        <v>22756</v>
      </c>
      <c r="B246" t="s">
        <v>37</v>
      </c>
      <c r="C246" s="2">
        <v>0.06</v>
      </c>
      <c r="D246" s="2">
        <v>14.42</v>
      </c>
      <c r="E246" s="2">
        <v>6.75</v>
      </c>
      <c r="F246">
        <v>468</v>
      </c>
      <c r="G246" t="s">
        <v>563</v>
      </c>
      <c r="H246" t="s">
        <v>49</v>
      </c>
      <c r="I246" t="s">
        <v>58</v>
      </c>
      <c r="J246" t="s">
        <v>29</v>
      </c>
      <c r="K246" t="s">
        <v>252</v>
      </c>
      <c r="L246" t="s">
        <v>86</v>
      </c>
      <c r="M246" t="s">
        <v>564</v>
      </c>
      <c r="N246">
        <v>0.52</v>
      </c>
      <c r="O246" t="s">
        <v>33</v>
      </c>
      <c r="P246" t="s">
        <v>53</v>
      </c>
      <c r="Q246" t="s">
        <v>189</v>
      </c>
      <c r="R246" t="s">
        <v>565</v>
      </c>
      <c r="S246">
        <v>2341</v>
      </c>
      <c r="T246" s="1">
        <v>42015</v>
      </c>
      <c r="U246" s="1">
        <v>42016</v>
      </c>
      <c r="V246" s="2">
        <v>-27.738800000000001</v>
      </c>
      <c r="W246">
        <v>5</v>
      </c>
      <c r="X246" s="2">
        <v>73.040000000000006</v>
      </c>
      <c r="Y246">
        <v>88060</v>
      </c>
      <c r="Z246">
        <f t="shared" si="3"/>
        <v>365.20000000000005</v>
      </c>
    </row>
    <row r="247" spans="1:26" x14ac:dyDescent="0.25">
      <c r="A247">
        <v>22757</v>
      </c>
      <c r="B247" t="s">
        <v>37</v>
      </c>
      <c r="C247" s="2">
        <v>0.05</v>
      </c>
      <c r="D247" s="2">
        <v>4.1399999999999997</v>
      </c>
      <c r="E247" s="2">
        <v>6.6</v>
      </c>
      <c r="F247">
        <v>469</v>
      </c>
      <c r="G247" t="s">
        <v>566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567</v>
      </c>
      <c r="S247">
        <v>7506</v>
      </c>
      <c r="T247" s="1">
        <v>42015</v>
      </c>
      <c r="U247" s="1">
        <v>42017</v>
      </c>
      <c r="V247" s="2">
        <v>-128.68719999999999</v>
      </c>
      <c r="W247">
        <v>7</v>
      </c>
      <c r="X247" s="2">
        <v>33.35</v>
      </c>
      <c r="Y247">
        <v>88060</v>
      </c>
      <c r="Z247">
        <f t="shared" si="3"/>
        <v>233.45000000000002</v>
      </c>
    </row>
    <row r="248" spans="1:26" x14ac:dyDescent="0.25">
      <c r="A248">
        <v>22758</v>
      </c>
      <c r="B248" t="s">
        <v>37</v>
      </c>
      <c r="C248" s="2">
        <v>0.03</v>
      </c>
      <c r="D248" s="2">
        <v>11.34</v>
      </c>
      <c r="E248" s="2">
        <v>5.01</v>
      </c>
      <c r="F248">
        <v>470</v>
      </c>
      <c r="G248" t="s">
        <v>568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569</v>
      </c>
      <c r="N248">
        <v>0.36</v>
      </c>
      <c r="O248" t="s">
        <v>33</v>
      </c>
      <c r="P248" t="s">
        <v>53</v>
      </c>
      <c r="Q248" t="s">
        <v>54</v>
      </c>
      <c r="R248" t="s">
        <v>570</v>
      </c>
      <c r="S248">
        <v>8601</v>
      </c>
      <c r="T248" s="1">
        <v>42015</v>
      </c>
      <c r="U248" s="1">
        <v>42015</v>
      </c>
      <c r="V248" s="2">
        <v>23.2028</v>
      </c>
      <c r="W248">
        <v>5</v>
      </c>
      <c r="X248" s="2">
        <v>60.24</v>
      </c>
      <c r="Y248">
        <v>88060</v>
      </c>
      <c r="Z248">
        <f t="shared" si="3"/>
        <v>301.2</v>
      </c>
    </row>
    <row r="249" spans="1:26" x14ac:dyDescent="0.25">
      <c r="A249">
        <v>462</v>
      </c>
      <c r="B249" t="s">
        <v>37</v>
      </c>
      <c r="C249" s="2">
        <v>7.0000000000000007E-2</v>
      </c>
      <c r="D249" s="2">
        <v>179.99</v>
      </c>
      <c r="E249" s="2">
        <v>19.989999999999998</v>
      </c>
      <c r="F249">
        <v>471</v>
      </c>
      <c r="G249" t="s">
        <v>571</v>
      </c>
      <c r="H249" t="s">
        <v>27</v>
      </c>
      <c r="I249" t="s">
        <v>114</v>
      </c>
      <c r="J249" t="s">
        <v>77</v>
      </c>
      <c r="K249" t="s">
        <v>177</v>
      </c>
      <c r="L249" t="s">
        <v>59</v>
      </c>
      <c r="M249" t="s">
        <v>572</v>
      </c>
      <c r="N249">
        <v>0.48</v>
      </c>
      <c r="O249" t="s">
        <v>33</v>
      </c>
      <c r="P249" t="s">
        <v>135</v>
      </c>
      <c r="Q249" t="s">
        <v>381</v>
      </c>
      <c r="R249" t="s">
        <v>573</v>
      </c>
      <c r="S249">
        <v>30318</v>
      </c>
      <c r="T249" s="1">
        <v>42043</v>
      </c>
      <c r="U249" s="1">
        <v>42043</v>
      </c>
      <c r="V249" s="2">
        <v>-568.53510000000006</v>
      </c>
      <c r="W249">
        <v>4</v>
      </c>
      <c r="X249" s="2">
        <v>718.03</v>
      </c>
      <c r="Y249">
        <v>3138</v>
      </c>
      <c r="Z249">
        <f t="shared" si="3"/>
        <v>2872.12</v>
      </c>
    </row>
    <row r="250" spans="1:26" x14ac:dyDescent="0.25">
      <c r="A250">
        <v>18462</v>
      </c>
      <c r="B250" t="s">
        <v>37</v>
      </c>
      <c r="C250" s="2">
        <v>7.0000000000000007E-2</v>
      </c>
      <c r="D250" s="2">
        <v>179.99</v>
      </c>
      <c r="E250" s="2">
        <v>19.989999999999998</v>
      </c>
      <c r="F250">
        <v>472</v>
      </c>
      <c r="G250" t="s">
        <v>574</v>
      </c>
      <c r="H250" t="s">
        <v>27</v>
      </c>
      <c r="I250" t="s">
        <v>114</v>
      </c>
      <c r="J250" t="s">
        <v>77</v>
      </c>
      <c r="K250" t="s">
        <v>177</v>
      </c>
      <c r="L250" t="s">
        <v>59</v>
      </c>
      <c r="M250" t="s">
        <v>572</v>
      </c>
      <c r="N250">
        <v>0.48</v>
      </c>
      <c r="O250" t="s">
        <v>33</v>
      </c>
      <c r="P250" t="s">
        <v>53</v>
      </c>
      <c r="Q250" t="s">
        <v>409</v>
      </c>
      <c r="R250" t="s">
        <v>575</v>
      </c>
      <c r="S250">
        <v>21133</v>
      </c>
      <c r="T250" s="1">
        <v>42043</v>
      </c>
      <c r="U250" s="1">
        <v>42043</v>
      </c>
      <c r="V250" s="2">
        <v>-427.47</v>
      </c>
      <c r="W250">
        <v>1</v>
      </c>
      <c r="X250" s="2">
        <v>179.51</v>
      </c>
      <c r="Y250">
        <v>88023</v>
      </c>
      <c r="Z250">
        <f t="shared" si="3"/>
        <v>179.51</v>
      </c>
    </row>
    <row r="251" spans="1:26" x14ac:dyDescent="0.25">
      <c r="A251">
        <v>20637</v>
      </c>
      <c r="B251" t="s">
        <v>47</v>
      </c>
      <c r="C251" s="2">
        <v>0.03</v>
      </c>
      <c r="D251" s="2">
        <v>11.97</v>
      </c>
      <c r="E251" s="2">
        <v>4.9800000000000004</v>
      </c>
      <c r="F251">
        <v>483</v>
      </c>
      <c r="G251" t="s">
        <v>576</v>
      </c>
      <c r="H251" t="s">
        <v>49</v>
      </c>
      <c r="I251" t="s">
        <v>28</v>
      </c>
      <c r="J251" t="s">
        <v>29</v>
      </c>
      <c r="K251" t="s">
        <v>252</v>
      </c>
      <c r="L251" t="s">
        <v>59</v>
      </c>
      <c r="M251" t="s">
        <v>577</v>
      </c>
      <c r="N251">
        <v>0.57999999999999996</v>
      </c>
      <c r="O251" t="s">
        <v>33</v>
      </c>
      <c r="P251" t="s">
        <v>61</v>
      </c>
      <c r="Q251" t="s">
        <v>175</v>
      </c>
      <c r="R251" t="s">
        <v>578</v>
      </c>
      <c r="S251">
        <v>60543</v>
      </c>
      <c r="T251" s="1">
        <v>42031</v>
      </c>
      <c r="U251" s="1">
        <v>42032</v>
      </c>
      <c r="V251" s="2">
        <v>-18.190000000000001</v>
      </c>
      <c r="W251">
        <v>6</v>
      </c>
      <c r="X251" s="2">
        <v>73.180000000000007</v>
      </c>
      <c r="Y251">
        <v>90353</v>
      </c>
      <c r="Z251">
        <f t="shared" si="3"/>
        <v>439.08000000000004</v>
      </c>
    </row>
    <row r="252" spans="1:26" x14ac:dyDescent="0.25">
      <c r="A252">
        <v>22864</v>
      </c>
      <c r="B252" t="s">
        <v>37</v>
      </c>
      <c r="C252" s="2">
        <v>0.06</v>
      </c>
      <c r="D252" s="2">
        <v>3.36</v>
      </c>
      <c r="E252" s="2">
        <v>6.27</v>
      </c>
      <c r="F252">
        <v>483</v>
      </c>
      <c r="G252" t="s">
        <v>576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579</v>
      </c>
      <c r="N252">
        <v>0.4</v>
      </c>
      <c r="O252" t="s">
        <v>33</v>
      </c>
      <c r="P252" t="s">
        <v>61</v>
      </c>
      <c r="Q252" t="s">
        <v>175</v>
      </c>
      <c r="R252" t="s">
        <v>578</v>
      </c>
      <c r="S252">
        <v>60543</v>
      </c>
      <c r="T252" s="1">
        <v>42117</v>
      </c>
      <c r="U252" s="1">
        <v>42118</v>
      </c>
      <c r="V252" s="2">
        <v>-24.057539999999999</v>
      </c>
      <c r="W252">
        <v>2</v>
      </c>
      <c r="X252" s="2">
        <v>8.82</v>
      </c>
      <c r="Y252">
        <v>90354</v>
      </c>
      <c r="Z252">
        <f t="shared" si="3"/>
        <v>17.64</v>
      </c>
    </row>
    <row r="253" spans="1:26" x14ac:dyDescent="0.25">
      <c r="A253">
        <v>22865</v>
      </c>
      <c r="B253" t="s">
        <v>37</v>
      </c>
      <c r="C253" s="2">
        <v>7.0000000000000007E-2</v>
      </c>
      <c r="D253" s="2">
        <v>699.99</v>
      </c>
      <c r="E253" s="2">
        <v>24.49</v>
      </c>
      <c r="F253">
        <v>483</v>
      </c>
      <c r="G253" t="s">
        <v>576</v>
      </c>
      <c r="H253" t="s">
        <v>49</v>
      </c>
      <c r="I253" t="s">
        <v>28</v>
      </c>
      <c r="J253" t="s">
        <v>77</v>
      </c>
      <c r="K253" t="s">
        <v>580</v>
      </c>
      <c r="L253" t="s">
        <v>231</v>
      </c>
      <c r="M253" t="s">
        <v>581</v>
      </c>
      <c r="N253">
        <v>0.41</v>
      </c>
      <c r="O253" t="s">
        <v>33</v>
      </c>
      <c r="P253" t="s">
        <v>61</v>
      </c>
      <c r="Q253" t="s">
        <v>175</v>
      </c>
      <c r="R253" t="s">
        <v>578</v>
      </c>
      <c r="S253">
        <v>60543</v>
      </c>
      <c r="T253" s="1">
        <v>42117</v>
      </c>
      <c r="U253" s="1">
        <v>42119</v>
      </c>
      <c r="V253" s="2">
        <v>2583.5614799999998</v>
      </c>
      <c r="W253">
        <v>9</v>
      </c>
      <c r="X253" s="2">
        <v>5976.09</v>
      </c>
      <c r="Y253">
        <v>90354</v>
      </c>
      <c r="Z253">
        <f t="shared" si="3"/>
        <v>53784.81</v>
      </c>
    </row>
    <row r="254" spans="1:26" x14ac:dyDescent="0.25">
      <c r="A254">
        <v>20668</v>
      </c>
      <c r="B254" t="s">
        <v>37</v>
      </c>
      <c r="C254" s="2">
        <v>0.05</v>
      </c>
      <c r="D254" s="2">
        <v>2.88</v>
      </c>
      <c r="E254" s="2">
        <v>0.5</v>
      </c>
      <c r="F254">
        <v>485</v>
      </c>
      <c r="G254" t="s">
        <v>582</v>
      </c>
      <c r="H254" t="s">
        <v>49</v>
      </c>
      <c r="I254" t="s">
        <v>28</v>
      </c>
      <c r="J254" t="s">
        <v>29</v>
      </c>
      <c r="K254" t="s">
        <v>133</v>
      </c>
      <c r="L254" t="s">
        <v>59</v>
      </c>
      <c r="M254" t="s">
        <v>583</v>
      </c>
      <c r="N254">
        <v>0.36</v>
      </c>
      <c r="O254" t="s">
        <v>33</v>
      </c>
      <c r="P254" t="s">
        <v>34</v>
      </c>
      <c r="Q254" t="s">
        <v>45</v>
      </c>
      <c r="R254" t="s">
        <v>584</v>
      </c>
      <c r="S254">
        <v>93727</v>
      </c>
      <c r="T254" s="1">
        <v>42081</v>
      </c>
      <c r="U254" s="1">
        <v>42083</v>
      </c>
      <c r="V254" s="2">
        <v>6.0513000000000003</v>
      </c>
      <c r="W254">
        <v>3</v>
      </c>
      <c r="X254" s="2">
        <v>8.77</v>
      </c>
      <c r="Y254">
        <v>91062</v>
      </c>
      <c r="Z254">
        <f t="shared" si="3"/>
        <v>26.31</v>
      </c>
    </row>
    <row r="255" spans="1:26" x14ac:dyDescent="0.25">
      <c r="A255">
        <v>23394</v>
      </c>
      <c r="B255" t="s">
        <v>56</v>
      </c>
      <c r="C255" s="2">
        <v>0.1</v>
      </c>
      <c r="D255" s="2">
        <v>3.36</v>
      </c>
      <c r="E255" s="2">
        <v>6.27</v>
      </c>
      <c r="F255">
        <v>487</v>
      </c>
      <c r="G255" t="s">
        <v>585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579</v>
      </c>
      <c r="N255">
        <v>0.4</v>
      </c>
      <c r="O255" t="s">
        <v>33</v>
      </c>
      <c r="P255" t="s">
        <v>53</v>
      </c>
      <c r="Q255" t="s">
        <v>184</v>
      </c>
      <c r="R255" t="s">
        <v>427</v>
      </c>
      <c r="S255">
        <v>4073</v>
      </c>
      <c r="T255" s="1">
        <v>42142</v>
      </c>
      <c r="U255" s="1">
        <v>42143</v>
      </c>
      <c r="V255" s="2">
        <v>-67.0565</v>
      </c>
      <c r="W255">
        <v>5</v>
      </c>
      <c r="X255" s="2">
        <v>20.87</v>
      </c>
      <c r="Y255">
        <v>91063</v>
      </c>
      <c r="Z255">
        <f t="shared" si="3"/>
        <v>104.35000000000001</v>
      </c>
    </row>
    <row r="256" spans="1:26" x14ac:dyDescent="0.25">
      <c r="A256">
        <v>23395</v>
      </c>
      <c r="B256" t="s">
        <v>56</v>
      </c>
      <c r="C256" s="2">
        <v>7.0000000000000007E-2</v>
      </c>
      <c r="D256" s="2">
        <v>12.28</v>
      </c>
      <c r="E256" s="2">
        <v>4.8600000000000003</v>
      </c>
      <c r="F256">
        <v>488</v>
      </c>
      <c r="G256" t="s">
        <v>586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298</v>
      </c>
      <c r="N256">
        <v>0.38</v>
      </c>
      <c r="O256" t="s">
        <v>33</v>
      </c>
      <c r="P256" t="s">
        <v>53</v>
      </c>
      <c r="Q256" t="s">
        <v>184</v>
      </c>
      <c r="R256" t="s">
        <v>587</v>
      </c>
      <c r="S256">
        <v>4106</v>
      </c>
      <c r="T256" s="1">
        <v>42142</v>
      </c>
      <c r="U256" s="1">
        <v>42144</v>
      </c>
      <c r="V256" s="2">
        <v>-7.94</v>
      </c>
      <c r="W256">
        <v>2</v>
      </c>
      <c r="X256" s="2">
        <v>25.7</v>
      </c>
      <c r="Y256">
        <v>91063</v>
      </c>
      <c r="Z256">
        <f t="shared" si="3"/>
        <v>51.4</v>
      </c>
    </row>
    <row r="257" spans="1:26" x14ac:dyDescent="0.25">
      <c r="A257">
        <v>23393</v>
      </c>
      <c r="B257" t="s">
        <v>56</v>
      </c>
      <c r="C257" s="2">
        <v>0.09</v>
      </c>
      <c r="D257" s="2">
        <v>20.99</v>
      </c>
      <c r="E257" s="2">
        <v>0.99</v>
      </c>
      <c r="F257">
        <v>489</v>
      </c>
      <c r="G257" t="s">
        <v>588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589</v>
      </c>
      <c r="N257">
        <v>0.56999999999999995</v>
      </c>
      <c r="O257" t="s">
        <v>33</v>
      </c>
      <c r="P257" t="s">
        <v>53</v>
      </c>
      <c r="Q257" t="s">
        <v>189</v>
      </c>
      <c r="R257" t="s">
        <v>590</v>
      </c>
      <c r="S257">
        <v>2062</v>
      </c>
      <c r="T257" s="1">
        <v>42142</v>
      </c>
      <c r="U257" s="1">
        <v>42142</v>
      </c>
      <c r="V257" s="2">
        <v>122.292</v>
      </c>
      <c r="W257">
        <v>14</v>
      </c>
      <c r="X257" s="2">
        <v>229.57</v>
      </c>
      <c r="Y257">
        <v>91063</v>
      </c>
      <c r="Z257">
        <f t="shared" si="3"/>
        <v>3213.98</v>
      </c>
    </row>
    <row r="258" spans="1:26" x14ac:dyDescent="0.25">
      <c r="A258">
        <v>1147</v>
      </c>
      <c r="B258" t="s">
        <v>56</v>
      </c>
      <c r="C258" s="2">
        <v>0.08</v>
      </c>
      <c r="D258" s="2">
        <v>2.94</v>
      </c>
      <c r="E258" s="2">
        <v>0.96</v>
      </c>
      <c r="F258">
        <v>491</v>
      </c>
      <c r="G258" t="s">
        <v>591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592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1">
        <v>42139</v>
      </c>
      <c r="U258" s="1">
        <v>42141</v>
      </c>
      <c r="V258" s="2">
        <v>-2.12</v>
      </c>
      <c r="W258">
        <v>23</v>
      </c>
      <c r="X258" s="2">
        <v>66.7</v>
      </c>
      <c r="Y258">
        <v>8353</v>
      </c>
      <c r="Z258">
        <f t="shared" si="3"/>
        <v>1534.1000000000001</v>
      </c>
    </row>
    <row r="259" spans="1:26" x14ac:dyDescent="0.25">
      <c r="A259">
        <v>1450</v>
      </c>
      <c r="B259" t="s">
        <v>47</v>
      </c>
      <c r="C259" s="2">
        <v>0.01</v>
      </c>
      <c r="D259" s="2">
        <v>4.9800000000000004</v>
      </c>
      <c r="E259" s="2">
        <v>6.07</v>
      </c>
      <c r="F259">
        <v>491</v>
      </c>
      <c r="G259" t="s">
        <v>591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170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1">
        <v>42045</v>
      </c>
      <c r="U259" s="1">
        <v>42046</v>
      </c>
      <c r="V259" s="2">
        <v>-69.069999999999993</v>
      </c>
      <c r="W259">
        <v>41</v>
      </c>
      <c r="X259" s="2">
        <v>217</v>
      </c>
      <c r="Y259">
        <v>10464</v>
      </c>
      <c r="Z259">
        <f t="shared" ref="Z259:Z322" si="4">W259*X259</f>
        <v>8897</v>
      </c>
    </row>
    <row r="260" spans="1:26" x14ac:dyDescent="0.25">
      <c r="A260">
        <v>914</v>
      </c>
      <c r="B260" t="s">
        <v>47</v>
      </c>
      <c r="C260" s="2">
        <v>0.02</v>
      </c>
      <c r="D260" s="2">
        <v>1360.14</v>
      </c>
      <c r="E260" s="2">
        <v>14.7</v>
      </c>
      <c r="F260">
        <v>491</v>
      </c>
      <c r="G260" t="s">
        <v>591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593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1">
        <v>42175</v>
      </c>
      <c r="U260" s="1">
        <v>42177</v>
      </c>
      <c r="V260" s="2">
        <v>2028.12</v>
      </c>
      <c r="W260">
        <v>22</v>
      </c>
      <c r="X260" s="2">
        <v>31670.6</v>
      </c>
      <c r="Y260">
        <v>6562</v>
      </c>
      <c r="Z260">
        <f t="shared" si="4"/>
        <v>696753.2</v>
      </c>
    </row>
    <row r="261" spans="1:26" x14ac:dyDescent="0.25">
      <c r="A261">
        <v>6046</v>
      </c>
      <c r="B261" t="s">
        <v>37</v>
      </c>
      <c r="C261" s="2">
        <v>0.02</v>
      </c>
      <c r="D261" s="2">
        <v>9.06</v>
      </c>
      <c r="E261" s="2">
        <v>9.86</v>
      </c>
      <c r="F261">
        <v>491</v>
      </c>
      <c r="G261" t="s">
        <v>591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594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1">
        <v>42175</v>
      </c>
      <c r="U261" s="1">
        <v>42177</v>
      </c>
      <c r="V261" s="2">
        <v>-63.51</v>
      </c>
      <c r="W261">
        <v>24</v>
      </c>
      <c r="X261" s="2">
        <v>239.82</v>
      </c>
      <c r="Y261">
        <v>42852</v>
      </c>
      <c r="Z261">
        <f t="shared" si="4"/>
        <v>5755.68</v>
      </c>
    </row>
    <row r="262" spans="1:26" x14ac:dyDescent="0.25">
      <c r="A262">
        <v>18757</v>
      </c>
      <c r="B262" t="s">
        <v>37</v>
      </c>
      <c r="C262" s="2">
        <v>0.02</v>
      </c>
      <c r="D262" s="2">
        <v>6.48</v>
      </c>
      <c r="E262" s="2">
        <v>6.6</v>
      </c>
      <c r="F262">
        <v>493</v>
      </c>
      <c r="G262" t="s">
        <v>595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596</v>
      </c>
      <c r="N262">
        <v>0.37</v>
      </c>
      <c r="O262" t="s">
        <v>33</v>
      </c>
      <c r="P262" t="s">
        <v>34</v>
      </c>
      <c r="Q262" t="s">
        <v>35</v>
      </c>
      <c r="R262" t="s">
        <v>597</v>
      </c>
      <c r="S262">
        <v>98158</v>
      </c>
      <c r="T262" s="1">
        <v>42024</v>
      </c>
      <c r="U262" s="1">
        <v>42026</v>
      </c>
      <c r="V262" s="2">
        <v>-92.05</v>
      </c>
      <c r="W262">
        <v>10</v>
      </c>
      <c r="X262" s="2">
        <v>66.709999999999994</v>
      </c>
      <c r="Y262">
        <v>88906</v>
      </c>
      <c r="Z262">
        <f t="shared" si="4"/>
        <v>667.09999999999991</v>
      </c>
    </row>
    <row r="263" spans="1:26" x14ac:dyDescent="0.25">
      <c r="A263">
        <v>18758</v>
      </c>
      <c r="B263" t="s">
        <v>37</v>
      </c>
      <c r="C263" s="2">
        <v>0.04</v>
      </c>
      <c r="D263" s="2">
        <v>17.149999999999999</v>
      </c>
      <c r="E263" s="2">
        <v>4.96</v>
      </c>
      <c r="F263">
        <v>493</v>
      </c>
      <c r="G263" t="s">
        <v>595</v>
      </c>
      <c r="H263" t="s">
        <v>49</v>
      </c>
      <c r="I263" t="s">
        <v>114</v>
      </c>
      <c r="J263" t="s">
        <v>29</v>
      </c>
      <c r="K263" t="s">
        <v>139</v>
      </c>
      <c r="L263" t="s">
        <v>59</v>
      </c>
      <c r="M263" t="s">
        <v>598</v>
      </c>
      <c r="N263">
        <v>0.57999999999999996</v>
      </c>
      <c r="O263" t="s">
        <v>33</v>
      </c>
      <c r="P263" t="s">
        <v>34</v>
      </c>
      <c r="Q263" t="s">
        <v>35</v>
      </c>
      <c r="R263" t="s">
        <v>597</v>
      </c>
      <c r="S263">
        <v>98158</v>
      </c>
      <c r="T263" s="1">
        <v>42024</v>
      </c>
      <c r="U263" s="1">
        <v>42025</v>
      </c>
      <c r="V263" s="2">
        <v>6.11</v>
      </c>
      <c r="W263">
        <v>5</v>
      </c>
      <c r="X263" s="2">
        <v>87.16</v>
      </c>
      <c r="Y263">
        <v>88906</v>
      </c>
      <c r="Z263">
        <f t="shared" si="4"/>
        <v>435.79999999999995</v>
      </c>
    </row>
    <row r="264" spans="1:26" x14ac:dyDescent="0.25">
      <c r="A264">
        <v>19146</v>
      </c>
      <c r="B264" t="s">
        <v>56</v>
      </c>
      <c r="C264" s="2">
        <v>0.06</v>
      </c>
      <c r="D264" s="2">
        <v>8.32</v>
      </c>
      <c r="E264" s="2">
        <v>2.38</v>
      </c>
      <c r="F264">
        <v>494</v>
      </c>
      <c r="G264" t="s">
        <v>599</v>
      </c>
      <c r="H264" t="s">
        <v>49</v>
      </c>
      <c r="I264" t="s">
        <v>114</v>
      </c>
      <c r="J264" t="s">
        <v>77</v>
      </c>
      <c r="K264" t="s">
        <v>177</v>
      </c>
      <c r="L264" t="s">
        <v>51</v>
      </c>
      <c r="M264" t="s">
        <v>600</v>
      </c>
      <c r="N264">
        <v>0.74</v>
      </c>
      <c r="O264" t="s">
        <v>33</v>
      </c>
      <c r="P264" t="s">
        <v>34</v>
      </c>
      <c r="Q264" t="s">
        <v>35</v>
      </c>
      <c r="R264" t="s">
        <v>205</v>
      </c>
      <c r="S264">
        <v>98115</v>
      </c>
      <c r="T264" s="1">
        <v>42139</v>
      </c>
      <c r="U264" s="1">
        <v>42141</v>
      </c>
      <c r="V264" s="2">
        <v>-36.630000000000003</v>
      </c>
      <c r="W264">
        <v>12</v>
      </c>
      <c r="X264" s="2">
        <v>101.26</v>
      </c>
      <c r="Y264">
        <v>88905</v>
      </c>
      <c r="Z264">
        <f t="shared" si="4"/>
        <v>1215.1200000000001</v>
      </c>
    </row>
    <row r="265" spans="1:26" x14ac:dyDescent="0.25">
      <c r="A265">
        <v>19147</v>
      </c>
      <c r="B265" t="s">
        <v>56</v>
      </c>
      <c r="C265" s="2">
        <v>0.08</v>
      </c>
      <c r="D265" s="2">
        <v>2.94</v>
      </c>
      <c r="E265" s="2">
        <v>0.96</v>
      </c>
      <c r="F265">
        <v>494</v>
      </c>
      <c r="G265" t="s">
        <v>599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592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205</v>
      </c>
      <c r="S265">
        <v>98115</v>
      </c>
      <c r="T265" s="1">
        <v>42139</v>
      </c>
      <c r="U265" s="1">
        <v>42141</v>
      </c>
      <c r="V265" s="2">
        <v>-2.12</v>
      </c>
      <c r="W265">
        <v>6</v>
      </c>
      <c r="X265" s="2">
        <v>17.399999999999999</v>
      </c>
      <c r="Y265">
        <v>88905</v>
      </c>
      <c r="Z265">
        <f t="shared" si="4"/>
        <v>104.39999999999999</v>
      </c>
    </row>
    <row r="266" spans="1:26" x14ac:dyDescent="0.25">
      <c r="A266">
        <v>19450</v>
      </c>
      <c r="B266" t="s">
        <v>47</v>
      </c>
      <c r="C266" s="2">
        <v>0.01</v>
      </c>
      <c r="D266" s="2">
        <v>4.9800000000000004</v>
      </c>
      <c r="E266" s="2">
        <v>6.07</v>
      </c>
      <c r="F266">
        <v>494</v>
      </c>
      <c r="G266" t="s">
        <v>599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170</v>
      </c>
      <c r="N266">
        <v>0.36</v>
      </c>
      <c r="O266" t="s">
        <v>33</v>
      </c>
      <c r="P266" t="s">
        <v>34</v>
      </c>
      <c r="Q266" t="s">
        <v>35</v>
      </c>
      <c r="R266" t="s">
        <v>205</v>
      </c>
      <c r="S266">
        <v>98115</v>
      </c>
      <c r="T266" s="1">
        <v>42045</v>
      </c>
      <c r="U266" s="1">
        <v>42046</v>
      </c>
      <c r="V266" s="2">
        <v>-35.916400000000003</v>
      </c>
      <c r="W266">
        <v>10</v>
      </c>
      <c r="X266" s="2">
        <v>52.93</v>
      </c>
      <c r="Y266">
        <v>88907</v>
      </c>
      <c r="Z266">
        <f t="shared" si="4"/>
        <v>529.29999999999995</v>
      </c>
    </row>
    <row r="267" spans="1:26" x14ac:dyDescent="0.25">
      <c r="A267">
        <v>18914</v>
      </c>
      <c r="B267" t="s">
        <v>47</v>
      </c>
      <c r="C267" s="2">
        <v>0.02</v>
      </c>
      <c r="D267" s="2">
        <v>1360.14</v>
      </c>
      <c r="E267" s="2">
        <v>14.7</v>
      </c>
      <c r="F267">
        <v>494</v>
      </c>
      <c r="G267" t="s">
        <v>599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593</v>
      </c>
      <c r="N267">
        <v>0.59</v>
      </c>
      <c r="O267" t="s">
        <v>33</v>
      </c>
      <c r="P267" t="s">
        <v>34</v>
      </c>
      <c r="Q267" t="s">
        <v>35</v>
      </c>
      <c r="R267" t="s">
        <v>205</v>
      </c>
      <c r="S267">
        <v>98115</v>
      </c>
      <c r="T267" s="1">
        <v>42175</v>
      </c>
      <c r="U267" s="1">
        <v>42177</v>
      </c>
      <c r="V267" s="2">
        <v>3042.18</v>
      </c>
      <c r="W267">
        <v>6</v>
      </c>
      <c r="X267" s="2">
        <v>8637.44</v>
      </c>
      <c r="Y267">
        <v>88908</v>
      </c>
      <c r="Z267">
        <f t="shared" si="4"/>
        <v>51824.639999999999</v>
      </c>
    </row>
    <row r="268" spans="1:26" x14ac:dyDescent="0.25">
      <c r="A268">
        <v>24046</v>
      </c>
      <c r="B268" t="s">
        <v>37</v>
      </c>
      <c r="C268" s="2">
        <v>0.02</v>
      </c>
      <c r="D268" s="2">
        <v>9.06</v>
      </c>
      <c r="E268" s="2">
        <v>9.86</v>
      </c>
      <c r="F268">
        <v>494</v>
      </c>
      <c r="G268" t="s">
        <v>599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594</v>
      </c>
      <c r="N268">
        <v>0.4</v>
      </c>
      <c r="O268" t="s">
        <v>33</v>
      </c>
      <c r="P268" t="s">
        <v>34</v>
      </c>
      <c r="Q268" t="s">
        <v>35</v>
      </c>
      <c r="R268" t="s">
        <v>205</v>
      </c>
      <c r="S268">
        <v>98115</v>
      </c>
      <c r="T268" s="1">
        <v>42175</v>
      </c>
      <c r="U268" s="1">
        <v>42177</v>
      </c>
      <c r="V268" s="2">
        <v>-31.754999999999999</v>
      </c>
      <c r="W268">
        <v>6</v>
      </c>
      <c r="X268" s="2">
        <v>59.95</v>
      </c>
      <c r="Y268">
        <v>88908</v>
      </c>
      <c r="Z268">
        <f t="shared" si="4"/>
        <v>359.70000000000005</v>
      </c>
    </row>
    <row r="269" spans="1:26" x14ac:dyDescent="0.25">
      <c r="A269">
        <v>26315</v>
      </c>
      <c r="B269" t="s">
        <v>47</v>
      </c>
      <c r="C269" s="2">
        <v>7.0000000000000007E-2</v>
      </c>
      <c r="D269" s="2">
        <v>152.47999999999999</v>
      </c>
      <c r="E269" s="2">
        <v>6.5</v>
      </c>
      <c r="F269">
        <v>497</v>
      </c>
      <c r="G269" t="s">
        <v>601</v>
      </c>
      <c r="H269" t="s">
        <v>49</v>
      </c>
      <c r="I269" t="s">
        <v>58</v>
      </c>
      <c r="J269" t="s">
        <v>77</v>
      </c>
      <c r="K269" t="s">
        <v>177</v>
      </c>
      <c r="L269" t="s">
        <v>59</v>
      </c>
      <c r="M269" t="s">
        <v>602</v>
      </c>
      <c r="N269">
        <v>0.74</v>
      </c>
      <c r="O269" t="s">
        <v>33</v>
      </c>
      <c r="P269" t="s">
        <v>135</v>
      </c>
      <c r="Q269" t="s">
        <v>239</v>
      </c>
      <c r="R269" t="s">
        <v>603</v>
      </c>
      <c r="S269">
        <v>37130</v>
      </c>
      <c r="T269" s="1">
        <v>42138</v>
      </c>
      <c r="U269" s="1">
        <v>42140</v>
      </c>
      <c r="V269" s="2">
        <v>171.83879999999999</v>
      </c>
      <c r="W269">
        <v>35</v>
      </c>
      <c r="X269" s="2">
        <v>5062.49</v>
      </c>
      <c r="Y269">
        <v>90706</v>
      </c>
      <c r="Z269">
        <f t="shared" si="4"/>
        <v>177187.15</v>
      </c>
    </row>
    <row r="270" spans="1:26" x14ac:dyDescent="0.25">
      <c r="A270">
        <v>18303</v>
      </c>
      <c r="B270" t="s">
        <v>47</v>
      </c>
      <c r="C270" s="2">
        <v>0.01</v>
      </c>
      <c r="D270" s="2">
        <v>55.98</v>
      </c>
      <c r="E270" s="2">
        <v>4.8600000000000003</v>
      </c>
      <c r="F270">
        <v>507</v>
      </c>
      <c r="G270" t="s">
        <v>604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605</v>
      </c>
      <c r="N270">
        <v>0.36</v>
      </c>
      <c r="O270" t="s">
        <v>33</v>
      </c>
      <c r="P270" t="s">
        <v>135</v>
      </c>
      <c r="Q270" t="s">
        <v>606</v>
      </c>
      <c r="R270" t="s">
        <v>607</v>
      </c>
      <c r="S270">
        <v>42104</v>
      </c>
      <c r="T270" s="1">
        <v>42112</v>
      </c>
      <c r="U270" s="1">
        <v>42114</v>
      </c>
      <c r="V270" s="2">
        <v>32.940899999999999</v>
      </c>
      <c r="W270">
        <v>11</v>
      </c>
      <c r="X270" s="2">
        <v>646.97</v>
      </c>
      <c r="Y270">
        <v>87357</v>
      </c>
      <c r="Z270">
        <f t="shared" si="4"/>
        <v>7116.67</v>
      </c>
    </row>
    <row r="271" spans="1:26" x14ac:dyDescent="0.25">
      <c r="A271">
        <v>18304</v>
      </c>
      <c r="B271" t="s">
        <v>47</v>
      </c>
      <c r="C271" s="2">
        <v>0.04</v>
      </c>
      <c r="D271" s="2">
        <v>65.989999999999995</v>
      </c>
      <c r="E271" s="2">
        <v>8.99</v>
      </c>
      <c r="F271">
        <v>507</v>
      </c>
      <c r="G271" t="s">
        <v>604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608</v>
      </c>
      <c r="N271">
        <v>0.56000000000000005</v>
      </c>
      <c r="O271" t="s">
        <v>33</v>
      </c>
      <c r="P271" t="s">
        <v>135</v>
      </c>
      <c r="Q271" t="s">
        <v>606</v>
      </c>
      <c r="R271" t="s">
        <v>607</v>
      </c>
      <c r="S271">
        <v>42104</v>
      </c>
      <c r="T271" s="1">
        <v>42112</v>
      </c>
      <c r="U271" s="1">
        <v>42113</v>
      </c>
      <c r="V271" s="2">
        <v>131.334</v>
      </c>
      <c r="W271">
        <v>17</v>
      </c>
      <c r="X271" s="2">
        <v>946.29</v>
      </c>
      <c r="Y271">
        <v>87357</v>
      </c>
      <c r="Z271">
        <f t="shared" si="4"/>
        <v>16086.93</v>
      </c>
    </row>
    <row r="272" spans="1:26" x14ac:dyDescent="0.25">
      <c r="A272">
        <v>21958</v>
      </c>
      <c r="B272" t="s">
        <v>25</v>
      </c>
      <c r="C272" s="2">
        <v>0.01</v>
      </c>
      <c r="D272" s="2">
        <v>20.98</v>
      </c>
      <c r="E272" s="2">
        <v>53.03</v>
      </c>
      <c r="F272">
        <v>508</v>
      </c>
      <c r="G272" t="s">
        <v>609</v>
      </c>
      <c r="H272" t="s">
        <v>39</v>
      </c>
      <c r="I272" t="s">
        <v>28</v>
      </c>
      <c r="J272" t="s">
        <v>29</v>
      </c>
      <c r="K272" t="s">
        <v>139</v>
      </c>
      <c r="L272" t="s">
        <v>43</v>
      </c>
      <c r="M272" t="s">
        <v>610</v>
      </c>
      <c r="N272">
        <v>0.78</v>
      </c>
      <c r="O272" t="s">
        <v>33</v>
      </c>
      <c r="P272" t="s">
        <v>135</v>
      </c>
      <c r="Q272" t="s">
        <v>606</v>
      </c>
      <c r="R272" t="s">
        <v>611</v>
      </c>
      <c r="S272">
        <v>41011</v>
      </c>
      <c r="T272" s="1">
        <v>42058</v>
      </c>
      <c r="U272" s="1">
        <v>42058</v>
      </c>
      <c r="V272" s="2">
        <v>-282.08179999999999</v>
      </c>
      <c r="W272">
        <v>5</v>
      </c>
      <c r="X272" s="2">
        <v>123</v>
      </c>
      <c r="Y272">
        <v>87356</v>
      </c>
      <c r="Z272">
        <f t="shared" si="4"/>
        <v>615</v>
      </c>
    </row>
    <row r="273" spans="1:26" x14ac:dyDescent="0.25">
      <c r="A273">
        <v>18305</v>
      </c>
      <c r="B273" t="s">
        <v>47</v>
      </c>
      <c r="C273" s="2">
        <v>0.01</v>
      </c>
      <c r="D273" s="2">
        <v>128.24</v>
      </c>
      <c r="E273" s="2">
        <v>12.65</v>
      </c>
      <c r="F273">
        <v>508</v>
      </c>
      <c r="G273" t="s">
        <v>609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612</v>
      </c>
      <c r="O273" t="s">
        <v>33</v>
      </c>
      <c r="P273" t="s">
        <v>135</v>
      </c>
      <c r="Q273" t="s">
        <v>606</v>
      </c>
      <c r="R273" t="s">
        <v>611</v>
      </c>
      <c r="S273">
        <v>41011</v>
      </c>
      <c r="T273" s="1">
        <v>42112</v>
      </c>
      <c r="U273" s="1">
        <v>42115</v>
      </c>
      <c r="V273" s="2">
        <v>140.1354</v>
      </c>
      <c r="W273">
        <v>4</v>
      </c>
      <c r="X273" s="2">
        <v>554.08000000000004</v>
      </c>
      <c r="Y273">
        <v>87357</v>
      </c>
      <c r="Z273">
        <f t="shared" si="4"/>
        <v>2216.3200000000002</v>
      </c>
    </row>
    <row r="274" spans="1:26" x14ac:dyDescent="0.25">
      <c r="A274">
        <v>19895</v>
      </c>
      <c r="B274" t="s">
        <v>106</v>
      </c>
      <c r="C274" s="2">
        <v>0.02</v>
      </c>
      <c r="D274" s="2">
        <v>48.04</v>
      </c>
      <c r="E274" s="2">
        <v>5.09</v>
      </c>
      <c r="F274">
        <v>510</v>
      </c>
      <c r="G274" t="s">
        <v>613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614</v>
      </c>
      <c r="N274">
        <v>0.37</v>
      </c>
      <c r="O274" t="s">
        <v>33</v>
      </c>
      <c r="P274" t="s">
        <v>34</v>
      </c>
      <c r="Q274" t="s">
        <v>45</v>
      </c>
      <c r="R274" t="s">
        <v>615</v>
      </c>
      <c r="S274">
        <v>95336</v>
      </c>
      <c r="T274" s="1">
        <v>42017</v>
      </c>
      <c r="U274" s="1">
        <v>42017</v>
      </c>
      <c r="V274" s="2">
        <v>105.2526</v>
      </c>
      <c r="W274">
        <v>3</v>
      </c>
      <c r="X274" s="2">
        <v>152.54</v>
      </c>
      <c r="Y274">
        <v>90058</v>
      </c>
      <c r="Z274">
        <f t="shared" si="4"/>
        <v>457.62</v>
      </c>
    </row>
    <row r="275" spans="1:26" x14ac:dyDescent="0.25">
      <c r="A275">
        <v>20007</v>
      </c>
      <c r="B275" t="s">
        <v>47</v>
      </c>
      <c r="C275" s="2">
        <v>0.03</v>
      </c>
      <c r="D275" s="2">
        <v>6.37</v>
      </c>
      <c r="E275" s="2">
        <v>5.19</v>
      </c>
      <c r="F275">
        <v>510</v>
      </c>
      <c r="G275" t="s">
        <v>613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616</v>
      </c>
      <c r="N275">
        <v>0.38</v>
      </c>
      <c r="O275" t="s">
        <v>33</v>
      </c>
      <c r="P275" t="s">
        <v>34</v>
      </c>
      <c r="Q275" t="s">
        <v>45</v>
      </c>
      <c r="R275" t="s">
        <v>615</v>
      </c>
      <c r="S275">
        <v>95336</v>
      </c>
      <c r="T275" s="1">
        <v>42036</v>
      </c>
      <c r="U275" s="1">
        <v>42037</v>
      </c>
      <c r="V275" s="2">
        <v>-29.092700000000001</v>
      </c>
      <c r="W275">
        <v>14</v>
      </c>
      <c r="X275" s="2">
        <v>89.79</v>
      </c>
      <c r="Y275">
        <v>90059</v>
      </c>
      <c r="Z275">
        <f t="shared" si="4"/>
        <v>1257.0600000000002</v>
      </c>
    </row>
    <row r="276" spans="1:26" x14ac:dyDescent="0.25">
      <c r="A276">
        <v>20216</v>
      </c>
      <c r="B276" t="s">
        <v>106</v>
      </c>
      <c r="C276" s="2">
        <v>7.0000000000000007E-2</v>
      </c>
      <c r="D276" s="2">
        <v>12.64</v>
      </c>
      <c r="E276" s="2">
        <v>4.9800000000000004</v>
      </c>
      <c r="F276">
        <v>518</v>
      </c>
      <c r="G276" t="s">
        <v>617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618</v>
      </c>
      <c r="N276">
        <v>0.48</v>
      </c>
      <c r="O276" t="s">
        <v>33</v>
      </c>
      <c r="P276" t="s">
        <v>61</v>
      </c>
      <c r="Q276" t="s">
        <v>499</v>
      </c>
      <c r="R276" t="s">
        <v>500</v>
      </c>
      <c r="S276">
        <v>63105</v>
      </c>
      <c r="T276" s="1">
        <v>42160</v>
      </c>
      <c r="U276" s="1">
        <v>42167</v>
      </c>
      <c r="V276" s="2">
        <v>113.41500000000001</v>
      </c>
      <c r="W276">
        <v>16</v>
      </c>
      <c r="X276" s="2">
        <v>199.76</v>
      </c>
      <c r="Y276">
        <v>90867</v>
      </c>
      <c r="Z276">
        <f t="shared" si="4"/>
        <v>3196.16</v>
      </c>
    </row>
    <row r="277" spans="1:26" x14ac:dyDescent="0.25">
      <c r="A277">
        <v>23200</v>
      </c>
      <c r="B277" t="s">
        <v>56</v>
      </c>
      <c r="C277" s="2">
        <v>0.02</v>
      </c>
      <c r="D277" s="2">
        <v>150.97999999999999</v>
      </c>
      <c r="E277" s="2">
        <v>13.99</v>
      </c>
      <c r="F277">
        <v>522</v>
      </c>
      <c r="G277" t="s">
        <v>619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620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1">
        <v>42177</v>
      </c>
      <c r="U277" s="1">
        <v>42179</v>
      </c>
      <c r="V277" s="2">
        <v>26.1</v>
      </c>
      <c r="W277">
        <v>3</v>
      </c>
      <c r="X277" s="2">
        <v>480.37</v>
      </c>
      <c r="Y277">
        <v>89327</v>
      </c>
      <c r="Z277">
        <f t="shared" si="4"/>
        <v>1441.1100000000001</v>
      </c>
    </row>
    <row r="278" spans="1:26" x14ac:dyDescent="0.25">
      <c r="A278">
        <v>23201</v>
      </c>
      <c r="B278" t="s">
        <v>56</v>
      </c>
      <c r="C278" s="2">
        <v>0.1</v>
      </c>
      <c r="D278" s="2">
        <v>5.43</v>
      </c>
      <c r="E278" s="2">
        <v>0.95</v>
      </c>
      <c r="F278">
        <v>522</v>
      </c>
      <c r="G278" t="s">
        <v>619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621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1">
        <v>42177</v>
      </c>
      <c r="U278" s="1">
        <v>42179</v>
      </c>
      <c r="V278" s="2">
        <v>-2.58</v>
      </c>
      <c r="W278">
        <v>1</v>
      </c>
      <c r="X278" s="2">
        <v>5.76</v>
      </c>
      <c r="Y278">
        <v>89327</v>
      </c>
      <c r="Z278">
        <f t="shared" si="4"/>
        <v>5.76</v>
      </c>
    </row>
    <row r="279" spans="1:26" x14ac:dyDescent="0.25">
      <c r="A279">
        <v>23202</v>
      </c>
      <c r="B279" t="s">
        <v>56</v>
      </c>
      <c r="C279" s="2">
        <v>0.01</v>
      </c>
      <c r="D279" s="2">
        <v>179.29</v>
      </c>
      <c r="E279" s="2">
        <v>29.21</v>
      </c>
      <c r="F279">
        <v>522</v>
      </c>
      <c r="G279" t="s">
        <v>619</v>
      </c>
      <c r="H279" t="s">
        <v>39</v>
      </c>
      <c r="I279" t="s">
        <v>58</v>
      </c>
      <c r="J279" t="s">
        <v>41</v>
      </c>
      <c r="K279" t="s">
        <v>150</v>
      </c>
      <c r="L279" t="s">
        <v>120</v>
      </c>
      <c r="M279" t="s">
        <v>622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1">
        <v>42177</v>
      </c>
      <c r="U279" s="1">
        <v>42178</v>
      </c>
      <c r="V279" s="2">
        <v>2800.12</v>
      </c>
      <c r="W279">
        <v>21</v>
      </c>
      <c r="X279" s="2">
        <v>3112.13</v>
      </c>
      <c r="Y279">
        <v>89327</v>
      </c>
      <c r="Z279">
        <f t="shared" si="4"/>
        <v>65354.73</v>
      </c>
    </row>
    <row r="280" spans="1:26" x14ac:dyDescent="0.25">
      <c r="A280">
        <v>21517</v>
      </c>
      <c r="B280" t="s">
        <v>37</v>
      </c>
      <c r="C280" s="2">
        <v>0.03</v>
      </c>
      <c r="D280" s="2">
        <v>1270.99</v>
      </c>
      <c r="E280" s="2">
        <v>19.989999999999998</v>
      </c>
      <c r="F280">
        <v>524</v>
      </c>
      <c r="G280" t="s">
        <v>623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624</v>
      </c>
      <c r="N280">
        <v>0.35</v>
      </c>
      <c r="O280" t="s">
        <v>33</v>
      </c>
      <c r="P280" t="s">
        <v>135</v>
      </c>
      <c r="Q280" t="s">
        <v>239</v>
      </c>
      <c r="R280" t="s">
        <v>625</v>
      </c>
      <c r="S280">
        <v>37922</v>
      </c>
      <c r="T280" s="1">
        <v>42024</v>
      </c>
      <c r="U280" s="1">
        <v>42026</v>
      </c>
      <c r="V280" s="2">
        <v>363.55200000000002</v>
      </c>
      <c r="W280">
        <v>2</v>
      </c>
      <c r="X280" s="2">
        <v>2589.0100000000002</v>
      </c>
      <c r="Y280">
        <v>91127</v>
      </c>
      <c r="Z280">
        <f t="shared" si="4"/>
        <v>5178.0200000000004</v>
      </c>
    </row>
    <row r="281" spans="1:26" x14ac:dyDescent="0.25">
      <c r="A281">
        <v>21518</v>
      </c>
      <c r="B281" t="s">
        <v>37</v>
      </c>
      <c r="C281" s="2">
        <v>7.0000000000000007E-2</v>
      </c>
      <c r="D281" s="2">
        <v>2036.48</v>
      </c>
      <c r="E281" s="2">
        <v>14.7</v>
      </c>
      <c r="F281">
        <v>524</v>
      </c>
      <c r="G281" t="s">
        <v>623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626</v>
      </c>
      <c r="N281">
        <v>0.55000000000000004</v>
      </c>
      <c r="O281" t="s">
        <v>33</v>
      </c>
      <c r="P281" t="s">
        <v>135</v>
      </c>
      <c r="Q281" t="s">
        <v>239</v>
      </c>
      <c r="R281" t="s">
        <v>625</v>
      </c>
      <c r="S281">
        <v>37922</v>
      </c>
      <c r="T281" s="1">
        <v>42024</v>
      </c>
      <c r="U281" s="1">
        <v>42026</v>
      </c>
      <c r="V281" s="2">
        <v>-11.536</v>
      </c>
      <c r="W281">
        <v>1</v>
      </c>
      <c r="X281" s="2">
        <v>1893.93</v>
      </c>
      <c r="Y281">
        <v>91127</v>
      </c>
      <c r="Z281">
        <f t="shared" si="4"/>
        <v>1893.93</v>
      </c>
    </row>
    <row r="282" spans="1:26" x14ac:dyDescent="0.25">
      <c r="A282">
        <v>22176</v>
      </c>
      <c r="B282" t="s">
        <v>25</v>
      </c>
      <c r="C282" s="2">
        <v>0.09</v>
      </c>
      <c r="D282" s="2">
        <v>17.98</v>
      </c>
      <c r="E282" s="2">
        <v>8.51</v>
      </c>
      <c r="F282">
        <v>526</v>
      </c>
      <c r="G282" t="s">
        <v>627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372</v>
      </c>
      <c r="R282" t="s">
        <v>628</v>
      </c>
      <c r="S282">
        <v>85204</v>
      </c>
      <c r="T282" s="1">
        <v>42149</v>
      </c>
      <c r="U282" s="1">
        <v>42151</v>
      </c>
      <c r="V282" s="2">
        <v>-6.6120000000000001</v>
      </c>
      <c r="W282">
        <v>12</v>
      </c>
      <c r="X282" s="2">
        <v>211.13</v>
      </c>
      <c r="Y282">
        <v>90026</v>
      </c>
      <c r="Z282">
        <f t="shared" si="4"/>
        <v>2533.56</v>
      </c>
    </row>
    <row r="283" spans="1:26" x14ac:dyDescent="0.25">
      <c r="A283">
        <v>20494</v>
      </c>
      <c r="B283" t="s">
        <v>37</v>
      </c>
      <c r="C283" s="2">
        <v>0</v>
      </c>
      <c r="D283" s="2">
        <v>1.88</v>
      </c>
      <c r="E283" s="2">
        <v>1.49</v>
      </c>
      <c r="F283">
        <v>526</v>
      </c>
      <c r="G283" t="s">
        <v>627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267</v>
      </c>
      <c r="N283">
        <v>0.37</v>
      </c>
      <c r="O283" t="s">
        <v>33</v>
      </c>
      <c r="P283" t="s">
        <v>34</v>
      </c>
      <c r="Q283" t="s">
        <v>372</v>
      </c>
      <c r="R283" t="s">
        <v>628</v>
      </c>
      <c r="S283">
        <v>85204</v>
      </c>
      <c r="T283" s="1">
        <v>42021</v>
      </c>
      <c r="U283" s="1">
        <v>42022</v>
      </c>
      <c r="V283" s="2">
        <v>-15.5595</v>
      </c>
      <c r="W283">
        <v>13</v>
      </c>
      <c r="X283" s="2">
        <v>25.39</v>
      </c>
      <c r="Y283">
        <v>90027</v>
      </c>
      <c r="Z283">
        <f t="shared" si="4"/>
        <v>330.07</v>
      </c>
    </row>
    <row r="284" spans="1:26" x14ac:dyDescent="0.25">
      <c r="A284">
        <v>20495</v>
      </c>
      <c r="B284" t="s">
        <v>37</v>
      </c>
      <c r="C284" s="2">
        <v>0.06</v>
      </c>
      <c r="D284" s="2">
        <v>5.78</v>
      </c>
      <c r="E284" s="2">
        <v>5.67</v>
      </c>
      <c r="F284">
        <v>526</v>
      </c>
      <c r="G284" t="s">
        <v>627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629</v>
      </c>
      <c r="N284">
        <v>0.36</v>
      </c>
      <c r="O284" t="s">
        <v>33</v>
      </c>
      <c r="P284" t="s">
        <v>34</v>
      </c>
      <c r="Q284" t="s">
        <v>372</v>
      </c>
      <c r="R284" t="s">
        <v>628</v>
      </c>
      <c r="S284">
        <v>85204</v>
      </c>
      <c r="T284" s="1">
        <v>42021</v>
      </c>
      <c r="U284" s="1">
        <v>42022</v>
      </c>
      <c r="V284" s="2">
        <v>-108.19</v>
      </c>
      <c r="W284">
        <v>15</v>
      </c>
      <c r="X284" s="2">
        <v>87.27</v>
      </c>
      <c r="Y284">
        <v>90027</v>
      </c>
      <c r="Z284">
        <f t="shared" si="4"/>
        <v>1309.05</v>
      </c>
    </row>
    <row r="285" spans="1:26" x14ac:dyDescent="0.25">
      <c r="A285">
        <v>26210</v>
      </c>
      <c r="B285" t="s">
        <v>106</v>
      </c>
      <c r="C285" s="2">
        <v>0</v>
      </c>
      <c r="D285" s="2">
        <v>15.99</v>
      </c>
      <c r="E285" s="2">
        <v>13.18</v>
      </c>
      <c r="F285">
        <v>535</v>
      </c>
      <c r="G285" t="s">
        <v>630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631</v>
      </c>
      <c r="N285">
        <v>0.37</v>
      </c>
      <c r="O285" t="s">
        <v>33</v>
      </c>
      <c r="P285" t="s">
        <v>135</v>
      </c>
      <c r="Q285" t="s">
        <v>136</v>
      </c>
      <c r="R285" t="s">
        <v>632</v>
      </c>
      <c r="S285">
        <v>22025</v>
      </c>
      <c r="T285" s="1">
        <v>42115</v>
      </c>
      <c r="U285" s="1">
        <v>42119</v>
      </c>
      <c r="V285" s="2">
        <v>46.488</v>
      </c>
      <c r="W285">
        <v>23</v>
      </c>
      <c r="X285" s="2">
        <v>403.25</v>
      </c>
      <c r="Y285">
        <v>88511</v>
      </c>
      <c r="Z285">
        <f t="shared" si="4"/>
        <v>9274.75</v>
      </c>
    </row>
    <row r="286" spans="1:26" x14ac:dyDescent="0.25">
      <c r="A286">
        <v>20811</v>
      </c>
      <c r="B286" t="s">
        <v>56</v>
      </c>
      <c r="C286" s="2">
        <v>0.05</v>
      </c>
      <c r="D286" s="2">
        <v>59.78</v>
      </c>
      <c r="E286" s="2">
        <v>10.29</v>
      </c>
      <c r="F286">
        <v>539</v>
      </c>
      <c r="G286" t="s">
        <v>633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634</v>
      </c>
      <c r="N286">
        <v>0.39</v>
      </c>
      <c r="O286" t="s">
        <v>33</v>
      </c>
      <c r="P286" t="s">
        <v>61</v>
      </c>
      <c r="Q286" t="s">
        <v>175</v>
      </c>
      <c r="R286" t="s">
        <v>533</v>
      </c>
      <c r="S286">
        <v>61801</v>
      </c>
      <c r="T286" s="1">
        <v>42138</v>
      </c>
      <c r="U286" s="1">
        <v>42139</v>
      </c>
      <c r="V286" s="2">
        <v>159.52969999999999</v>
      </c>
      <c r="W286">
        <v>7</v>
      </c>
      <c r="X286" s="2">
        <v>414.49</v>
      </c>
      <c r="Y286">
        <v>91174</v>
      </c>
      <c r="Z286">
        <f t="shared" si="4"/>
        <v>2901.4300000000003</v>
      </c>
    </row>
    <row r="287" spans="1:26" x14ac:dyDescent="0.25">
      <c r="A287">
        <v>20812</v>
      </c>
      <c r="B287" t="s">
        <v>56</v>
      </c>
      <c r="C287" s="2">
        <v>0.08</v>
      </c>
      <c r="D287" s="2">
        <v>20.99</v>
      </c>
      <c r="E287" s="2">
        <v>1.25</v>
      </c>
      <c r="F287">
        <v>540</v>
      </c>
      <c r="G287" t="s">
        <v>635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636</v>
      </c>
      <c r="N287">
        <v>0.83</v>
      </c>
      <c r="O287" t="s">
        <v>33</v>
      </c>
      <c r="P287" t="s">
        <v>61</v>
      </c>
      <c r="Q287" t="s">
        <v>175</v>
      </c>
      <c r="R287" t="s">
        <v>637</v>
      </c>
      <c r="S287">
        <v>60061</v>
      </c>
      <c r="T287" s="1">
        <v>42138</v>
      </c>
      <c r="U287" s="1">
        <v>42140</v>
      </c>
      <c r="V287" s="2">
        <v>15.3714</v>
      </c>
      <c r="W287">
        <v>28</v>
      </c>
      <c r="X287" s="2">
        <v>469.69</v>
      </c>
      <c r="Y287">
        <v>91174</v>
      </c>
      <c r="Z287">
        <f t="shared" si="4"/>
        <v>13151.32</v>
      </c>
    </row>
    <row r="288" spans="1:26" x14ac:dyDescent="0.25">
      <c r="A288">
        <v>24783</v>
      </c>
      <c r="B288" t="s">
        <v>56</v>
      </c>
      <c r="C288" s="2">
        <v>0.05</v>
      </c>
      <c r="D288" s="2">
        <v>204.1</v>
      </c>
      <c r="E288" s="2">
        <v>13.99</v>
      </c>
      <c r="F288">
        <v>540</v>
      </c>
      <c r="G288" t="s">
        <v>635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638</v>
      </c>
      <c r="N288">
        <v>0.37</v>
      </c>
      <c r="O288" t="s">
        <v>33</v>
      </c>
      <c r="P288" t="s">
        <v>61</v>
      </c>
      <c r="Q288" t="s">
        <v>175</v>
      </c>
      <c r="R288" t="s">
        <v>637</v>
      </c>
      <c r="S288">
        <v>60061</v>
      </c>
      <c r="T288" s="1">
        <v>42147</v>
      </c>
      <c r="U288" s="1">
        <v>42149</v>
      </c>
      <c r="V288" s="2">
        <v>5924.1122999999998</v>
      </c>
      <c r="W288">
        <v>41</v>
      </c>
      <c r="X288" s="2">
        <v>8585.67</v>
      </c>
      <c r="Y288">
        <v>91175</v>
      </c>
      <c r="Z288">
        <f t="shared" si="4"/>
        <v>352012.47000000003</v>
      </c>
    </row>
    <row r="289" spans="1:26" x14ac:dyDescent="0.25">
      <c r="A289">
        <v>23401</v>
      </c>
      <c r="B289" t="s">
        <v>37</v>
      </c>
      <c r="C289" s="2">
        <v>0.03</v>
      </c>
      <c r="D289" s="2">
        <v>13.73</v>
      </c>
      <c r="E289" s="2">
        <v>6.85</v>
      </c>
      <c r="F289">
        <v>547</v>
      </c>
      <c r="G289" t="s">
        <v>639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640</v>
      </c>
      <c r="N289">
        <v>0.54</v>
      </c>
      <c r="O289" t="s">
        <v>33</v>
      </c>
      <c r="P289" t="s">
        <v>53</v>
      </c>
      <c r="Q289" t="s">
        <v>641</v>
      </c>
      <c r="R289" t="s">
        <v>642</v>
      </c>
      <c r="S289">
        <v>26501</v>
      </c>
      <c r="T289" s="1">
        <v>42169</v>
      </c>
      <c r="U289" s="1">
        <v>42170</v>
      </c>
      <c r="V289" s="2">
        <v>39.585299999999997</v>
      </c>
      <c r="W289">
        <v>4</v>
      </c>
      <c r="X289" s="2">
        <v>57.37</v>
      </c>
      <c r="Y289">
        <v>86250</v>
      </c>
      <c r="Z289">
        <f t="shared" si="4"/>
        <v>229.48</v>
      </c>
    </row>
    <row r="290" spans="1:26" x14ac:dyDescent="0.25">
      <c r="A290">
        <v>25806</v>
      </c>
      <c r="B290" t="s">
        <v>37</v>
      </c>
      <c r="C290" s="2">
        <v>0.02</v>
      </c>
      <c r="D290" s="2">
        <v>7.1</v>
      </c>
      <c r="E290" s="2">
        <v>6.05</v>
      </c>
      <c r="F290">
        <v>549</v>
      </c>
      <c r="G290" t="s">
        <v>643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644</v>
      </c>
      <c r="N290">
        <v>0.39</v>
      </c>
      <c r="O290" t="s">
        <v>33</v>
      </c>
      <c r="P290" t="s">
        <v>34</v>
      </c>
      <c r="Q290" t="s">
        <v>360</v>
      </c>
      <c r="R290" t="s">
        <v>645</v>
      </c>
      <c r="S290">
        <v>88201</v>
      </c>
      <c r="T290" s="1">
        <v>42024</v>
      </c>
      <c r="U290" s="1">
        <v>42024</v>
      </c>
      <c r="V290" s="2">
        <v>-66.378</v>
      </c>
      <c r="W290">
        <v>9</v>
      </c>
      <c r="X290" s="2">
        <v>66.319999999999993</v>
      </c>
      <c r="Y290">
        <v>90908</v>
      </c>
      <c r="Z290">
        <f t="shared" si="4"/>
        <v>596.87999999999988</v>
      </c>
    </row>
    <row r="291" spans="1:26" x14ac:dyDescent="0.25">
      <c r="A291">
        <v>24132</v>
      </c>
      <c r="B291" t="s">
        <v>25</v>
      </c>
      <c r="C291" s="2">
        <v>0.05</v>
      </c>
      <c r="D291" s="2">
        <v>1.68</v>
      </c>
      <c r="E291" s="2">
        <v>1.57</v>
      </c>
      <c r="F291">
        <v>550</v>
      </c>
      <c r="G291" t="s">
        <v>646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129</v>
      </c>
      <c r="R291" t="s">
        <v>647</v>
      </c>
      <c r="S291">
        <v>78155</v>
      </c>
      <c r="T291" s="1">
        <v>42034</v>
      </c>
      <c r="U291" s="1">
        <v>42035</v>
      </c>
      <c r="V291" s="2">
        <v>-33.340000000000003</v>
      </c>
      <c r="W291">
        <v>11</v>
      </c>
      <c r="X291" s="2">
        <v>18.75</v>
      </c>
      <c r="Y291">
        <v>90909</v>
      </c>
      <c r="Z291">
        <f t="shared" si="4"/>
        <v>206.25</v>
      </c>
    </row>
    <row r="292" spans="1:26" x14ac:dyDescent="0.25">
      <c r="A292">
        <v>24133</v>
      </c>
      <c r="B292" t="s">
        <v>25</v>
      </c>
      <c r="C292" s="2">
        <v>0.1</v>
      </c>
      <c r="D292" s="2">
        <v>218.75</v>
      </c>
      <c r="E292" s="2">
        <v>69.64</v>
      </c>
      <c r="F292">
        <v>550</v>
      </c>
      <c r="G292" t="s">
        <v>646</v>
      </c>
      <c r="H292" t="s">
        <v>39</v>
      </c>
      <c r="I292" t="s">
        <v>28</v>
      </c>
      <c r="J292" t="s">
        <v>41</v>
      </c>
      <c r="K292" t="s">
        <v>150</v>
      </c>
      <c r="L292" t="s">
        <v>120</v>
      </c>
      <c r="M292" t="s">
        <v>648</v>
      </c>
      <c r="N292">
        <v>0.77</v>
      </c>
      <c r="O292" t="s">
        <v>33</v>
      </c>
      <c r="P292" t="s">
        <v>61</v>
      </c>
      <c r="Q292" t="s">
        <v>129</v>
      </c>
      <c r="R292" t="s">
        <v>647</v>
      </c>
      <c r="S292">
        <v>78155</v>
      </c>
      <c r="T292" s="1">
        <v>42034</v>
      </c>
      <c r="U292" s="1">
        <v>42036</v>
      </c>
      <c r="V292" s="2">
        <v>-201.27600000000001</v>
      </c>
      <c r="W292">
        <v>1</v>
      </c>
      <c r="X292" s="2">
        <v>188.51</v>
      </c>
      <c r="Y292">
        <v>90909</v>
      </c>
      <c r="Z292">
        <f t="shared" si="4"/>
        <v>188.51</v>
      </c>
    </row>
    <row r="293" spans="1:26" x14ac:dyDescent="0.25">
      <c r="A293">
        <v>23209</v>
      </c>
      <c r="B293" t="s">
        <v>56</v>
      </c>
      <c r="C293" s="2">
        <v>0.06</v>
      </c>
      <c r="D293" s="2">
        <v>549.99</v>
      </c>
      <c r="E293" s="2">
        <v>49</v>
      </c>
      <c r="F293">
        <v>550</v>
      </c>
      <c r="G293" t="s">
        <v>646</v>
      </c>
      <c r="H293" t="s">
        <v>39</v>
      </c>
      <c r="I293" t="s">
        <v>28</v>
      </c>
      <c r="J293" t="s">
        <v>77</v>
      </c>
      <c r="K293" t="s">
        <v>580</v>
      </c>
      <c r="L293" t="s">
        <v>43</v>
      </c>
      <c r="M293" t="s">
        <v>649</v>
      </c>
      <c r="N293">
        <v>0.35</v>
      </c>
      <c r="O293" t="s">
        <v>33</v>
      </c>
      <c r="P293" t="s">
        <v>61</v>
      </c>
      <c r="Q293" t="s">
        <v>129</v>
      </c>
      <c r="R293" t="s">
        <v>647</v>
      </c>
      <c r="S293">
        <v>78155</v>
      </c>
      <c r="T293" s="1">
        <v>42167</v>
      </c>
      <c r="U293" s="1">
        <v>42168</v>
      </c>
      <c r="V293" s="2">
        <v>4637.4071999999996</v>
      </c>
      <c r="W293">
        <v>13</v>
      </c>
      <c r="X293" s="2">
        <v>6720.88</v>
      </c>
      <c r="Y293">
        <v>90910</v>
      </c>
      <c r="Z293">
        <f t="shared" si="4"/>
        <v>87371.44</v>
      </c>
    </row>
    <row r="294" spans="1:26" x14ac:dyDescent="0.25">
      <c r="A294">
        <v>23210</v>
      </c>
      <c r="B294" t="s">
        <v>56</v>
      </c>
      <c r="C294" s="2">
        <v>0.08</v>
      </c>
      <c r="D294" s="2">
        <v>115.99</v>
      </c>
      <c r="E294" s="2">
        <v>5.99</v>
      </c>
      <c r="F294">
        <v>550</v>
      </c>
      <c r="G294" t="s">
        <v>646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>
        <v>2160</v>
      </c>
      <c r="N294">
        <v>0.56999999999999995</v>
      </c>
      <c r="O294" t="s">
        <v>33</v>
      </c>
      <c r="P294" t="s">
        <v>61</v>
      </c>
      <c r="Q294" t="s">
        <v>129</v>
      </c>
      <c r="R294" t="s">
        <v>647</v>
      </c>
      <c r="S294">
        <v>78155</v>
      </c>
      <c r="T294" s="1">
        <v>42167</v>
      </c>
      <c r="U294" s="1">
        <v>42168</v>
      </c>
      <c r="V294" s="2">
        <v>-239.54150000000001</v>
      </c>
      <c r="W294">
        <v>1</v>
      </c>
      <c r="X294" s="2">
        <v>102.21</v>
      </c>
      <c r="Y294">
        <v>90910</v>
      </c>
      <c r="Z294">
        <f t="shared" si="4"/>
        <v>102.21</v>
      </c>
    </row>
    <row r="295" spans="1:26" x14ac:dyDescent="0.25">
      <c r="A295">
        <v>24134</v>
      </c>
      <c r="B295" t="s">
        <v>25</v>
      </c>
      <c r="C295" s="2">
        <v>0</v>
      </c>
      <c r="D295" s="2">
        <v>15.04</v>
      </c>
      <c r="E295" s="2">
        <v>1.97</v>
      </c>
      <c r="F295">
        <v>551</v>
      </c>
      <c r="G295" t="s">
        <v>650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651</v>
      </c>
      <c r="N295">
        <v>0.39</v>
      </c>
      <c r="O295" t="s">
        <v>33</v>
      </c>
      <c r="P295" t="s">
        <v>61</v>
      </c>
      <c r="Q295" t="s">
        <v>129</v>
      </c>
      <c r="R295" t="s">
        <v>652</v>
      </c>
      <c r="S295">
        <v>75090</v>
      </c>
      <c r="T295" s="1">
        <v>42034</v>
      </c>
      <c r="U295" s="1">
        <v>42036</v>
      </c>
      <c r="V295" s="2">
        <v>21.514199999999999</v>
      </c>
      <c r="W295">
        <v>2</v>
      </c>
      <c r="X295" s="2">
        <v>31.18</v>
      </c>
      <c r="Y295">
        <v>90909</v>
      </c>
      <c r="Z295">
        <f t="shared" si="4"/>
        <v>62.36</v>
      </c>
    </row>
    <row r="296" spans="1:26" x14ac:dyDescent="0.25">
      <c r="A296">
        <v>2368</v>
      </c>
      <c r="B296" t="s">
        <v>56</v>
      </c>
      <c r="C296" s="2">
        <v>0</v>
      </c>
      <c r="D296" s="2">
        <v>6.88</v>
      </c>
      <c r="E296" s="2">
        <v>2</v>
      </c>
      <c r="F296">
        <v>553</v>
      </c>
      <c r="G296" t="s">
        <v>653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654</v>
      </c>
      <c r="N296">
        <v>0.39</v>
      </c>
      <c r="O296" t="s">
        <v>33</v>
      </c>
      <c r="P296" t="s">
        <v>34</v>
      </c>
      <c r="Q296" t="s">
        <v>45</v>
      </c>
      <c r="R296" t="s">
        <v>655</v>
      </c>
      <c r="S296">
        <v>90008</v>
      </c>
      <c r="T296" s="1">
        <v>42032</v>
      </c>
      <c r="U296" s="1">
        <v>42033</v>
      </c>
      <c r="V296" s="2">
        <v>34.067999999999998</v>
      </c>
      <c r="W296">
        <v>36</v>
      </c>
      <c r="X296" s="2">
        <v>267.52999999999997</v>
      </c>
      <c r="Y296">
        <v>17155</v>
      </c>
      <c r="Z296">
        <f t="shared" si="4"/>
        <v>9631.0799999999981</v>
      </c>
    </row>
    <row r="297" spans="1:26" x14ac:dyDescent="0.25">
      <c r="A297">
        <v>349</v>
      </c>
      <c r="B297" t="s">
        <v>37</v>
      </c>
      <c r="C297" s="2">
        <v>7.0000000000000007E-2</v>
      </c>
      <c r="D297" s="2">
        <v>2036.48</v>
      </c>
      <c r="E297" s="2">
        <v>14.7</v>
      </c>
      <c r="F297">
        <v>553</v>
      </c>
      <c r="G297" t="s">
        <v>653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626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655</v>
      </c>
      <c r="S297">
        <v>90008</v>
      </c>
      <c r="T297" s="1">
        <v>42056</v>
      </c>
      <c r="U297" s="1">
        <v>42056</v>
      </c>
      <c r="V297" s="2">
        <v>4073.25</v>
      </c>
      <c r="W297">
        <v>25</v>
      </c>
      <c r="X297" s="2">
        <v>43046.2</v>
      </c>
      <c r="Y297">
        <v>2433</v>
      </c>
      <c r="Z297">
        <f t="shared" si="4"/>
        <v>1076155</v>
      </c>
    </row>
    <row r="298" spans="1:26" x14ac:dyDescent="0.25">
      <c r="A298">
        <v>1115</v>
      </c>
      <c r="B298" t="s">
        <v>106</v>
      </c>
      <c r="C298" s="2">
        <v>0.01</v>
      </c>
      <c r="D298" s="2">
        <v>4.9800000000000004</v>
      </c>
      <c r="E298" s="2">
        <v>7.44</v>
      </c>
      <c r="F298">
        <v>553</v>
      </c>
      <c r="G298" t="s">
        <v>653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378</v>
      </c>
      <c r="N298">
        <v>0.36</v>
      </c>
      <c r="O298" t="s">
        <v>33</v>
      </c>
      <c r="P298" t="s">
        <v>34</v>
      </c>
      <c r="Q298" t="s">
        <v>45</v>
      </c>
      <c r="R298" t="s">
        <v>655</v>
      </c>
      <c r="S298">
        <v>90008</v>
      </c>
      <c r="T298" s="1">
        <v>42109</v>
      </c>
      <c r="U298" s="1">
        <v>42118</v>
      </c>
      <c r="V298" s="2">
        <v>-179.59200000000001</v>
      </c>
      <c r="W298">
        <v>63</v>
      </c>
      <c r="X298" s="2">
        <v>330.21</v>
      </c>
      <c r="Y298">
        <v>8165</v>
      </c>
      <c r="Z298">
        <f t="shared" si="4"/>
        <v>20803.23</v>
      </c>
    </row>
    <row r="299" spans="1:26" x14ac:dyDescent="0.25">
      <c r="A299">
        <v>64</v>
      </c>
      <c r="B299" t="s">
        <v>56</v>
      </c>
      <c r="C299" s="2">
        <v>0.08</v>
      </c>
      <c r="D299" s="2">
        <v>124.49</v>
      </c>
      <c r="E299" s="2">
        <v>51.94</v>
      </c>
      <c r="F299">
        <v>553</v>
      </c>
      <c r="G299" t="s">
        <v>653</v>
      </c>
      <c r="H299" t="s">
        <v>39</v>
      </c>
      <c r="I299" t="s">
        <v>28</v>
      </c>
      <c r="J299" t="s">
        <v>41</v>
      </c>
      <c r="K299" t="s">
        <v>150</v>
      </c>
      <c r="L299" t="s">
        <v>120</v>
      </c>
      <c r="M299" t="s">
        <v>456</v>
      </c>
      <c r="N299">
        <v>0.63</v>
      </c>
      <c r="O299" t="s">
        <v>33</v>
      </c>
      <c r="P299" t="s">
        <v>34</v>
      </c>
      <c r="Q299" t="s">
        <v>45</v>
      </c>
      <c r="R299" t="s">
        <v>655</v>
      </c>
      <c r="S299">
        <v>90008</v>
      </c>
      <c r="T299" s="1">
        <v>42173</v>
      </c>
      <c r="U299" s="1">
        <v>42174</v>
      </c>
      <c r="V299" s="2">
        <v>-500.38</v>
      </c>
      <c r="W299">
        <v>56</v>
      </c>
      <c r="X299" s="2">
        <v>6831.37</v>
      </c>
      <c r="Y299">
        <v>359</v>
      </c>
      <c r="Z299">
        <f t="shared" si="4"/>
        <v>382556.72</v>
      </c>
    </row>
    <row r="300" spans="1:26" x14ac:dyDescent="0.25">
      <c r="A300">
        <v>18349</v>
      </c>
      <c r="B300" t="s">
        <v>37</v>
      </c>
      <c r="C300" s="2">
        <v>7.0000000000000007E-2</v>
      </c>
      <c r="D300" s="2">
        <v>2036.48</v>
      </c>
      <c r="E300" s="2">
        <v>14.7</v>
      </c>
      <c r="F300">
        <v>555</v>
      </c>
      <c r="G300" t="s">
        <v>656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626</v>
      </c>
      <c r="N300">
        <v>0.55000000000000004</v>
      </c>
      <c r="O300" t="s">
        <v>33</v>
      </c>
      <c r="P300" t="s">
        <v>34</v>
      </c>
      <c r="Q300" t="s">
        <v>208</v>
      </c>
      <c r="R300" t="s">
        <v>657</v>
      </c>
      <c r="S300">
        <v>84062</v>
      </c>
      <c r="T300" s="1">
        <v>42056</v>
      </c>
      <c r="U300" s="1">
        <v>42056</v>
      </c>
      <c r="V300" s="2">
        <v>6028.41</v>
      </c>
      <c r="W300">
        <v>6</v>
      </c>
      <c r="X300" s="2">
        <v>10331.09</v>
      </c>
      <c r="Y300">
        <v>86190</v>
      </c>
      <c r="Z300">
        <f t="shared" si="4"/>
        <v>61986.54</v>
      </c>
    </row>
    <row r="301" spans="1:26" x14ac:dyDescent="0.25">
      <c r="A301">
        <v>19115</v>
      </c>
      <c r="B301" t="s">
        <v>106</v>
      </c>
      <c r="C301" s="2">
        <v>0.01</v>
      </c>
      <c r="D301" s="2">
        <v>4.9800000000000004</v>
      </c>
      <c r="E301" s="2">
        <v>7.44</v>
      </c>
      <c r="F301">
        <v>555</v>
      </c>
      <c r="G301" t="s">
        <v>656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378</v>
      </c>
      <c r="N301">
        <v>0.36</v>
      </c>
      <c r="O301" t="s">
        <v>33</v>
      </c>
      <c r="P301" t="s">
        <v>34</v>
      </c>
      <c r="Q301" t="s">
        <v>208</v>
      </c>
      <c r="R301" t="s">
        <v>657</v>
      </c>
      <c r="S301">
        <v>84062</v>
      </c>
      <c r="T301" s="1">
        <v>42109</v>
      </c>
      <c r="U301" s="1">
        <v>42118</v>
      </c>
      <c r="V301" s="2">
        <v>-161.6328</v>
      </c>
      <c r="W301">
        <v>16</v>
      </c>
      <c r="X301" s="2">
        <v>83.86</v>
      </c>
      <c r="Y301">
        <v>86191</v>
      </c>
      <c r="Z301">
        <f t="shared" si="4"/>
        <v>1341.76</v>
      </c>
    </row>
    <row r="302" spans="1:26" x14ac:dyDescent="0.25">
      <c r="A302">
        <v>18064</v>
      </c>
      <c r="B302" t="s">
        <v>56</v>
      </c>
      <c r="C302" s="2">
        <v>0.08</v>
      </c>
      <c r="D302" s="2">
        <v>124.49</v>
      </c>
      <c r="E302" s="2">
        <v>51.94</v>
      </c>
      <c r="F302">
        <v>555</v>
      </c>
      <c r="G302" t="s">
        <v>656</v>
      </c>
      <c r="H302" t="s">
        <v>39</v>
      </c>
      <c r="I302" t="s">
        <v>28</v>
      </c>
      <c r="J302" t="s">
        <v>41</v>
      </c>
      <c r="K302" t="s">
        <v>150</v>
      </c>
      <c r="L302" t="s">
        <v>120</v>
      </c>
      <c r="M302" t="s">
        <v>456</v>
      </c>
      <c r="N302">
        <v>0.63</v>
      </c>
      <c r="O302" t="s">
        <v>33</v>
      </c>
      <c r="P302" t="s">
        <v>34</v>
      </c>
      <c r="Q302" t="s">
        <v>208</v>
      </c>
      <c r="R302" t="s">
        <v>657</v>
      </c>
      <c r="S302">
        <v>84062</v>
      </c>
      <c r="T302" s="1">
        <v>42173</v>
      </c>
      <c r="U302" s="1">
        <v>42174</v>
      </c>
      <c r="V302" s="2">
        <v>-250.19</v>
      </c>
      <c r="W302">
        <v>14</v>
      </c>
      <c r="X302" s="2">
        <v>1707.84</v>
      </c>
      <c r="Y302">
        <v>86192</v>
      </c>
      <c r="Z302">
        <f t="shared" si="4"/>
        <v>23909.759999999998</v>
      </c>
    </row>
    <row r="303" spans="1:26" x14ac:dyDescent="0.25">
      <c r="A303">
        <v>20368</v>
      </c>
      <c r="B303" t="s">
        <v>56</v>
      </c>
      <c r="C303" s="2">
        <v>0</v>
      </c>
      <c r="D303" s="2">
        <v>6.88</v>
      </c>
      <c r="E303" s="2">
        <v>2</v>
      </c>
      <c r="F303">
        <v>556</v>
      </c>
      <c r="G303" t="s">
        <v>658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654</v>
      </c>
      <c r="N303">
        <v>0.39</v>
      </c>
      <c r="O303" t="s">
        <v>33</v>
      </c>
      <c r="P303" t="s">
        <v>34</v>
      </c>
      <c r="Q303" t="s">
        <v>208</v>
      </c>
      <c r="R303" t="s">
        <v>659</v>
      </c>
      <c r="S303">
        <v>84604</v>
      </c>
      <c r="T303" s="1">
        <v>42032</v>
      </c>
      <c r="U303" s="1">
        <v>42033</v>
      </c>
      <c r="V303" s="2">
        <v>46.147199999999998</v>
      </c>
      <c r="W303">
        <v>9</v>
      </c>
      <c r="X303" s="2">
        <v>66.88</v>
      </c>
      <c r="Y303">
        <v>86189</v>
      </c>
      <c r="Z303">
        <f t="shared" si="4"/>
        <v>601.91999999999996</v>
      </c>
    </row>
    <row r="304" spans="1:26" x14ac:dyDescent="0.25">
      <c r="A304">
        <v>20369</v>
      </c>
      <c r="B304" t="s">
        <v>56</v>
      </c>
      <c r="C304" s="2">
        <v>0.03</v>
      </c>
      <c r="D304" s="2">
        <v>32.479999999999997</v>
      </c>
      <c r="E304" s="2">
        <v>35</v>
      </c>
      <c r="F304">
        <v>556</v>
      </c>
      <c r="G304" t="s">
        <v>658</v>
      </c>
      <c r="H304" t="s">
        <v>27</v>
      </c>
      <c r="I304" t="s">
        <v>40</v>
      </c>
      <c r="J304" t="s">
        <v>29</v>
      </c>
      <c r="K304" t="s">
        <v>139</v>
      </c>
      <c r="L304" t="s">
        <v>231</v>
      </c>
      <c r="M304" t="s">
        <v>660</v>
      </c>
      <c r="N304">
        <v>0.81</v>
      </c>
      <c r="O304" t="s">
        <v>33</v>
      </c>
      <c r="P304" t="s">
        <v>34</v>
      </c>
      <c r="Q304" t="s">
        <v>208</v>
      </c>
      <c r="R304" t="s">
        <v>659</v>
      </c>
      <c r="S304">
        <v>84604</v>
      </c>
      <c r="T304" s="1">
        <v>42032</v>
      </c>
      <c r="U304" s="1">
        <v>42032</v>
      </c>
      <c r="V304" s="2">
        <v>-1116.3348000000001</v>
      </c>
      <c r="W304">
        <v>8</v>
      </c>
      <c r="X304" s="2">
        <v>274.91000000000003</v>
      </c>
      <c r="Y304">
        <v>86189</v>
      </c>
      <c r="Z304">
        <f t="shared" si="4"/>
        <v>2199.2800000000002</v>
      </c>
    </row>
    <row r="305" spans="1:26" x14ac:dyDescent="0.25">
      <c r="A305">
        <v>21966</v>
      </c>
      <c r="B305" t="s">
        <v>47</v>
      </c>
      <c r="C305" s="2">
        <v>0.02</v>
      </c>
      <c r="D305" s="2">
        <v>280.98</v>
      </c>
      <c r="E305" s="2">
        <v>57</v>
      </c>
      <c r="F305">
        <v>568</v>
      </c>
      <c r="G305" t="s">
        <v>661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662</v>
      </c>
      <c r="N305">
        <v>0.78</v>
      </c>
      <c r="O305" t="s">
        <v>33</v>
      </c>
      <c r="P305" t="s">
        <v>135</v>
      </c>
      <c r="Q305" t="s">
        <v>663</v>
      </c>
      <c r="R305" t="s">
        <v>437</v>
      </c>
      <c r="S305">
        <v>39701</v>
      </c>
      <c r="T305" s="1">
        <v>42067</v>
      </c>
      <c r="U305" s="1">
        <v>42068</v>
      </c>
      <c r="V305" s="2">
        <v>1141.7940000000001</v>
      </c>
      <c r="W305">
        <v>4</v>
      </c>
      <c r="X305" s="2">
        <v>1128.74</v>
      </c>
      <c r="Y305">
        <v>88879</v>
      </c>
      <c r="Z305">
        <f t="shared" si="4"/>
        <v>4514.96</v>
      </c>
    </row>
    <row r="306" spans="1:26" x14ac:dyDescent="0.25">
      <c r="A306">
        <v>22667</v>
      </c>
      <c r="B306" t="s">
        <v>37</v>
      </c>
      <c r="C306" s="2">
        <v>0.09</v>
      </c>
      <c r="D306" s="2">
        <v>70.97</v>
      </c>
      <c r="E306" s="2">
        <v>3.5</v>
      </c>
      <c r="F306">
        <v>568</v>
      </c>
      <c r="G306" t="s">
        <v>661</v>
      </c>
      <c r="H306" t="s">
        <v>49</v>
      </c>
      <c r="I306" t="s">
        <v>114</v>
      </c>
      <c r="J306" t="s">
        <v>29</v>
      </c>
      <c r="K306" t="s">
        <v>252</v>
      </c>
      <c r="L306" t="s">
        <v>59</v>
      </c>
      <c r="M306" t="s">
        <v>664</v>
      </c>
      <c r="N306">
        <v>0.59</v>
      </c>
      <c r="O306" t="s">
        <v>33</v>
      </c>
      <c r="P306" t="s">
        <v>135</v>
      </c>
      <c r="Q306" t="s">
        <v>663</v>
      </c>
      <c r="R306" t="s">
        <v>437</v>
      </c>
      <c r="S306">
        <v>39701</v>
      </c>
      <c r="T306" s="1">
        <v>42109</v>
      </c>
      <c r="U306" s="1">
        <v>42109</v>
      </c>
      <c r="V306" s="2">
        <v>-99.567999999999998</v>
      </c>
      <c r="W306">
        <v>12</v>
      </c>
      <c r="X306" s="2">
        <v>805.99</v>
      </c>
      <c r="Y306">
        <v>88880</v>
      </c>
      <c r="Z306">
        <f t="shared" si="4"/>
        <v>9671.880000000001</v>
      </c>
    </row>
    <row r="307" spans="1:26" x14ac:dyDescent="0.25">
      <c r="A307">
        <v>22736</v>
      </c>
      <c r="B307" t="s">
        <v>56</v>
      </c>
      <c r="C307" s="2">
        <v>0.08</v>
      </c>
      <c r="D307" s="2">
        <v>67.28</v>
      </c>
      <c r="E307" s="2">
        <v>19.989999999999998</v>
      </c>
      <c r="F307">
        <v>568</v>
      </c>
      <c r="G307" t="s">
        <v>661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665</v>
      </c>
      <c r="N307">
        <v>0.4</v>
      </c>
      <c r="O307" t="s">
        <v>33</v>
      </c>
      <c r="P307" t="s">
        <v>135</v>
      </c>
      <c r="Q307" t="s">
        <v>663</v>
      </c>
      <c r="R307" t="s">
        <v>437</v>
      </c>
      <c r="S307">
        <v>39701</v>
      </c>
      <c r="T307" s="1">
        <v>42095</v>
      </c>
      <c r="U307" s="1">
        <v>42097</v>
      </c>
      <c r="V307" s="2">
        <v>224.85059999999999</v>
      </c>
      <c r="W307">
        <v>16</v>
      </c>
      <c r="X307" s="2">
        <v>1066.54</v>
      </c>
      <c r="Y307">
        <v>88882</v>
      </c>
      <c r="Z307">
        <f t="shared" si="4"/>
        <v>17064.64</v>
      </c>
    </row>
    <row r="308" spans="1:26" x14ac:dyDescent="0.25">
      <c r="A308">
        <v>26038</v>
      </c>
      <c r="B308" t="s">
        <v>106</v>
      </c>
      <c r="C308" s="2">
        <v>0.06</v>
      </c>
      <c r="D308" s="2">
        <v>7.99</v>
      </c>
      <c r="E308" s="2">
        <v>5.03</v>
      </c>
      <c r="F308">
        <v>570</v>
      </c>
      <c r="G308" t="s">
        <v>666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424</v>
      </c>
      <c r="N308">
        <v>0.6</v>
      </c>
      <c r="O308" t="s">
        <v>33</v>
      </c>
      <c r="P308" t="s">
        <v>34</v>
      </c>
      <c r="Q308" t="s">
        <v>526</v>
      </c>
      <c r="R308" t="s">
        <v>667</v>
      </c>
      <c r="S308">
        <v>89015</v>
      </c>
      <c r="T308" s="1">
        <v>42017</v>
      </c>
      <c r="U308" s="1">
        <v>42017</v>
      </c>
      <c r="V308" s="2">
        <v>-122.133</v>
      </c>
      <c r="W308">
        <v>10</v>
      </c>
      <c r="X308" s="2">
        <v>65.739999999999995</v>
      </c>
      <c r="Y308">
        <v>88881</v>
      </c>
      <c r="Z308">
        <f t="shared" si="4"/>
        <v>657.4</v>
      </c>
    </row>
    <row r="309" spans="1:26" x14ac:dyDescent="0.25">
      <c r="A309">
        <v>23719</v>
      </c>
      <c r="B309" t="s">
        <v>47</v>
      </c>
      <c r="C309" s="2">
        <v>0.05</v>
      </c>
      <c r="D309" s="2">
        <v>4.13</v>
      </c>
      <c r="E309" s="2">
        <v>5.04</v>
      </c>
      <c r="F309">
        <v>573</v>
      </c>
      <c r="G309" t="s">
        <v>668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669</v>
      </c>
      <c r="N309">
        <v>0.38</v>
      </c>
      <c r="O309" t="s">
        <v>33</v>
      </c>
      <c r="P309" t="s">
        <v>61</v>
      </c>
      <c r="Q309" t="s">
        <v>175</v>
      </c>
      <c r="R309" t="s">
        <v>670</v>
      </c>
      <c r="S309">
        <v>61554</v>
      </c>
      <c r="T309" s="1">
        <v>42076</v>
      </c>
      <c r="U309" s="1">
        <v>42077</v>
      </c>
      <c r="V309" s="2">
        <v>-12.1555</v>
      </c>
      <c r="W309">
        <v>1</v>
      </c>
      <c r="X309" s="2">
        <v>5.84</v>
      </c>
      <c r="Y309">
        <v>86555</v>
      </c>
      <c r="Z309">
        <f t="shared" si="4"/>
        <v>5.84</v>
      </c>
    </row>
    <row r="310" spans="1:26" x14ac:dyDescent="0.25">
      <c r="A310">
        <v>21992</v>
      </c>
      <c r="B310" t="s">
        <v>25</v>
      </c>
      <c r="C310" s="2">
        <v>0.08</v>
      </c>
      <c r="D310" s="2">
        <v>415.88</v>
      </c>
      <c r="E310" s="2">
        <v>11.37</v>
      </c>
      <c r="F310">
        <v>573</v>
      </c>
      <c r="G310" t="s">
        <v>668</v>
      </c>
      <c r="H310" t="s">
        <v>49</v>
      </c>
      <c r="I310" t="s">
        <v>28</v>
      </c>
      <c r="J310" t="s">
        <v>29</v>
      </c>
      <c r="K310" t="s">
        <v>139</v>
      </c>
      <c r="L310" t="s">
        <v>59</v>
      </c>
      <c r="M310" t="s">
        <v>482</v>
      </c>
      <c r="N310">
        <v>0.56999999999999995</v>
      </c>
      <c r="O310" t="s">
        <v>33</v>
      </c>
      <c r="P310" t="s">
        <v>61</v>
      </c>
      <c r="Q310" t="s">
        <v>175</v>
      </c>
      <c r="R310" t="s">
        <v>670</v>
      </c>
      <c r="S310">
        <v>61554</v>
      </c>
      <c r="T310" s="1">
        <v>42061</v>
      </c>
      <c r="U310" s="1">
        <v>42062</v>
      </c>
      <c r="V310" s="2">
        <v>-269.08440000000002</v>
      </c>
      <c r="W310">
        <v>1</v>
      </c>
      <c r="X310" s="2">
        <v>405.57</v>
      </c>
      <c r="Y310">
        <v>86556</v>
      </c>
      <c r="Z310">
        <f t="shared" si="4"/>
        <v>405.57</v>
      </c>
    </row>
    <row r="311" spans="1:26" x14ac:dyDescent="0.25">
      <c r="A311">
        <v>21325</v>
      </c>
      <c r="B311" t="s">
        <v>106</v>
      </c>
      <c r="C311" s="2">
        <v>0.06</v>
      </c>
      <c r="D311" s="2">
        <v>4.4800000000000004</v>
      </c>
      <c r="E311" s="2">
        <v>49</v>
      </c>
      <c r="F311">
        <v>576</v>
      </c>
      <c r="G311" t="s">
        <v>671</v>
      </c>
      <c r="H311" t="s">
        <v>49</v>
      </c>
      <c r="I311" t="s">
        <v>28</v>
      </c>
      <c r="J311" t="s">
        <v>29</v>
      </c>
      <c r="K311" t="s">
        <v>252</v>
      </c>
      <c r="L311" t="s">
        <v>231</v>
      </c>
      <c r="M311" t="s">
        <v>672</v>
      </c>
      <c r="N311">
        <v>0.6</v>
      </c>
      <c r="O311" t="s">
        <v>33</v>
      </c>
      <c r="P311" t="s">
        <v>34</v>
      </c>
      <c r="Q311" t="s">
        <v>45</v>
      </c>
      <c r="R311" t="s">
        <v>673</v>
      </c>
      <c r="S311">
        <v>91767</v>
      </c>
      <c r="T311" s="1">
        <v>42017</v>
      </c>
      <c r="U311" s="1">
        <v>42021</v>
      </c>
      <c r="V311" s="2">
        <v>-566</v>
      </c>
      <c r="W311">
        <v>4</v>
      </c>
      <c r="X311" s="2">
        <v>32.6</v>
      </c>
      <c r="Y311">
        <v>88645</v>
      </c>
      <c r="Z311">
        <f t="shared" si="4"/>
        <v>130.4</v>
      </c>
    </row>
    <row r="312" spans="1:26" x14ac:dyDescent="0.25">
      <c r="A312">
        <v>18664</v>
      </c>
      <c r="B312" t="s">
        <v>56</v>
      </c>
      <c r="C312" s="2">
        <v>0.03</v>
      </c>
      <c r="D312" s="2">
        <v>162.93</v>
      </c>
      <c r="E312" s="2">
        <v>19.989999999999998</v>
      </c>
      <c r="F312">
        <v>578</v>
      </c>
      <c r="G312" t="s">
        <v>674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675</v>
      </c>
      <c r="N312">
        <v>0.39</v>
      </c>
      <c r="O312" t="s">
        <v>33</v>
      </c>
      <c r="P312" t="s">
        <v>53</v>
      </c>
      <c r="Q312" t="s">
        <v>223</v>
      </c>
      <c r="R312" t="s">
        <v>676</v>
      </c>
      <c r="S312">
        <v>6770</v>
      </c>
      <c r="T312" s="1">
        <v>42137</v>
      </c>
      <c r="U312" s="1">
        <v>42138</v>
      </c>
      <c r="V312" s="2">
        <v>293.14</v>
      </c>
      <c r="W312">
        <v>3</v>
      </c>
      <c r="X312" s="2">
        <v>515.88</v>
      </c>
      <c r="Y312">
        <v>88644</v>
      </c>
      <c r="Z312">
        <f t="shared" si="4"/>
        <v>1547.6399999999999</v>
      </c>
    </row>
    <row r="313" spans="1:26" x14ac:dyDescent="0.25">
      <c r="A313">
        <v>18665</v>
      </c>
      <c r="B313" t="s">
        <v>56</v>
      </c>
      <c r="C313" s="2">
        <v>0.01</v>
      </c>
      <c r="D313" s="2">
        <v>11.58</v>
      </c>
      <c r="E313" s="2">
        <v>5.72</v>
      </c>
      <c r="F313">
        <v>579</v>
      </c>
      <c r="G313" t="s">
        <v>677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678</v>
      </c>
      <c r="N313">
        <v>0.35</v>
      </c>
      <c r="O313" t="s">
        <v>33</v>
      </c>
      <c r="P313" t="s">
        <v>53</v>
      </c>
      <c r="Q313" t="s">
        <v>223</v>
      </c>
      <c r="R313" t="s">
        <v>679</v>
      </c>
      <c r="S313">
        <v>6478</v>
      </c>
      <c r="T313" s="1">
        <v>42137</v>
      </c>
      <c r="U313" s="1">
        <v>42139</v>
      </c>
      <c r="V313" s="2">
        <v>-6.61</v>
      </c>
      <c r="W313">
        <v>2</v>
      </c>
      <c r="X313" s="2">
        <v>25.06</v>
      </c>
      <c r="Y313">
        <v>88644</v>
      </c>
      <c r="Z313">
        <f t="shared" si="4"/>
        <v>50.12</v>
      </c>
    </row>
    <row r="314" spans="1:26" x14ac:dyDescent="0.25">
      <c r="A314">
        <v>18662</v>
      </c>
      <c r="B314" t="s">
        <v>56</v>
      </c>
      <c r="C314" s="2">
        <v>0.01</v>
      </c>
      <c r="D314" s="2">
        <v>55.99</v>
      </c>
      <c r="E314" s="2">
        <v>5</v>
      </c>
      <c r="F314">
        <v>580</v>
      </c>
      <c r="G314" t="s">
        <v>680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681</v>
      </c>
      <c r="N314">
        <v>0.8</v>
      </c>
      <c r="O314" t="s">
        <v>33</v>
      </c>
      <c r="P314" t="s">
        <v>53</v>
      </c>
      <c r="Q314" t="s">
        <v>184</v>
      </c>
      <c r="R314" t="s">
        <v>504</v>
      </c>
      <c r="S314">
        <v>4210</v>
      </c>
      <c r="T314" s="1">
        <v>42137</v>
      </c>
      <c r="U314" s="1">
        <v>42138</v>
      </c>
      <c r="V314" s="2">
        <v>-57.540999999999997</v>
      </c>
      <c r="W314">
        <v>12</v>
      </c>
      <c r="X314" s="2">
        <v>578.24</v>
      </c>
      <c r="Y314">
        <v>88644</v>
      </c>
      <c r="Z314">
        <f t="shared" si="4"/>
        <v>6938.88</v>
      </c>
    </row>
    <row r="315" spans="1:26" x14ac:dyDescent="0.25">
      <c r="A315">
        <v>24180</v>
      </c>
      <c r="B315" t="s">
        <v>37</v>
      </c>
      <c r="C315" s="2">
        <v>0.04</v>
      </c>
      <c r="D315" s="2">
        <v>15.51</v>
      </c>
      <c r="E315" s="2">
        <v>17.78</v>
      </c>
      <c r="F315">
        <v>584</v>
      </c>
      <c r="G315" t="s">
        <v>682</v>
      </c>
      <c r="H315" t="s">
        <v>49</v>
      </c>
      <c r="I315" t="s">
        <v>28</v>
      </c>
      <c r="J315" t="s">
        <v>29</v>
      </c>
      <c r="K315" t="s">
        <v>139</v>
      </c>
      <c r="L315" t="s">
        <v>59</v>
      </c>
      <c r="M315" t="s">
        <v>683</v>
      </c>
      <c r="N315">
        <v>0.59</v>
      </c>
      <c r="O315" t="s">
        <v>33</v>
      </c>
      <c r="P315" t="s">
        <v>53</v>
      </c>
      <c r="Q315" t="s">
        <v>189</v>
      </c>
      <c r="R315" t="s">
        <v>684</v>
      </c>
      <c r="S315">
        <v>1801</v>
      </c>
      <c r="T315" s="1">
        <v>42025</v>
      </c>
      <c r="U315" s="1">
        <v>42027</v>
      </c>
      <c r="V315" s="2">
        <v>-266.22000000000003</v>
      </c>
      <c r="W315">
        <v>7</v>
      </c>
      <c r="X315" s="2">
        <v>116.93</v>
      </c>
      <c r="Y315">
        <v>88646</v>
      </c>
      <c r="Z315">
        <f t="shared" si="4"/>
        <v>818.51</v>
      </c>
    </row>
    <row r="316" spans="1:26" x14ac:dyDescent="0.25">
      <c r="A316">
        <v>18663</v>
      </c>
      <c r="B316" t="s">
        <v>56</v>
      </c>
      <c r="C316" s="2">
        <v>0.06</v>
      </c>
      <c r="D316" s="2">
        <v>13.9</v>
      </c>
      <c r="E316" s="2">
        <v>7.59</v>
      </c>
      <c r="F316">
        <v>585</v>
      </c>
      <c r="G316" t="s">
        <v>685</v>
      </c>
      <c r="H316" t="s">
        <v>49</v>
      </c>
      <c r="I316" t="s">
        <v>28</v>
      </c>
      <c r="J316" t="s">
        <v>29</v>
      </c>
      <c r="K316" t="s">
        <v>171</v>
      </c>
      <c r="L316" t="s">
        <v>51</v>
      </c>
      <c r="M316" t="s">
        <v>686</v>
      </c>
      <c r="N316">
        <v>0.56000000000000005</v>
      </c>
      <c r="O316" t="s">
        <v>33</v>
      </c>
      <c r="P316" t="s">
        <v>53</v>
      </c>
      <c r="Q316" t="s">
        <v>193</v>
      </c>
      <c r="R316" t="s">
        <v>687</v>
      </c>
      <c r="S316">
        <v>3301</v>
      </c>
      <c r="T316" s="1">
        <v>42137</v>
      </c>
      <c r="U316" s="1">
        <v>42138</v>
      </c>
      <c r="V316" s="2">
        <v>-67.59</v>
      </c>
      <c r="W316">
        <v>12</v>
      </c>
      <c r="X316" s="2">
        <v>170.45</v>
      </c>
      <c r="Y316">
        <v>88644</v>
      </c>
      <c r="Z316">
        <f t="shared" si="4"/>
        <v>2045.3999999999999</v>
      </c>
    </row>
    <row r="317" spans="1:26" x14ac:dyDescent="0.25">
      <c r="A317">
        <v>19781</v>
      </c>
      <c r="B317" t="s">
        <v>47</v>
      </c>
      <c r="C317" s="2">
        <v>0.08</v>
      </c>
      <c r="D317" s="2">
        <v>30.53</v>
      </c>
      <c r="E317" s="2">
        <v>19.989999999999998</v>
      </c>
      <c r="F317">
        <v>592</v>
      </c>
      <c r="G317" t="s">
        <v>688</v>
      </c>
      <c r="H317" t="s">
        <v>49</v>
      </c>
      <c r="I317" t="s">
        <v>58</v>
      </c>
      <c r="J317" t="s">
        <v>29</v>
      </c>
      <c r="K317" t="s">
        <v>133</v>
      </c>
      <c r="L317" t="s">
        <v>59</v>
      </c>
      <c r="M317" t="s">
        <v>689</v>
      </c>
      <c r="N317">
        <v>0.39</v>
      </c>
      <c r="O317" t="s">
        <v>33</v>
      </c>
      <c r="P317" t="s">
        <v>61</v>
      </c>
      <c r="Q317" t="s">
        <v>175</v>
      </c>
      <c r="R317" t="s">
        <v>690</v>
      </c>
      <c r="S317">
        <v>60091</v>
      </c>
      <c r="T317" s="1">
        <v>42021</v>
      </c>
      <c r="U317" s="1">
        <v>42021</v>
      </c>
      <c r="V317" s="2">
        <v>-239.8656</v>
      </c>
      <c r="W317">
        <v>10</v>
      </c>
      <c r="X317" s="2">
        <v>285.87</v>
      </c>
      <c r="Y317">
        <v>86307</v>
      </c>
      <c r="Z317">
        <f t="shared" si="4"/>
        <v>2858.7</v>
      </c>
    </row>
    <row r="318" spans="1:26" x14ac:dyDescent="0.25">
      <c r="A318">
        <v>19782</v>
      </c>
      <c r="B318" t="s">
        <v>47</v>
      </c>
      <c r="C318" s="2">
        <v>0.01</v>
      </c>
      <c r="D318" s="2">
        <v>1.68</v>
      </c>
      <c r="E318" s="2">
        <v>1.57</v>
      </c>
      <c r="F318">
        <v>593</v>
      </c>
      <c r="G318" t="s">
        <v>691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175</v>
      </c>
      <c r="R318" t="s">
        <v>692</v>
      </c>
      <c r="S318">
        <v>60517</v>
      </c>
      <c r="T318" s="1">
        <v>42021</v>
      </c>
      <c r="U318" s="1">
        <v>42023</v>
      </c>
      <c r="V318" s="2">
        <v>-53.444000000000003</v>
      </c>
      <c r="W318">
        <v>12</v>
      </c>
      <c r="X318" s="2">
        <v>20.37</v>
      </c>
      <c r="Y318">
        <v>86307</v>
      </c>
      <c r="Z318">
        <f t="shared" si="4"/>
        <v>244.44</v>
      </c>
    </row>
    <row r="319" spans="1:26" x14ac:dyDescent="0.25">
      <c r="A319">
        <v>22996</v>
      </c>
      <c r="B319" t="s">
        <v>47</v>
      </c>
      <c r="C319" s="2">
        <v>0.09</v>
      </c>
      <c r="D319" s="2">
        <v>13.79</v>
      </c>
      <c r="E319" s="2">
        <v>8.7799999999999994</v>
      </c>
      <c r="F319">
        <v>594</v>
      </c>
      <c r="G319" t="s">
        <v>693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694</v>
      </c>
      <c r="N319">
        <v>0.43</v>
      </c>
      <c r="O319" t="s">
        <v>33</v>
      </c>
      <c r="P319" t="s">
        <v>61</v>
      </c>
      <c r="Q319" t="s">
        <v>695</v>
      </c>
      <c r="R319" t="s">
        <v>696</v>
      </c>
      <c r="S319">
        <v>46016</v>
      </c>
      <c r="T319" s="1">
        <v>42078</v>
      </c>
      <c r="U319" s="1">
        <v>42080</v>
      </c>
      <c r="V319" s="2">
        <v>-22.12</v>
      </c>
      <c r="W319">
        <v>1</v>
      </c>
      <c r="X319" s="2">
        <v>17.440000000000001</v>
      </c>
      <c r="Y319">
        <v>86309</v>
      </c>
      <c r="Z319">
        <f t="shared" si="4"/>
        <v>17.440000000000001</v>
      </c>
    </row>
    <row r="320" spans="1:26" x14ac:dyDescent="0.25">
      <c r="A320">
        <v>21662</v>
      </c>
      <c r="B320" t="s">
        <v>47</v>
      </c>
      <c r="C320" s="2">
        <v>0.04</v>
      </c>
      <c r="D320" s="2">
        <v>39.479999999999997</v>
      </c>
      <c r="E320" s="2">
        <v>1.99</v>
      </c>
      <c r="F320">
        <v>594</v>
      </c>
      <c r="G320" t="s">
        <v>693</v>
      </c>
      <c r="H320" t="s">
        <v>49</v>
      </c>
      <c r="I320" t="s">
        <v>114</v>
      </c>
      <c r="J320" t="s">
        <v>77</v>
      </c>
      <c r="K320" t="s">
        <v>177</v>
      </c>
      <c r="L320" t="s">
        <v>51</v>
      </c>
      <c r="M320" t="s">
        <v>697</v>
      </c>
      <c r="N320">
        <v>0.54</v>
      </c>
      <c r="O320" t="s">
        <v>33</v>
      </c>
      <c r="P320" t="s">
        <v>61</v>
      </c>
      <c r="Q320" t="s">
        <v>695</v>
      </c>
      <c r="R320" t="s">
        <v>696</v>
      </c>
      <c r="S320">
        <v>46016</v>
      </c>
      <c r="T320" s="1">
        <v>42174</v>
      </c>
      <c r="U320" s="1">
        <v>42177</v>
      </c>
      <c r="V320" s="2">
        <v>484.8492</v>
      </c>
      <c r="W320">
        <v>18</v>
      </c>
      <c r="X320" s="2">
        <v>702.68</v>
      </c>
      <c r="Y320">
        <v>86311</v>
      </c>
      <c r="Z320">
        <f t="shared" si="4"/>
        <v>12648.24</v>
      </c>
    </row>
    <row r="321" spans="1:26" x14ac:dyDescent="0.25">
      <c r="A321">
        <v>21663</v>
      </c>
      <c r="B321" t="s">
        <v>47</v>
      </c>
      <c r="C321" s="2">
        <v>0.04</v>
      </c>
      <c r="D321" s="2">
        <v>3.7</v>
      </c>
      <c r="E321" s="2">
        <v>1.61</v>
      </c>
      <c r="F321">
        <v>594</v>
      </c>
      <c r="G321" t="s">
        <v>693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698</v>
      </c>
      <c r="N321">
        <v>0.44</v>
      </c>
      <c r="O321" t="s">
        <v>33</v>
      </c>
      <c r="P321" t="s">
        <v>61</v>
      </c>
      <c r="Q321" t="s">
        <v>695</v>
      </c>
      <c r="R321" t="s">
        <v>696</v>
      </c>
      <c r="S321">
        <v>46016</v>
      </c>
      <c r="T321" s="1">
        <v>42174</v>
      </c>
      <c r="U321" s="1">
        <v>42175</v>
      </c>
      <c r="V321" s="2">
        <v>18</v>
      </c>
      <c r="W321">
        <v>18</v>
      </c>
      <c r="X321" s="2">
        <v>67.239999999999995</v>
      </c>
      <c r="Y321">
        <v>86311</v>
      </c>
      <c r="Z321">
        <f t="shared" si="4"/>
        <v>1210.32</v>
      </c>
    </row>
    <row r="322" spans="1:26" x14ac:dyDescent="0.25">
      <c r="A322">
        <v>24480</v>
      </c>
      <c r="B322" t="s">
        <v>47</v>
      </c>
      <c r="C322" s="2">
        <v>0.03</v>
      </c>
      <c r="D322" s="2">
        <v>3.8</v>
      </c>
      <c r="E322" s="2">
        <v>1.49</v>
      </c>
      <c r="F322">
        <v>596</v>
      </c>
      <c r="G322" t="s">
        <v>699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124</v>
      </c>
      <c r="N322">
        <v>0.38</v>
      </c>
      <c r="O322" t="s">
        <v>33</v>
      </c>
      <c r="P322" t="s">
        <v>61</v>
      </c>
      <c r="Q322" t="s">
        <v>695</v>
      </c>
      <c r="R322" t="s">
        <v>700</v>
      </c>
      <c r="S322">
        <v>46032</v>
      </c>
      <c r="T322" s="1">
        <v>42050</v>
      </c>
      <c r="U322" s="1">
        <v>42052</v>
      </c>
      <c r="V322" s="2">
        <v>15.2745</v>
      </c>
      <c r="W322">
        <v>6</v>
      </c>
      <c r="X322" s="2">
        <v>24.27</v>
      </c>
      <c r="Y322">
        <v>86308</v>
      </c>
      <c r="Z322">
        <f t="shared" si="4"/>
        <v>145.62</v>
      </c>
    </row>
    <row r="323" spans="1:26" x14ac:dyDescent="0.25">
      <c r="A323">
        <v>24481</v>
      </c>
      <c r="B323" t="s">
        <v>47</v>
      </c>
      <c r="C323" s="2">
        <v>7.0000000000000007E-2</v>
      </c>
      <c r="D323" s="2">
        <v>7.98</v>
      </c>
      <c r="E323" s="2">
        <v>1.25</v>
      </c>
      <c r="F323">
        <v>596</v>
      </c>
      <c r="G323" t="s">
        <v>699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701</v>
      </c>
      <c r="N323">
        <v>0.35</v>
      </c>
      <c r="O323" t="s">
        <v>33</v>
      </c>
      <c r="P323" t="s">
        <v>61</v>
      </c>
      <c r="Q323" t="s">
        <v>695</v>
      </c>
      <c r="R323" t="s">
        <v>700</v>
      </c>
      <c r="S323">
        <v>46032</v>
      </c>
      <c r="T323" s="1">
        <v>42050</v>
      </c>
      <c r="U323" s="1">
        <v>42052</v>
      </c>
      <c r="V323" s="2">
        <v>26.585699999999999</v>
      </c>
      <c r="W323">
        <v>5</v>
      </c>
      <c r="X323" s="2">
        <v>38.53</v>
      </c>
      <c r="Y323">
        <v>86308</v>
      </c>
      <c r="Z323">
        <f t="shared" ref="Z323:Z386" si="5">W323*X323</f>
        <v>192.65</v>
      </c>
    </row>
    <row r="324" spans="1:26" x14ac:dyDescent="0.25">
      <c r="A324">
        <v>24482</v>
      </c>
      <c r="B324" t="s">
        <v>47</v>
      </c>
      <c r="C324" s="2">
        <v>7.0000000000000007E-2</v>
      </c>
      <c r="D324" s="2">
        <v>417.4</v>
      </c>
      <c r="E324" s="2">
        <v>75.23</v>
      </c>
      <c r="F324">
        <v>596</v>
      </c>
      <c r="G324" t="s">
        <v>699</v>
      </c>
      <c r="H324" t="s">
        <v>39</v>
      </c>
      <c r="I324" t="s">
        <v>114</v>
      </c>
      <c r="J324" t="s">
        <v>41</v>
      </c>
      <c r="K324" t="s">
        <v>150</v>
      </c>
      <c r="L324" t="s">
        <v>120</v>
      </c>
      <c r="M324" t="s">
        <v>702</v>
      </c>
      <c r="N324">
        <v>0.79</v>
      </c>
      <c r="O324" t="s">
        <v>33</v>
      </c>
      <c r="P324" t="s">
        <v>61</v>
      </c>
      <c r="Q324" t="s">
        <v>695</v>
      </c>
      <c r="R324" t="s">
        <v>700</v>
      </c>
      <c r="S324">
        <v>46032</v>
      </c>
      <c r="T324" s="1">
        <v>42050</v>
      </c>
      <c r="U324" s="1">
        <v>42051</v>
      </c>
      <c r="V324" s="2">
        <v>-575.35199999999998</v>
      </c>
      <c r="W324">
        <v>12</v>
      </c>
      <c r="X324" s="2">
        <v>4910.72</v>
      </c>
      <c r="Y324">
        <v>86308</v>
      </c>
      <c r="Z324">
        <f t="shared" si="5"/>
        <v>58928.639999999999</v>
      </c>
    </row>
    <row r="325" spans="1:26" x14ac:dyDescent="0.25">
      <c r="A325">
        <v>25949</v>
      </c>
      <c r="B325" t="s">
        <v>37</v>
      </c>
      <c r="C325" s="2">
        <v>0.1</v>
      </c>
      <c r="D325" s="2">
        <v>6.48</v>
      </c>
      <c r="E325" s="2">
        <v>5.9</v>
      </c>
      <c r="F325">
        <v>597</v>
      </c>
      <c r="G325" t="s">
        <v>703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704</v>
      </c>
      <c r="N325">
        <v>0.37</v>
      </c>
      <c r="O325" t="s">
        <v>33</v>
      </c>
      <c r="P325" t="s">
        <v>61</v>
      </c>
      <c r="Q325" t="s">
        <v>695</v>
      </c>
      <c r="R325" t="s">
        <v>437</v>
      </c>
      <c r="S325">
        <v>47201</v>
      </c>
      <c r="T325" s="1">
        <v>42165</v>
      </c>
      <c r="U325" s="1">
        <v>42165</v>
      </c>
      <c r="V325" s="2">
        <v>-51.634999999999998</v>
      </c>
      <c r="W325">
        <v>19</v>
      </c>
      <c r="X325" s="2">
        <v>116.8</v>
      </c>
      <c r="Y325">
        <v>86310</v>
      </c>
      <c r="Z325">
        <f t="shared" si="5"/>
        <v>2219.1999999999998</v>
      </c>
    </row>
    <row r="326" spans="1:26" x14ac:dyDescent="0.25">
      <c r="A326">
        <v>21274</v>
      </c>
      <c r="B326" t="s">
        <v>56</v>
      </c>
      <c r="C326" s="2">
        <v>0.06</v>
      </c>
      <c r="D326" s="2">
        <v>6.48</v>
      </c>
      <c r="E326" s="2">
        <v>7.37</v>
      </c>
      <c r="F326">
        <v>600</v>
      </c>
      <c r="G326" t="s">
        <v>705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706</v>
      </c>
      <c r="N326">
        <v>0.37</v>
      </c>
      <c r="O326" t="s">
        <v>33</v>
      </c>
      <c r="P326" t="s">
        <v>53</v>
      </c>
      <c r="Q326" t="s">
        <v>409</v>
      </c>
      <c r="R326" t="s">
        <v>707</v>
      </c>
      <c r="S326">
        <v>21136</v>
      </c>
      <c r="T326" s="1">
        <v>42076</v>
      </c>
      <c r="U326" s="1">
        <v>42077</v>
      </c>
      <c r="V326" s="2">
        <v>-75.44</v>
      </c>
      <c r="W326">
        <v>5</v>
      </c>
      <c r="X326" s="2">
        <v>32.39</v>
      </c>
      <c r="Y326">
        <v>87579</v>
      </c>
      <c r="Z326">
        <f t="shared" si="5"/>
        <v>161.94999999999999</v>
      </c>
    </row>
    <row r="327" spans="1:26" x14ac:dyDescent="0.25">
      <c r="A327">
        <v>20929</v>
      </c>
      <c r="B327" t="s">
        <v>37</v>
      </c>
      <c r="C327" s="2">
        <v>0.02</v>
      </c>
      <c r="D327" s="2">
        <v>35.99</v>
      </c>
      <c r="E327" s="2">
        <v>5</v>
      </c>
      <c r="F327">
        <v>603</v>
      </c>
      <c r="G327" t="s">
        <v>708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709</v>
      </c>
      <c r="N327">
        <v>0.85</v>
      </c>
      <c r="O327" t="s">
        <v>33</v>
      </c>
      <c r="P327" t="s">
        <v>34</v>
      </c>
      <c r="Q327" t="s">
        <v>250</v>
      </c>
      <c r="R327" t="s">
        <v>710</v>
      </c>
      <c r="S327">
        <v>81001</v>
      </c>
      <c r="T327" s="1">
        <v>42038</v>
      </c>
      <c r="U327" s="1">
        <v>42040</v>
      </c>
      <c r="V327" s="2">
        <v>-120.934</v>
      </c>
      <c r="W327">
        <v>7</v>
      </c>
      <c r="X327" s="2">
        <v>227.79</v>
      </c>
      <c r="Y327">
        <v>87020</v>
      </c>
      <c r="Z327">
        <f t="shared" si="5"/>
        <v>1594.53</v>
      </c>
    </row>
    <row r="328" spans="1:26" x14ac:dyDescent="0.25">
      <c r="A328">
        <v>4015</v>
      </c>
      <c r="B328" t="s">
        <v>47</v>
      </c>
      <c r="C328" s="2">
        <v>0.09</v>
      </c>
      <c r="D328" s="2">
        <v>154.13</v>
      </c>
      <c r="E328" s="2">
        <v>69</v>
      </c>
      <c r="F328">
        <v>604</v>
      </c>
      <c r="G328" t="s">
        <v>711</v>
      </c>
      <c r="H328" t="s">
        <v>27</v>
      </c>
      <c r="I328" t="s">
        <v>28</v>
      </c>
      <c r="J328" t="s">
        <v>41</v>
      </c>
      <c r="K328" t="s">
        <v>150</v>
      </c>
      <c r="L328" t="s">
        <v>231</v>
      </c>
      <c r="M328" t="s">
        <v>232</v>
      </c>
      <c r="N328">
        <v>0.68</v>
      </c>
      <c r="O328" t="s">
        <v>33</v>
      </c>
      <c r="P328" t="s">
        <v>34</v>
      </c>
      <c r="Q328" t="s">
        <v>45</v>
      </c>
      <c r="R328" t="s">
        <v>655</v>
      </c>
      <c r="S328">
        <v>90045</v>
      </c>
      <c r="T328" s="1">
        <v>42077</v>
      </c>
      <c r="U328" s="1">
        <v>42078</v>
      </c>
      <c r="V328" s="2">
        <v>-1763.7476999999999</v>
      </c>
      <c r="W328">
        <v>38</v>
      </c>
      <c r="X328" s="2">
        <v>5679.59</v>
      </c>
      <c r="Y328">
        <v>28647</v>
      </c>
      <c r="Z328">
        <f t="shared" si="5"/>
        <v>215824.42</v>
      </c>
    </row>
    <row r="329" spans="1:26" x14ac:dyDescent="0.25">
      <c r="A329">
        <v>4903</v>
      </c>
      <c r="B329" t="s">
        <v>47</v>
      </c>
      <c r="C329" s="2">
        <v>0.03</v>
      </c>
      <c r="D329" s="2">
        <v>1.88</v>
      </c>
      <c r="E329" s="2">
        <v>1.49</v>
      </c>
      <c r="F329">
        <v>604</v>
      </c>
      <c r="G329" t="s">
        <v>711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267</v>
      </c>
      <c r="N329">
        <v>0.37</v>
      </c>
      <c r="O329" t="s">
        <v>33</v>
      </c>
      <c r="P329" t="s">
        <v>34</v>
      </c>
      <c r="Q329" t="s">
        <v>45</v>
      </c>
      <c r="R329" t="s">
        <v>655</v>
      </c>
      <c r="S329">
        <v>90045</v>
      </c>
      <c r="T329" s="1">
        <v>42028</v>
      </c>
      <c r="U329" s="1">
        <v>42029</v>
      </c>
      <c r="V329" s="2">
        <v>-15.099500000000001</v>
      </c>
      <c r="W329">
        <v>52</v>
      </c>
      <c r="X329" s="2">
        <v>102.32</v>
      </c>
      <c r="Y329">
        <v>34882</v>
      </c>
      <c r="Z329">
        <f t="shared" si="5"/>
        <v>5320.6399999999994</v>
      </c>
    </row>
    <row r="330" spans="1:26" x14ac:dyDescent="0.25">
      <c r="A330">
        <v>22015</v>
      </c>
      <c r="B330" t="s">
        <v>47</v>
      </c>
      <c r="C330" s="2">
        <v>0.09</v>
      </c>
      <c r="D330" s="2">
        <v>154.13</v>
      </c>
      <c r="E330" s="2">
        <v>69</v>
      </c>
      <c r="F330">
        <v>605</v>
      </c>
      <c r="G330" t="s">
        <v>712</v>
      </c>
      <c r="H330" t="s">
        <v>27</v>
      </c>
      <c r="I330" t="s">
        <v>28</v>
      </c>
      <c r="J330" t="s">
        <v>41</v>
      </c>
      <c r="K330" t="s">
        <v>150</v>
      </c>
      <c r="L330" t="s">
        <v>231</v>
      </c>
      <c r="M330" t="s">
        <v>232</v>
      </c>
      <c r="N330">
        <v>0.68</v>
      </c>
      <c r="O330" t="s">
        <v>33</v>
      </c>
      <c r="P330" t="s">
        <v>53</v>
      </c>
      <c r="Q330" t="s">
        <v>71</v>
      </c>
      <c r="R330" t="s">
        <v>713</v>
      </c>
      <c r="S330">
        <v>11795</v>
      </c>
      <c r="T330" s="1">
        <v>42077</v>
      </c>
      <c r="U330" s="1">
        <v>42078</v>
      </c>
      <c r="V330" s="2">
        <v>-1763.7476999999999</v>
      </c>
      <c r="W330">
        <v>10</v>
      </c>
      <c r="X330" s="2">
        <v>1494.63</v>
      </c>
      <c r="Y330">
        <v>91144</v>
      </c>
      <c r="Z330">
        <f t="shared" si="5"/>
        <v>14946.300000000001</v>
      </c>
    </row>
    <row r="331" spans="1:26" x14ac:dyDescent="0.25">
      <c r="A331">
        <v>18492</v>
      </c>
      <c r="B331" t="s">
        <v>37</v>
      </c>
      <c r="C331" s="2">
        <v>0.02</v>
      </c>
      <c r="D331" s="2">
        <v>15.57</v>
      </c>
      <c r="E331" s="2">
        <v>1.39</v>
      </c>
      <c r="F331">
        <v>617</v>
      </c>
      <c r="G331" t="s">
        <v>714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715</v>
      </c>
      <c r="N331">
        <v>0.38</v>
      </c>
      <c r="O331" t="s">
        <v>33</v>
      </c>
      <c r="P331" t="s">
        <v>34</v>
      </c>
      <c r="Q331" t="s">
        <v>250</v>
      </c>
      <c r="R331" t="s">
        <v>710</v>
      </c>
      <c r="S331">
        <v>81001</v>
      </c>
      <c r="T331" s="1">
        <v>42123</v>
      </c>
      <c r="U331" s="1">
        <v>42124</v>
      </c>
      <c r="V331" s="2">
        <v>23.5428</v>
      </c>
      <c r="W331">
        <v>3</v>
      </c>
      <c r="X331" s="2">
        <v>46.23</v>
      </c>
      <c r="Y331">
        <v>88198</v>
      </c>
      <c r="Z331">
        <f t="shared" si="5"/>
        <v>138.69</v>
      </c>
    </row>
    <row r="332" spans="1:26" x14ac:dyDescent="0.25">
      <c r="A332">
        <v>18493</v>
      </c>
      <c r="B332" t="s">
        <v>37</v>
      </c>
      <c r="C332" s="2">
        <v>0.02</v>
      </c>
      <c r="D332" s="2">
        <v>20.89</v>
      </c>
      <c r="E332" s="2">
        <v>11.52</v>
      </c>
      <c r="F332">
        <v>617</v>
      </c>
      <c r="G332" t="s">
        <v>714</v>
      </c>
      <c r="H332" t="s">
        <v>49</v>
      </c>
      <c r="I332" t="s">
        <v>114</v>
      </c>
      <c r="J332" t="s">
        <v>29</v>
      </c>
      <c r="K332" t="s">
        <v>139</v>
      </c>
      <c r="L332" t="s">
        <v>59</v>
      </c>
      <c r="M332" t="s">
        <v>716</v>
      </c>
      <c r="N332">
        <v>0.83</v>
      </c>
      <c r="O332" t="s">
        <v>33</v>
      </c>
      <c r="P332" t="s">
        <v>34</v>
      </c>
      <c r="Q332" t="s">
        <v>250</v>
      </c>
      <c r="R332" t="s">
        <v>710</v>
      </c>
      <c r="S332">
        <v>81001</v>
      </c>
      <c r="T332" s="1">
        <v>42123</v>
      </c>
      <c r="U332" s="1">
        <v>42124</v>
      </c>
      <c r="V332" s="2">
        <v>-276.11279999999999</v>
      </c>
      <c r="W332">
        <v>13</v>
      </c>
      <c r="X332" s="2">
        <v>279.27999999999997</v>
      </c>
      <c r="Y332">
        <v>88198</v>
      </c>
      <c r="Z332">
        <f t="shared" si="5"/>
        <v>3630.6399999999994</v>
      </c>
    </row>
    <row r="333" spans="1:26" x14ac:dyDescent="0.25">
      <c r="A333">
        <v>22196</v>
      </c>
      <c r="B333" t="s">
        <v>47</v>
      </c>
      <c r="C333" s="2">
        <v>0.06</v>
      </c>
      <c r="D333" s="2">
        <v>17.98</v>
      </c>
      <c r="E333" s="2">
        <v>4</v>
      </c>
      <c r="F333">
        <v>618</v>
      </c>
      <c r="G333" t="s">
        <v>717</v>
      </c>
      <c r="H333" t="s">
        <v>49</v>
      </c>
      <c r="I333" t="s">
        <v>114</v>
      </c>
      <c r="J333" t="s">
        <v>77</v>
      </c>
      <c r="K333" t="s">
        <v>177</v>
      </c>
      <c r="L333" t="s">
        <v>59</v>
      </c>
      <c r="M333" t="s">
        <v>178</v>
      </c>
      <c r="N333">
        <v>0.79</v>
      </c>
      <c r="O333" t="s">
        <v>33</v>
      </c>
      <c r="P333" t="s">
        <v>34</v>
      </c>
      <c r="Q333" t="s">
        <v>250</v>
      </c>
      <c r="R333" t="s">
        <v>718</v>
      </c>
      <c r="S333">
        <v>81007</v>
      </c>
      <c r="T333" s="1">
        <v>42087</v>
      </c>
      <c r="U333" s="1">
        <v>42088</v>
      </c>
      <c r="V333" s="2">
        <v>-78.13</v>
      </c>
      <c r="W333">
        <v>4</v>
      </c>
      <c r="X333" s="2">
        <v>70.06</v>
      </c>
      <c r="Y333">
        <v>88197</v>
      </c>
      <c r="Z333">
        <f t="shared" si="5"/>
        <v>280.24</v>
      </c>
    </row>
    <row r="334" spans="1:26" x14ac:dyDescent="0.25">
      <c r="A334">
        <v>18490</v>
      </c>
      <c r="B334" t="s">
        <v>37</v>
      </c>
      <c r="C334" s="2">
        <v>0.06</v>
      </c>
      <c r="D334" s="2">
        <v>5.38</v>
      </c>
      <c r="E334" s="2">
        <v>5.24</v>
      </c>
      <c r="F334">
        <v>618</v>
      </c>
      <c r="G334" t="s">
        <v>717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719</v>
      </c>
      <c r="N334">
        <v>0.36</v>
      </c>
      <c r="O334" t="s">
        <v>33</v>
      </c>
      <c r="P334" t="s">
        <v>34</v>
      </c>
      <c r="Q334" t="s">
        <v>250</v>
      </c>
      <c r="R334" t="s">
        <v>718</v>
      </c>
      <c r="S334">
        <v>81007</v>
      </c>
      <c r="T334" s="1">
        <v>42123</v>
      </c>
      <c r="U334" s="1">
        <v>42124</v>
      </c>
      <c r="V334" s="2">
        <v>-64.670940000000002</v>
      </c>
      <c r="W334">
        <v>14</v>
      </c>
      <c r="X334" s="2">
        <v>81.819999999999993</v>
      </c>
      <c r="Y334">
        <v>88198</v>
      </c>
      <c r="Z334">
        <f t="shared" si="5"/>
        <v>1145.48</v>
      </c>
    </row>
    <row r="335" spans="1:26" x14ac:dyDescent="0.25">
      <c r="A335">
        <v>18491</v>
      </c>
      <c r="B335" t="s">
        <v>37</v>
      </c>
      <c r="C335" s="2">
        <v>0.03</v>
      </c>
      <c r="D335" s="2">
        <v>7.35</v>
      </c>
      <c r="E335" s="2">
        <v>5.96</v>
      </c>
      <c r="F335">
        <v>618</v>
      </c>
      <c r="G335" t="s">
        <v>717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720</v>
      </c>
      <c r="N335">
        <v>0.38</v>
      </c>
      <c r="O335" t="s">
        <v>33</v>
      </c>
      <c r="P335" t="s">
        <v>34</v>
      </c>
      <c r="Q335" t="s">
        <v>250</v>
      </c>
      <c r="R335" t="s">
        <v>718</v>
      </c>
      <c r="S335">
        <v>81007</v>
      </c>
      <c r="T335" s="1">
        <v>42123</v>
      </c>
      <c r="U335" s="1">
        <v>42124</v>
      </c>
      <c r="V335" s="2">
        <v>-11.113200000000001</v>
      </c>
      <c r="W335">
        <v>1</v>
      </c>
      <c r="X335" s="2">
        <v>13.16</v>
      </c>
      <c r="Y335">
        <v>88198</v>
      </c>
      <c r="Z335">
        <f t="shared" si="5"/>
        <v>13.16</v>
      </c>
    </row>
    <row r="336" spans="1:26" x14ac:dyDescent="0.25">
      <c r="A336">
        <v>25539</v>
      </c>
      <c r="B336" t="s">
        <v>47</v>
      </c>
      <c r="C336" s="2">
        <v>0.03</v>
      </c>
      <c r="D336" s="2">
        <v>14.2</v>
      </c>
      <c r="E336" s="2">
        <v>5.3</v>
      </c>
      <c r="F336">
        <v>619</v>
      </c>
      <c r="G336" t="s">
        <v>721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722</v>
      </c>
      <c r="N336">
        <v>0.46</v>
      </c>
      <c r="O336" t="s">
        <v>33</v>
      </c>
      <c r="P336" t="s">
        <v>61</v>
      </c>
      <c r="Q336" t="s">
        <v>295</v>
      </c>
      <c r="R336" t="s">
        <v>723</v>
      </c>
      <c r="S336">
        <v>48195</v>
      </c>
      <c r="T336" s="1">
        <v>42011</v>
      </c>
      <c r="U336" s="1">
        <v>42012</v>
      </c>
      <c r="V336" s="2">
        <v>107.02</v>
      </c>
      <c r="W336">
        <v>14</v>
      </c>
      <c r="X336" s="2">
        <v>205.98</v>
      </c>
      <c r="Y336">
        <v>88196</v>
      </c>
      <c r="Z336">
        <f t="shared" si="5"/>
        <v>2883.72</v>
      </c>
    </row>
    <row r="337" spans="1:26" x14ac:dyDescent="0.25">
      <c r="A337">
        <v>22248</v>
      </c>
      <c r="B337" t="s">
        <v>56</v>
      </c>
      <c r="C337" s="2">
        <v>0.1</v>
      </c>
      <c r="D337" s="2">
        <v>6.88</v>
      </c>
      <c r="E337" s="2">
        <v>2</v>
      </c>
      <c r="F337">
        <v>621</v>
      </c>
      <c r="G337" t="s">
        <v>724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654</v>
      </c>
      <c r="N337">
        <v>0.39</v>
      </c>
      <c r="O337" t="s">
        <v>33</v>
      </c>
      <c r="P337" t="s">
        <v>53</v>
      </c>
      <c r="Q337" t="s">
        <v>223</v>
      </c>
      <c r="R337" t="s">
        <v>390</v>
      </c>
      <c r="S337">
        <v>6111</v>
      </c>
      <c r="T337" s="1">
        <v>42061</v>
      </c>
      <c r="U337" s="1">
        <v>42062</v>
      </c>
      <c r="V337" s="2">
        <v>18.420000000000002</v>
      </c>
      <c r="W337">
        <v>5</v>
      </c>
      <c r="X337" s="2">
        <v>31.46</v>
      </c>
      <c r="Y337">
        <v>91432</v>
      </c>
      <c r="Z337">
        <f t="shared" si="5"/>
        <v>157.30000000000001</v>
      </c>
    </row>
    <row r="338" spans="1:26" x14ac:dyDescent="0.25">
      <c r="A338">
        <v>22247</v>
      </c>
      <c r="B338" t="s">
        <v>56</v>
      </c>
      <c r="C338" s="2">
        <v>0.06</v>
      </c>
      <c r="D338" s="2">
        <v>195.99</v>
      </c>
      <c r="E338" s="2">
        <v>8.99</v>
      </c>
      <c r="F338">
        <v>622</v>
      </c>
      <c r="G338" t="s">
        <v>725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726</v>
      </c>
      <c r="N338">
        <v>0.6</v>
      </c>
      <c r="O338" t="s">
        <v>33</v>
      </c>
      <c r="P338" t="s">
        <v>53</v>
      </c>
      <c r="Q338" t="s">
        <v>184</v>
      </c>
      <c r="R338" t="s">
        <v>504</v>
      </c>
      <c r="S338">
        <v>4210</v>
      </c>
      <c r="T338" s="1">
        <v>42061</v>
      </c>
      <c r="U338" s="1">
        <v>42063</v>
      </c>
      <c r="V338" s="2">
        <v>349.47</v>
      </c>
      <c r="W338">
        <v>6</v>
      </c>
      <c r="X338" s="2">
        <v>948.97</v>
      </c>
      <c r="Y338">
        <v>91432</v>
      </c>
      <c r="Z338">
        <f t="shared" si="5"/>
        <v>5693.82</v>
      </c>
    </row>
    <row r="339" spans="1:26" x14ac:dyDescent="0.25">
      <c r="A339">
        <v>24880</v>
      </c>
      <c r="B339" t="s">
        <v>25</v>
      </c>
      <c r="C339" s="2">
        <v>0.05</v>
      </c>
      <c r="D339" s="2">
        <v>6.48</v>
      </c>
      <c r="E339" s="2">
        <v>8.4</v>
      </c>
      <c r="F339">
        <v>623</v>
      </c>
      <c r="G339" t="s">
        <v>727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728</v>
      </c>
      <c r="N339">
        <v>0.37</v>
      </c>
      <c r="O339" t="s">
        <v>33</v>
      </c>
      <c r="P339" t="s">
        <v>53</v>
      </c>
      <c r="Q339" t="s">
        <v>193</v>
      </c>
      <c r="R339" t="s">
        <v>729</v>
      </c>
      <c r="S339">
        <v>3101</v>
      </c>
      <c r="T339" s="1">
        <v>42095</v>
      </c>
      <c r="U339" s="1">
        <v>42097</v>
      </c>
      <c r="V339" s="2">
        <v>-226.34639999999999</v>
      </c>
      <c r="W339">
        <v>21</v>
      </c>
      <c r="X339" s="2">
        <v>136.99</v>
      </c>
      <c r="Y339">
        <v>91433</v>
      </c>
      <c r="Z339">
        <f t="shared" si="5"/>
        <v>2876.79</v>
      </c>
    </row>
    <row r="340" spans="1:26" x14ac:dyDescent="0.25">
      <c r="A340">
        <v>24881</v>
      </c>
      <c r="B340" t="s">
        <v>25</v>
      </c>
      <c r="C340" s="2">
        <v>0.05</v>
      </c>
      <c r="D340" s="2">
        <v>55.99</v>
      </c>
      <c r="E340" s="2">
        <v>5</v>
      </c>
      <c r="F340">
        <v>624</v>
      </c>
      <c r="G340" t="s">
        <v>730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681</v>
      </c>
      <c r="N340">
        <v>0.8</v>
      </c>
      <c r="O340" t="s">
        <v>33</v>
      </c>
      <c r="P340" t="s">
        <v>53</v>
      </c>
      <c r="Q340" t="s">
        <v>147</v>
      </c>
      <c r="R340" t="s">
        <v>731</v>
      </c>
      <c r="S340">
        <v>5701</v>
      </c>
      <c r="T340" s="1">
        <v>42095</v>
      </c>
      <c r="U340" s="1">
        <v>42095</v>
      </c>
      <c r="V340" s="2">
        <v>-281.17583999999999</v>
      </c>
      <c r="W340">
        <v>2</v>
      </c>
      <c r="X340" s="2">
        <v>99.36</v>
      </c>
      <c r="Y340">
        <v>91433</v>
      </c>
      <c r="Z340">
        <f t="shared" si="5"/>
        <v>198.72</v>
      </c>
    </row>
    <row r="341" spans="1:26" x14ac:dyDescent="0.25">
      <c r="A341">
        <v>21718</v>
      </c>
      <c r="B341" t="s">
        <v>56</v>
      </c>
      <c r="C341" s="2">
        <v>0.02</v>
      </c>
      <c r="D341" s="2">
        <v>419.19</v>
      </c>
      <c r="E341" s="2">
        <v>19.989999999999998</v>
      </c>
      <c r="F341">
        <v>627</v>
      </c>
      <c r="G341" t="s">
        <v>732</v>
      </c>
      <c r="H341" t="s">
        <v>49</v>
      </c>
      <c r="I341" t="s">
        <v>28</v>
      </c>
      <c r="J341" t="s">
        <v>29</v>
      </c>
      <c r="K341" t="s">
        <v>139</v>
      </c>
      <c r="L341" t="s">
        <v>59</v>
      </c>
      <c r="M341" t="s">
        <v>733</v>
      </c>
      <c r="N341">
        <v>0.57999999999999996</v>
      </c>
      <c r="O341" t="s">
        <v>33</v>
      </c>
      <c r="P341" t="s">
        <v>53</v>
      </c>
      <c r="Q341" t="s">
        <v>152</v>
      </c>
      <c r="R341" t="s">
        <v>734</v>
      </c>
      <c r="S341">
        <v>43952</v>
      </c>
      <c r="T341" s="1">
        <v>42115</v>
      </c>
      <c r="U341" s="1">
        <v>42116</v>
      </c>
      <c r="V341" s="2">
        <v>6610.2</v>
      </c>
      <c r="W341">
        <v>22</v>
      </c>
      <c r="X341" s="2">
        <v>9580</v>
      </c>
      <c r="Y341">
        <v>90469</v>
      </c>
      <c r="Z341">
        <f t="shared" si="5"/>
        <v>210760</v>
      </c>
    </row>
    <row r="342" spans="1:26" x14ac:dyDescent="0.25">
      <c r="A342">
        <v>19364</v>
      </c>
      <c r="B342" t="s">
        <v>25</v>
      </c>
      <c r="C342" s="2">
        <v>0.01</v>
      </c>
      <c r="D342" s="2">
        <v>2.08</v>
      </c>
      <c r="E342" s="2">
        <v>5.33</v>
      </c>
      <c r="F342">
        <v>635</v>
      </c>
      <c r="G342" t="s">
        <v>735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736</v>
      </c>
      <c r="N342">
        <v>0.43</v>
      </c>
      <c r="O342" t="s">
        <v>33</v>
      </c>
      <c r="P342" t="s">
        <v>61</v>
      </c>
      <c r="Q342" t="s">
        <v>62</v>
      </c>
      <c r="R342" t="s">
        <v>737</v>
      </c>
      <c r="S342">
        <v>55106</v>
      </c>
      <c r="T342" s="1">
        <v>42099</v>
      </c>
      <c r="U342" s="1">
        <v>42099</v>
      </c>
      <c r="V342" s="2">
        <v>-103.7124</v>
      </c>
      <c r="W342">
        <v>12</v>
      </c>
      <c r="X342" s="2">
        <v>28.32</v>
      </c>
      <c r="Y342">
        <v>89284</v>
      </c>
      <c r="Z342">
        <f t="shared" si="5"/>
        <v>339.84000000000003</v>
      </c>
    </row>
    <row r="343" spans="1:26" x14ac:dyDescent="0.25">
      <c r="A343">
        <v>19365</v>
      </c>
      <c r="B343" t="s">
        <v>25</v>
      </c>
      <c r="C343" s="2">
        <v>0.03</v>
      </c>
      <c r="D343" s="2">
        <v>370.98</v>
      </c>
      <c r="E343" s="2">
        <v>99</v>
      </c>
      <c r="F343">
        <v>635</v>
      </c>
      <c r="G343" t="s">
        <v>735</v>
      </c>
      <c r="H343" t="s">
        <v>39</v>
      </c>
      <c r="I343" t="s">
        <v>28</v>
      </c>
      <c r="J343" t="s">
        <v>29</v>
      </c>
      <c r="K343" t="s">
        <v>139</v>
      </c>
      <c r="L343" t="s">
        <v>43</v>
      </c>
      <c r="M343" t="s">
        <v>738</v>
      </c>
      <c r="N343">
        <v>0.65</v>
      </c>
      <c r="O343" t="s">
        <v>33</v>
      </c>
      <c r="P343" t="s">
        <v>61</v>
      </c>
      <c r="Q343" t="s">
        <v>62</v>
      </c>
      <c r="R343" t="s">
        <v>737</v>
      </c>
      <c r="S343">
        <v>55106</v>
      </c>
      <c r="T343" s="1">
        <v>42099</v>
      </c>
      <c r="U343" s="1">
        <v>42100</v>
      </c>
      <c r="V343" s="2">
        <v>-124.2864</v>
      </c>
      <c r="W343">
        <v>6</v>
      </c>
      <c r="X343" s="2">
        <v>2309.4899999999998</v>
      </c>
      <c r="Y343">
        <v>89284</v>
      </c>
      <c r="Z343">
        <f t="shared" si="5"/>
        <v>13856.939999999999</v>
      </c>
    </row>
    <row r="344" spans="1:26" x14ac:dyDescent="0.25">
      <c r="A344">
        <v>19539</v>
      </c>
      <c r="B344" t="s">
        <v>106</v>
      </c>
      <c r="C344" s="2">
        <v>0.06</v>
      </c>
      <c r="D344" s="2">
        <v>160.97999999999999</v>
      </c>
      <c r="E344" s="2">
        <v>35.020000000000003</v>
      </c>
      <c r="F344">
        <v>637</v>
      </c>
      <c r="G344" t="s">
        <v>739</v>
      </c>
      <c r="H344" t="s">
        <v>39</v>
      </c>
      <c r="I344" t="s">
        <v>114</v>
      </c>
      <c r="J344" t="s">
        <v>41</v>
      </c>
      <c r="K344" t="s">
        <v>187</v>
      </c>
      <c r="L344" t="s">
        <v>120</v>
      </c>
      <c r="M344" t="s">
        <v>740</v>
      </c>
      <c r="N344">
        <v>0.72</v>
      </c>
      <c r="O344" t="s">
        <v>33</v>
      </c>
      <c r="P344" t="s">
        <v>34</v>
      </c>
      <c r="Q344" t="s">
        <v>45</v>
      </c>
      <c r="R344" t="s">
        <v>741</v>
      </c>
      <c r="S344">
        <v>95051</v>
      </c>
      <c r="T344" s="1">
        <v>42083</v>
      </c>
      <c r="U344" s="1">
        <v>42087</v>
      </c>
      <c r="V344" s="2">
        <v>-229.68</v>
      </c>
      <c r="W344">
        <v>8</v>
      </c>
      <c r="X344" s="2">
        <v>1232.01</v>
      </c>
      <c r="Y344">
        <v>87953</v>
      </c>
      <c r="Z344">
        <f t="shared" si="5"/>
        <v>9856.08</v>
      </c>
    </row>
    <row r="345" spans="1:26" x14ac:dyDescent="0.25">
      <c r="A345">
        <v>24387</v>
      </c>
      <c r="B345" t="s">
        <v>47</v>
      </c>
      <c r="C345" s="2">
        <v>0.06</v>
      </c>
      <c r="D345" s="2">
        <v>65.989999999999995</v>
      </c>
      <c r="E345" s="2">
        <v>8.8000000000000007</v>
      </c>
      <c r="F345">
        <v>638</v>
      </c>
      <c r="G345" t="s">
        <v>742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>
        <v>6120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743</v>
      </c>
      <c r="S345">
        <v>95062</v>
      </c>
      <c r="T345" s="1">
        <v>42124</v>
      </c>
      <c r="U345" s="1">
        <v>42125</v>
      </c>
      <c r="V345" s="2">
        <v>288.08999999999997</v>
      </c>
      <c r="W345">
        <v>9</v>
      </c>
      <c r="X345" s="2">
        <v>506.38</v>
      </c>
      <c r="Y345">
        <v>87954</v>
      </c>
      <c r="Z345">
        <f t="shared" si="5"/>
        <v>4557.42</v>
      </c>
    </row>
    <row r="346" spans="1:26" x14ac:dyDescent="0.25">
      <c r="A346">
        <v>24388</v>
      </c>
      <c r="B346" t="s">
        <v>47</v>
      </c>
      <c r="C346" s="2">
        <v>0</v>
      </c>
      <c r="D346" s="2">
        <v>195.99</v>
      </c>
      <c r="E346" s="2">
        <v>4.2</v>
      </c>
      <c r="F346">
        <v>638</v>
      </c>
      <c r="G346" t="s">
        <v>742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744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743</v>
      </c>
      <c r="S346">
        <v>95062</v>
      </c>
      <c r="T346" s="1">
        <v>42124</v>
      </c>
      <c r="U346" s="1">
        <v>42126</v>
      </c>
      <c r="V346" s="2">
        <v>719.47680000000003</v>
      </c>
      <c r="W346">
        <v>6</v>
      </c>
      <c r="X346" s="2">
        <v>1042.72</v>
      </c>
      <c r="Y346">
        <v>87954</v>
      </c>
      <c r="Z346">
        <f t="shared" si="5"/>
        <v>6256.32</v>
      </c>
    </row>
    <row r="347" spans="1:26" x14ac:dyDescent="0.25">
      <c r="A347">
        <v>25893</v>
      </c>
      <c r="B347" t="s">
        <v>37</v>
      </c>
      <c r="C347" s="2">
        <v>0</v>
      </c>
      <c r="D347" s="2">
        <v>236.97</v>
      </c>
      <c r="E347" s="2">
        <v>59.24</v>
      </c>
      <c r="F347">
        <v>639</v>
      </c>
      <c r="G347" t="s">
        <v>745</v>
      </c>
      <c r="H347" t="s">
        <v>39</v>
      </c>
      <c r="I347" t="s">
        <v>114</v>
      </c>
      <c r="J347" t="s">
        <v>41</v>
      </c>
      <c r="K347" t="s">
        <v>150</v>
      </c>
      <c r="L347" t="s">
        <v>120</v>
      </c>
      <c r="M347" t="s">
        <v>746</v>
      </c>
      <c r="N347">
        <v>0.61</v>
      </c>
      <c r="O347" t="s">
        <v>33</v>
      </c>
      <c r="P347" t="s">
        <v>34</v>
      </c>
      <c r="Q347" t="s">
        <v>45</v>
      </c>
      <c r="R347" t="s">
        <v>747</v>
      </c>
      <c r="S347">
        <v>93454</v>
      </c>
      <c r="T347" s="1">
        <v>42049</v>
      </c>
      <c r="U347" s="1">
        <v>42050</v>
      </c>
      <c r="V347" s="2">
        <v>1192.04</v>
      </c>
      <c r="W347">
        <v>9</v>
      </c>
      <c r="X347" s="2">
        <v>1769.91</v>
      </c>
      <c r="Y347">
        <v>87952</v>
      </c>
      <c r="Z347">
        <f t="shared" si="5"/>
        <v>15929.19</v>
      </c>
    </row>
    <row r="348" spans="1:26" x14ac:dyDescent="0.25">
      <c r="A348">
        <v>7893</v>
      </c>
      <c r="B348" t="s">
        <v>37</v>
      </c>
      <c r="C348" s="2">
        <v>0</v>
      </c>
      <c r="D348" s="2">
        <v>236.97</v>
      </c>
      <c r="E348" s="2">
        <v>59.24</v>
      </c>
      <c r="F348">
        <v>640</v>
      </c>
      <c r="G348" t="s">
        <v>748</v>
      </c>
      <c r="H348" t="s">
        <v>39</v>
      </c>
      <c r="I348" t="s">
        <v>114</v>
      </c>
      <c r="J348" t="s">
        <v>41</v>
      </c>
      <c r="K348" t="s">
        <v>150</v>
      </c>
      <c r="L348" t="s">
        <v>120</v>
      </c>
      <c r="M348" t="s">
        <v>746</v>
      </c>
      <c r="N348">
        <v>0.61</v>
      </c>
      <c r="O348" t="s">
        <v>33</v>
      </c>
      <c r="P348" t="s">
        <v>34</v>
      </c>
      <c r="Q348" t="s">
        <v>35</v>
      </c>
      <c r="R348" t="s">
        <v>205</v>
      </c>
      <c r="S348">
        <v>98119</v>
      </c>
      <c r="T348" s="1">
        <v>42049</v>
      </c>
      <c r="U348" s="1">
        <v>42050</v>
      </c>
      <c r="V348" s="2">
        <v>1192.04</v>
      </c>
      <c r="W348">
        <v>34</v>
      </c>
      <c r="X348" s="2">
        <v>6686.34</v>
      </c>
      <c r="Y348">
        <v>56452</v>
      </c>
      <c r="Z348">
        <f t="shared" si="5"/>
        <v>227335.56</v>
      </c>
    </row>
    <row r="349" spans="1:26" x14ac:dyDescent="0.25">
      <c r="A349">
        <v>1539</v>
      </c>
      <c r="B349" t="s">
        <v>106</v>
      </c>
      <c r="C349" s="2">
        <v>0.06</v>
      </c>
      <c r="D349" s="2">
        <v>160.97999999999999</v>
      </c>
      <c r="E349" s="2">
        <v>35.020000000000003</v>
      </c>
      <c r="F349">
        <v>640</v>
      </c>
      <c r="G349" t="s">
        <v>748</v>
      </c>
      <c r="H349" t="s">
        <v>39</v>
      </c>
      <c r="I349" t="s">
        <v>114</v>
      </c>
      <c r="J349" t="s">
        <v>41</v>
      </c>
      <c r="K349" t="s">
        <v>187</v>
      </c>
      <c r="L349" t="s">
        <v>120</v>
      </c>
      <c r="M349" t="s">
        <v>740</v>
      </c>
      <c r="N349">
        <v>0.72</v>
      </c>
      <c r="O349" t="s">
        <v>33</v>
      </c>
      <c r="P349" t="s">
        <v>34</v>
      </c>
      <c r="Q349" t="s">
        <v>35</v>
      </c>
      <c r="R349" t="s">
        <v>205</v>
      </c>
      <c r="S349">
        <v>98119</v>
      </c>
      <c r="T349" s="1">
        <v>42083</v>
      </c>
      <c r="U349" s="1">
        <v>42087</v>
      </c>
      <c r="V349" s="2">
        <v>-229.68</v>
      </c>
      <c r="W349">
        <v>30</v>
      </c>
      <c r="X349" s="2">
        <v>4620.05</v>
      </c>
      <c r="Y349">
        <v>11077</v>
      </c>
      <c r="Z349">
        <f t="shared" si="5"/>
        <v>138601.5</v>
      </c>
    </row>
    <row r="350" spans="1:26" x14ac:dyDescent="0.25">
      <c r="A350">
        <v>6387</v>
      </c>
      <c r="B350" t="s">
        <v>47</v>
      </c>
      <c r="C350" s="2">
        <v>0.06</v>
      </c>
      <c r="D350" s="2">
        <v>65.989999999999995</v>
      </c>
      <c r="E350" s="2">
        <v>8.8000000000000007</v>
      </c>
      <c r="F350">
        <v>640</v>
      </c>
      <c r="G350" t="s">
        <v>748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>
        <v>6120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205</v>
      </c>
      <c r="S350">
        <v>98119</v>
      </c>
      <c r="T350" s="1">
        <v>42124</v>
      </c>
      <c r="U350" s="1">
        <v>42125</v>
      </c>
      <c r="V350" s="2">
        <v>288.08999999999997</v>
      </c>
      <c r="W350">
        <v>34</v>
      </c>
      <c r="X350" s="2">
        <v>1912.98</v>
      </c>
      <c r="Y350">
        <v>45380</v>
      </c>
      <c r="Z350">
        <f t="shared" si="5"/>
        <v>65041.32</v>
      </c>
    </row>
    <row r="351" spans="1:26" x14ac:dyDescent="0.25">
      <c r="A351">
        <v>6388</v>
      </c>
      <c r="B351" t="s">
        <v>47</v>
      </c>
      <c r="C351" s="2">
        <v>0</v>
      </c>
      <c r="D351" s="2">
        <v>195.99</v>
      </c>
      <c r="E351" s="2">
        <v>4.2</v>
      </c>
      <c r="F351">
        <v>640</v>
      </c>
      <c r="G351" t="s">
        <v>748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744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205</v>
      </c>
      <c r="S351">
        <v>98119</v>
      </c>
      <c r="T351" s="1">
        <v>42124</v>
      </c>
      <c r="U351" s="1">
        <v>42126</v>
      </c>
      <c r="V351" s="2">
        <v>1030.509</v>
      </c>
      <c r="W351">
        <v>24</v>
      </c>
      <c r="X351" s="2">
        <v>4170.87</v>
      </c>
      <c r="Y351">
        <v>45380</v>
      </c>
      <c r="Z351">
        <f t="shared" si="5"/>
        <v>100100.88</v>
      </c>
    </row>
    <row r="352" spans="1:26" x14ac:dyDescent="0.25">
      <c r="A352">
        <v>24869</v>
      </c>
      <c r="B352" t="s">
        <v>106</v>
      </c>
      <c r="C352" s="2">
        <v>0.03</v>
      </c>
      <c r="D352" s="2">
        <v>51.75</v>
      </c>
      <c r="E352" s="2">
        <v>19.989999999999998</v>
      </c>
      <c r="F352">
        <v>646</v>
      </c>
      <c r="G352" t="s">
        <v>749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750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751</v>
      </c>
      <c r="S352">
        <v>55379</v>
      </c>
      <c r="T352" s="1">
        <v>42172</v>
      </c>
      <c r="U352" s="1">
        <v>42177</v>
      </c>
      <c r="V352" s="2">
        <v>261.44400000000002</v>
      </c>
      <c r="W352">
        <v>16</v>
      </c>
      <c r="X352" s="2">
        <v>818.81</v>
      </c>
      <c r="Y352">
        <v>90735</v>
      </c>
      <c r="Z352">
        <f t="shared" si="5"/>
        <v>13100.96</v>
      </c>
    </row>
    <row r="353" spans="1:26" x14ac:dyDescent="0.25">
      <c r="A353">
        <v>21760</v>
      </c>
      <c r="B353" t="s">
        <v>37</v>
      </c>
      <c r="C353" s="2">
        <v>0.02</v>
      </c>
      <c r="D353" s="2">
        <v>25.38</v>
      </c>
      <c r="E353" s="2">
        <v>8.99</v>
      </c>
      <c r="F353">
        <v>648</v>
      </c>
      <c r="G353" t="s">
        <v>752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753</v>
      </c>
      <c r="N353">
        <v>0.5</v>
      </c>
      <c r="O353" t="s">
        <v>33</v>
      </c>
      <c r="P353" t="s">
        <v>61</v>
      </c>
      <c r="Q353" t="s">
        <v>175</v>
      </c>
      <c r="R353" t="s">
        <v>754</v>
      </c>
      <c r="S353">
        <v>60440</v>
      </c>
      <c r="T353" s="1">
        <v>42176</v>
      </c>
      <c r="U353" s="1">
        <v>42177</v>
      </c>
      <c r="V353" s="2">
        <v>-10.36</v>
      </c>
      <c r="W353">
        <v>1</v>
      </c>
      <c r="X353" s="2">
        <v>34.11</v>
      </c>
      <c r="Y353">
        <v>91365</v>
      </c>
      <c r="Z353">
        <f t="shared" si="5"/>
        <v>34.11</v>
      </c>
    </row>
    <row r="354" spans="1:26" x14ac:dyDescent="0.25">
      <c r="A354">
        <v>23154</v>
      </c>
      <c r="B354" t="s">
        <v>56</v>
      </c>
      <c r="C354" s="2">
        <v>0.02</v>
      </c>
      <c r="D354" s="2">
        <v>3.78</v>
      </c>
      <c r="E354" s="2">
        <v>0.71</v>
      </c>
      <c r="F354">
        <v>649</v>
      </c>
      <c r="G354" t="s">
        <v>755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756</v>
      </c>
      <c r="N354">
        <v>0.39</v>
      </c>
      <c r="O354" t="s">
        <v>33</v>
      </c>
      <c r="P354" t="s">
        <v>61</v>
      </c>
      <c r="Q354" t="s">
        <v>175</v>
      </c>
      <c r="R354" t="s">
        <v>757</v>
      </c>
      <c r="S354">
        <v>60089</v>
      </c>
      <c r="T354" s="1">
        <v>42153</v>
      </c>
      <c r="U354" s="1">
        <v>42154</v>
      </c>
      <c r="V354" s="2">
        <v>106.7499</v>
      </c>
      <c r="W354">
        <v>40</v>
      </c>
      <c r="X354" s="2">
        <v>154.71</v>
      </c>
      <c r="Y354">
        <v>91366</v>
      </c>
      <c r="Z354">
        <f t="shared" si="5"/>
        <v>6188.4000000000005</v>
      </c>
    </row>
    <row r="355" spans="1:26" x14ac:dyDescent="0.25">
      <c r="A355">
        <v>24199</v>
      </c>
      <c r="B355" t="s">
        <v>25</v>
      </c>
      <c r="C355" s="2">
        <v>0.08</v>
      </c>
      <c r="D355" s="2">
        <v>15.99</v>
      </c>
      <c r="E355" s="2">
        <v>13.18</v>
      </c>
      <c r="F355">
        <v>651</v>
      </c>
      <c r="G355" t="s">
        <v>758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631</v>
      </c>
      <c r="N355">
        <v>0.37</v>
      </c>
      <c r="O355" t="s">
        <v>33</v>
      </c>
      <c r="P355" t="s">
        <v>34</v>
      </c>
      <c r="Q355" t="s">
        <v>526</v>
      </c>
      <c r="R355" t="s">
        <v>759</v>
      </c>
      <c r="S355">
        <v>89115</v>
      </c>
      <c r="T355" s="1">
        <v>42011</v>
      </c>
      <c r="U355" s="1">
        <v>42012</v>
      </c>
      <c r="V355" s="2">
        <v>-246.92616000000001</v>
      </c>
      <c r="W355">
        <v>12</v>
      </c>
      <c r="X355" s="2">
        <v>192.33</v>
      </c>
      <c r="Y355">
        <v>91575</v>
      </c>
      <c r="Z355">
        <f t="shared" si="5"/>
        <v>2307.96</v>
      </c>
    </row>
    <row r="356" spans="1:26" x14ac:dyDescent="0.25">
      <c r="A356">
        <v>23433</v>
      </c>
      <c r="B356" t="s">
        <v>106</v>
      </c>
      <c r="C356" s="2">
        <v>0.04</v>
      </c>
      <c r="D356" s="2">
        <v>880.98</v>
      </c>
      <c r="E356" s="2">
        <v>44.55</v>
      </c>
      <c r="F356">
        <v>651</v>
      </c>
      <c r="G356" t="s">
        <v>758</v>
      </c>
      <c r="H356" t="s">
        <v>39</v>
      </c>
      <c r="I356" t="s">
        <v>114</v>
      </c>
      <c r="J356" t="s">
        <v>41</v>
      </c>
      <c r="K356" t="s">
        <v>187</v>
      </c>
      <c r="L356" t="s">
        <v>120</v>
      </c>
      <c r="M356" t="s">
        <v>760</v>
      </c>
      <c r="N356">
        <v>0.62</v>
      </c>
      <c r="O356" t="s">
        <v>33</v>
      </c>
      <c r="P356" t="s">
        <v>34</v>
      </c>
      <c r="Q356" t="s">
        <v>526</v>
      </c>
      <c r="R356" t="s">
        <v>759</v>
      </c>
      <c r="S356">
        <v>89115</v>
      </c>
      <c r="T356" s="1">
        <v>42050</v>
      </c>
      <c r="U356" s="1">
        <v>42054</v>
      </c>
      <c r="V356" s="2">
        <v>4233.2587999999996</v>
      </c>
      <c r="W356">
        <v>8</v>
      </c>
      <c r="X356" s="2">
        <v>6901.25</v>
      </c>
      <c r="Y356">
        <v>91576</v>
      </c>
      <c r="Z356">
        <f t="shared" si="5"/>
        <v>55210</v>
      </c>
    </row>
    <row r="357" spans="1:26" x14ac:dyDescent="0.25">
      <c r="A357">
        <v>23434</v>
      </c>
      <c r="B357" t="s">
        <v>106</v>
      </c>
      <c r="C357" s="2">
        <v>7.0000000000000007E-2</v>
      </c>
      <c r="D357" s="2">
        <v>13.4</v>
      </c>
      <c r="E357" s="2">
        <v>4.95</v>
      </c>
      <c r="F357">
        <v>651</v>
      </c>
      <c r="G357" t="s">
        <v>758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761</v>
      </c>
      <c r="N357">
        <v>0.37</v>
      </c>
      <c r="O357" t="s">
        <v>33</v>
      </c>
      <c r="P357" t="s">
        <v>34</v>
      </c>
      <c r="Q357" t="s">
        <v>526</v>
      </c>
      <c r="R357" t="s">
        <v>759</v>
      </c>
      <c r="S357">
        <v>89115</v>
      </c>
      <c r="T357" s="1">
        <v>42050</v>
      </c>
      <c r="U357" s="1">
        <v>42055</v>
      </c>
      <c r="V357" s="2">
        <v>102.76860000000001</v>
      </c>
      <c r="W357">
        <v>11</v>
      </c>
      <c r="X357" s="2">
        <v>148.94</v>
      </c>
      <c r="Y357">
        <v>91576</v>
      </c>
      <c r="Z357">
        <f t="shared" si="5"/>
        <v>1638.34</v>
      </c>
    </row>
    <row r="358" spans="1:26" x14ac:dyDescent="0.25">
      <c r="A358">
        <v>23435</v>
      </c>
      <c r="B358" t="s">
        <v>106</v>
      </c>
      <c r="C358" s="2">
        <v>0.01</v>
      </c>
      <c r="D358" s="2">
        <v>15.99</v>
      </c>
      <c r="E358" s="2">
        <v>11.28</v>
      </c>
      <c r="F358">
        <v>651</v>
      </c>
      <c r="G358" t="s">
        <v>758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543</v>
      </c>
      <c r="N358">
        <v>0.38</v>
      </c>
      <c r="O358" t="s">
        <v>33</v>
      </c>
      <c r="P358" t="s">
        <v>34</v>
      </c>
      <c r="Q358" t="s">
        <v>526</v>
      </c>
      <c r="R358" t="s">
        <v>759</v>
      </c>
      <c r="S358">
        <v>89115</v>
      </c>
      <c r="T358" s="1">
        <v>42050</v>
      </c>
      <c r="U358" s="1">
        <v>42057</v>
      </c>
      <c r="V358" s="2">
        <v>-36.671543999999997</v>
      </c>
      <c r="W358">
        <v>12</v>
      </c>
      <c r="X358" s="2">
        <v>200.68</v>
      </c>
      <c r="Y358">
        <v>91576</v>
      </c>
      <c r="Z358">
        <f t="shared" si="5"/>
        <v>2408.16</v>
      </c>
    </row>
    <row r="359" spans="1:26" x14ac:dyDescent="0.25">
      <c r="A359">
        <v>25055</v>
      </c>
      <c r="B359" t="s">
        <v>37</v>
      </c>
      <c r="C359" s="2">
        <v>0</v>
      </c>
      <c r="D359" s="2">
        <v>2.78</v>
      </c>
      <c r="E359" s="2">
        <v>1.49</v>
      </c>
      <c r="F359">
        <v>653</v>
      </c>
      <c r="G359" t="s">
        <v>762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763</v>
      </c>
      <c r="N359">
        <v>0.36</v>
      </c>
      <c r="O359" t="s">
        <v>33</v>
      </c>
      <c r="P359" t="s">
        <v>34</v>
      </c>
      <c r="Q359" t="s">
        <v>45</v>
      </c>
      <c r="R359" t="s">
        <v>764</v>
      </c>
      <c r="S359">
        <v>91730</v>
      </c>
      <c r="T359" s="1">
        <v>42110</v>
      </c>
      <c r="U359" s="1">
        <v>42111</v>
      </c>
      <c r="V359" s="2">
        <v>20.6448</v>
      </c>
      <c r="W359">
        <v>9</v>
      </c>
      <c r="X359" s="2">
        <v>29.92</v>
      </c>
      <c r="Y359">
        <v>91213</v>
      </c>
      <c r="Z359">
        <f t="shared" si="5"/>
        <v>269.28000000000003</v>
      </c>
    </row>
    <row r="360" spans="1:26" x14ac:dyDescent="0.25">
      <c r="A360">
        <v>20874</v>
      </c>
      <c r="B360" t="s">
        <v>47</v>
      </c>
      <c r="C360" s="2">
        <v>0.1</v>
      </c>
      <c r="D360" s="2">
        <v>18.97</v>
      </c>
      <c r="E360" s="2">
        <v>9.0299999999999994</v>
      </c>
      <c r="F360">
        <v>657</v>
      </c>
      <c r="G360" t="s">
        <v>765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766</v>
      </c>
      <c r="N360">
        <v>0.37</v>
      </c>
      <c r="O360" t="s">
        <v>33</v>
      </c>
      <c r="P360" t="s">
        <v>53</v>
      </c>
      <c r="Q360" t="s">
        <v>189</v>
      </c>
      <c r="R360" t="s">
        <v>767</v>
      </c>
      <c r="S360">
        <v>1540</v>
      </c>
      <c r="T360" s="1">
        <v>42023</v>
      </c>
      <c r="U360" s="1">
        <v>42025</v>
      </c>
      <c r="V360" s="2">
        <v>-24.204799999999999</v>
      </c>
      <c r="W360">
        <v>1</v>
      </c>
      <c r="X360" s="2">
        <v>19.73</v>
      </c>
      <c r="Y360">
        <v>91212</v>
      </c>
      <c r="Z360">
        <f t="shared" si="5"/>
        <v>19.73</v>
      </c>
    </row>
    <row r="361" spans="1:26" x14ac:dyDescent="0.25">
      <c r="A361">
        <v>20875</v>
      </c>
      <c r="B361" t="s">
        <v>47</v>
      </c>
      <c r="C361" s="2">
        <v>0</v>
      </c>
      <c r="D361" s="2">
        <v>119.99</v>
      </c>
      <c r="E361" s="2">
        <v>56.14</v>
      </c>
      <c r="F361">
        <v>659</v>
      </c>
      <c r="G361" t="s">
        <v>768</v>
      </c>
      <c r="H361" t="s">
        <v>39</v>
      </c>
      <c r="I361" t="s">
        <v>114</v>
      </c>
      <c r="J361" t="s">
        <v>77</v>
      </c>
      <c r="K361" t="s">
        <v>85</v>
      </c>
      <c r="L361" t="s">
        <v>120</v>
      </c>
      <c r="M361" t="s">
        <v>312</v>
      </c>
      <c r="N361">
        <v>0.39</v>
      </c>
      <c r="O361" t="s">
        <v>33</v>
      </c>
      <c r="P361" t="s">
        <v>53</v>
      </c>
      <c r="Q361" t="s">
        <v>147</v>
      </c>
      <c r="R361" t="s">
        <v>769</v>
      </c>
      <c r="S361">
        <v>5403</v>
      </c>
      <c r="T361" s="1">
        <v>42023</v>
      </c>
      <c r="U361" s="1">
        <v>42024</v>
      </c>
      <c r="V361" s="2">
        <v>-126.05777999999999</v>
      </c>
      <c r="W361">
        <v>5</v>
      </c>
      <c r="X361" s="2">
        <v>615.54</v>
      </c>
      <c r="Y361">
        <v>91212</v>
      </c>
      <c r="Z361">
        <f t="shared" si="5"/>
        <v>3077.7</v>
      </c>
    </row>
    <row r="362" spans="1:26" x14ac:dyDescent="0.25">
      <c r="A362">
        <v>23487</v>
      </c>
      <c r="B362" t="s">
        <v>47</v>
      </c>
      <c r="C362" s="2">
        <v>0.02</v>
      </c>
      <c r="D362" s="2">
        <v>14.58</v>
      </c>
      <c r="E362" s="2">
        <v>7.4</v>
      </c>
      <c r="F362">
        <v>663</v>
      </c>
      <c r="G362" t="s">
        <v>770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771</v>
      </c>
      <c r="N362">
        <v>0.48</v>
      </c>
      <c r="O362" t="s">
        <v>33</v>
      </c>
      <c r="P362" t="s">
        <v>53</v>
      </c>
      <c r="Q362" t="s">
        <v>152</v>
      </c>
      <c r="R362" t="s">
        <v>734</v>
      </c>
      <c r="S362">
        <v>43952</v>
      </c>
      <c r="T362" s="1">
        <v>42153</v>
      </c>
      <c r="U362" s="1">
        <v>42156</v>
      </c>
      <c r="V362" s="2">
        <v>10.802</v>
      </c>
      <c r="W362">
        <v>17</v>
      </c>
      <c r="X362" s="2">
        <v>261.33999999999997</v>
      </c>
      <c r="Y362">
        <v>90922</v>
      </c>
      <c r="Z362">
        <f t="shared" si="5"/>
        <v>4442.78</v>
      </c>
    </row>
    <row r="363" spans="1:26" x14ac:dyDescent="0.25">
      <c r="A363">
        <v>21086</v>
      </c>
      <c r="B363" t="s">
        <v>106</v>
      </c>
      <c r="C363" s="2">
        <v>0.04</v>
      </c>
      <c r="D363" s="2">
        <v>22.72</v>
      </c>
      <c r="E363" s="2">
        <v>8.99</v>
      </c>
      <c r="F363">
        <v>665</v>
      </c>
      <c r="G363" t="s">
        <v>772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773</v>
      </c>
      <c r="N363">
        <v>0.44</v>
      </c>
      <c r="O363" t="s">
        <v>33</v>
      </c>
      <c r="P363" t="s">
        <v>135</v>
      </c>
      <c r="Q363" t="s">
        <v>239</v>
      </c>
      <c r="R363" t="s">
        <v>603</v>
      </c>
      <c r="S363">
        <v>37130</v>
      </c>
      <c r="T363" s="1">
        <v>42020</v>
      </c>
      <c r="U363" s="1">
        <v>42024</v>
      </c>
      <c r="V363" s="2">
        <v>-678.49599999999998</v>
      </c>
      <c r="W363">
        <v>9</v>
      </c>
      <c r="X363" s="2">
        <v>202.41</v>
      </c>
      <c r="Y363">
        <v>88677</v>
      </c>
      <c r="Z363">
        <f t="shared" si="5"/>
        <v>1821.69</v>
      </c>
    </row>
    <row r="364" spans="1:26" x14ac:dyDescent="0.25">
      <c r="A364">
        <v>18667</v>
      </c>
      <c r="B364" t="s">
        <v>47</v>
      </c>
      <c r="C364" s="2">
        <v>0.02</v>
      </c>
      <c r="D364" s="2">
        <v>130.97999999999999</v>
      </c>
      <c r="E364" s="2">
        <v>30</v>
      </c>
      <c r="F364">
        <v>665</v>
      </c>
      <c r="G364" t="s">
        <v>772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539</v>
      </c>
      <c r="N364">
        <v>0.78</v>
      </c>
      <c r="O364" t="s">
        <v>33</v>
      </c>
      <c r="P364" t="s">
        <v>135</v>
      </c>
      <c r="Q364" t="s">
        <v>239</v>
      </c>
      <c r="R364" t="s">
        <v>603</v>
      </c>
      <c r="S364">
        <v>37130</v>
      </c>
      <c r="T364" s="1">
        <v>42112</v>
      </c>
      <c r="U364" s="1">
        <v>42113</v>
      </c>
      <c r="V364" s="2">
        <v>90.762</v>
      </c>
      <c r="W364">
        <v>6</v>
      </c>
      <c r="X364" s="2">
        <v>793.39</v>
      </c>
      <c r="Y364">
        <v>88678</v>
      </c>
      <c r="Z364">
        <f t="shared" si="5"/>
        <v>4760.34</v>
      </c>
    </row>
    <row r="365" spans="1:26" x14ac:dyDescent="0.25">
      <c r="A365">
        <v>24776</v>
      </c>
      <c r="B365" t="s">
        <v>106</v>
      </c>
      <c r="C365" s="2">
        <v>0.02</v>
      </c>
      <c r="D365" s="2">
        <v>4.57</v>
      </c>
      <c r="E365" s="2">
        <v>5.42</v>
      </c>
      <c r="F365">
        <v>666</v>
      </c>
      <c r="G365" t="s">
        <v>774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775</v>
      </c>
      <c r="N365">
        <v>0.37</v>
      </c>
      <c r="O365" t="s">
        <v>33</v>
      </c>
      <c r="P365" t="s">
        <v>135</v>
      </c>
      <c r="Q365" t="s">
        <v>239</v>
      </c>
      <c r="R365" t="s">
        <v>776</v>
      </c>
      <c r="S365">
        <v>37211</v>
      </c>
      <c r="T365" s="1">
        <v>42116</v>
      </c>
      <c r="U365" s="1">
        <v>42120</v>
      </c>
      <c r="V365" s="2">
        <v>-352.81400000000002</v>
      </c>
      <c r="W365">
        <v>11</v>
      </c>
      <c r="X365" s="2">
        <v>54.04</v>
      </c>
      <c r="Y365">
        <v>88679</v>
      </c>
      <c r="Z365">
        <f t="shared" si="5"/>
        <v>594.43999999999994</v>
      </c>
    </row>
    <row r="366" spans="1:26" x14ac:dyDescent="0.25">
      <c r="A366">
        <v>3086</v>
      </c>
      <c r="B366" t="s">
        <v>106</v>
      </c>
      <c r="C366" s="2">
        <v>0.04</v>
      </c>
      <c r="D366" s="2">
        <v>22.72</v>
      </c>
      <c r="E366" s="2">
        <v>8.99</v>
      </c>
      <c r="F366">
        <v>667</v>
      </c>
      <c r="G366" t="s">
        <v>777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773</v>
      </c>
      <c r="N366">
        <v>0.44</v>
      </c>
      <c r="O366" t="s">
        <v>33</v>
      </c>
      <c r="P366" t="s">
        <v>61</v>
      </c>
      <c r="Q366" t="s">
        <v>129</v>
      </c>
      <c r="R366" t="s">
        <v>778</v>
      </c>
      <c r="S366">
        <v>75203</v>
      </c>
      <c r="T366" s="1">
        <v>42020</v>
      </c>
      <c r="U366" s="1">
        <v>42024</v>
      </c>
      <c r="V366" s="2">
        <v>70.028000000000006</v>
      </c>
      <c r="W366">
        <v>37</v>
      </c>
      <c r="X366" s="2">
        <v>832.14</v>
      </c>
      <c r="Y366">
        <v>22147</v>
      </c>
      <c r="Z366">
        <f t="shared" si="5"/>
        <v>30789.18</v>
      </c>
    </row>
    <row r="367" spans="1:26" x14ac:dyDescent="0.25">
      <c r="A367">
        <v>6776</v>
      </c>
      <c r="B367" t="s">
        <v>106</v>
      </c>
      <c r="C367" s="2">
        <v>0.02</v>
      </c>
      <c r="D367" s="2">
        <v>4.57</v>
      </c>
      <c r="E367" s="2">
        <v>5.42</v>
      </c>
      <c r="F367">
        <v>667</v>
      </c>
      <c r="G367" t="s">
        <v>777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775</v>
      </c>
      <c r="N367">
        <v>0.37</v>
      </c>
      <c r="O367" t="s">
        <v>33</v>
      </c>
      <c r="P367" t="s">
        <v>61</v>
      </c>
      <c r="Q367" t="s">
        <v>129</v>
      </c>
      <c r="R367" t="s">
        <v>778</v>
      </c>
      <c r="S367">
        <v>75203</v>
      </c>
      <c r="T367" s="1">
        <v>42116</v>
      </c>
      <c r="U367" s="1">
        <v>42120</v>
      </c>
      <c r="V367" s="2">
        <v>-124.2805</v>
      </c>
      <c r="W367">
        <v>45</v>
      </c>
      <c r="X367" s="2">
        <v>221.06</v>
      </c>
      <c r="Y367">
        <v>48257</v>
      </c>
      <c r="Z367">
        <f t="shared" si="5"/>
        <v>9947.7000000000007</v>
      </c>
    </row>
    <row r="368" spans="1:26" x14ac:dyDescent="0.25">
      <c r="A368">
        <v>24882</v>
      </c>
      <c r="B368" t="s">
        <v>56</v>
      </c>
      <c r="C368" s="2">
        <v>0.09</v>
      </c>
      <c r="D368" s="2">
        <v>2.89</v>
      </c>
      <c r="E368" s="2">
        <v>0.5</v>
      </c>
      <c r="F368">
        <v>669</v>
      </c>
      <c r="G368" t="s">
        <v>779</v>
      </c>
      <c r="H368" t="s">
        <v>49</v>
      </c>
      <c r="I368" t="s">
        <v>40</v>
      </c>
      <c r="J368" t="s">
        <v>29</v>
      </c>
      <c r="K368" t="s">
        <v>133</v>
      </c>
      <c r="L368" t="s">
        <v>59</v>
      </c>
      <c r="M368" t="s">
        <v>780</v>
      </c>
      <c r="N368">
        <v>0.38</v>
      </c>
      <c r="O368" t="s">
        <v>33</v>
      </c>
      <c r="P368" t="s">
        <v>61</v>
      </c>
      <c r="Q368" t="s">
        <v>324</v>
      </c>
      <c r="R368" t="s">
        <v>781</v>
      </c>
      <c r="S368">
        <v>52501</v>
      </c>
      <c r="T368" s="1">
        <v>42083</v>
      </c>
      <c r="U368" s="1">
        <v>42085</v>
      </c>
      <c r="V368" s="2">
        <v>40.482300000000002</v>
      </c>
      <c r="W368">
        <v>22</v>
      </c>
      <c r="X368" s="2">
        <v>58.67</v>
      </c>
      <c r="Y368">
        <v>88475</v>
      </c>
      <c r="Z368">
        <f t="shared" si="5"/>
        <v>1290.74</v>
      </c>
    </row>
    <row r="369" spans="1:26" x14ac:dyDescent="0.25">
      <c r="A369">
        <v>24883</v>
      </c>
      <c r="B369" t="s">
        <v>56</v>
      </c>
      <c r="C369" s="2">
        <v>0.02</v>
      </c>
      <c r="D369" s="2">
        <v>48.91</v>
      </c>
      <c r="E369" s="2">
        <v>5.81</v>
      </c>
      <c r="F369">
        <v>669</v>
      </c>
      <c r="G369" t="s">
        <v>779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782</v>
      </c>
      <c r="N369">
        <v>0.38</v>
      </c>
      <c r="O369" t="s">
        <v>33</v>
      </c>
      <c r="P369" t="s">
        <v>61</v>
      </c>
      <c r="Q369" t="s">
        <v>324</v>
      </c>
      <c r="R369" t="s">
        <v>781</v>
      </c>
      <c r="S369">
        <v>52501</v>
      </c>
      <c r="T369" s="1">
        <v>42083</v>
      </c>
      <c r="U369" s="1">
        <v>42084</v>
      </c>
      <c r="V369" s="2">
        <v>32.86</v>
      </c>
      <c r="W369">
        <v>2</v>
      </c>
      <c r="X369" s="2">
        <v>101.06</v>
      </c>
      <c r="Y369">
        <v>88475</v>
      </c>
      <c r="Z369">
        <f t="shared" si="5"/>
        <v>202.12</v>
      </c>
    </row>
    <row r="370" spans="1:26" x14ac:dyDescent="0.25">
      <c r="A370">
        <v>18808</v>
      </c>
      <c r="B370" t="s">
        <v>106</v>
      </c>
      <c r="C370" s="2">
        <v>0.08</v>
      </c>
      <c r="D370" s="2">
        <v>296.18</v>
      </c>
      <c r="E370" s="2">
        <v>54.12</v>
      </c>
      <c r="F370">
        <v>670</v>
      </c>
      <c r="G370" t="s">
        <v>783</v>
      </c>
      <c r="H370" t="s">
        <v>39</v>
      </c>
      <c r="I370" t="s">
        <v>40</v>
      </c>
      <c r="J370" t="s">
        <v>41</v>
      </c>
      <c r="K370" t="s">
        <v>150</v>
      </c>
      <c r="L370" t="s">
        <v>120</v>
      </c>
      <c r="M370" t="s">
        <v>151</v>
      </c>
      <c r="N370">
        <v>0.76</v>
      </c>
      <c r="O370" t="s">
        <v>33</v>
      </c>
      <c r="P370" t="s">
        <v>135</v>
      </c>
      <c r="Q370" t="s">
        <v>136</v>
      </c>
      <c r="R370" t="s">
        <v>632</v>
      </c>
      <c r="S370">
        <v>22025</v>
      </c>
      <c r="T370" s="1">
        <v>42068</v>
      </c>
      <c r="U370" s="1">
        <v>42075</v>
      </c>
      <c r="V370" s="2">
        <v>-187.22200000000001</v>
      </c>
      <c r="W370">
        <v>5</v>
      </c>
      <c r="X370" s="2">
        <v>1429.81</v>
      </c>
      <c r="Y370">
        <v>88474</v>
      </c>
      <c r="Z370">
        <f t="shared" si="5"/>
        <v>7149.0499999999993</v>
      </c>
    </row>
    <row r="371" spans="1:26" x14ac:dyDescent="0.25">
      <c r="A371">
        <v>19423</v>
      </c>
      <c r="B371" t="s">
        <v>106</v>
      </c>
      <c r="C371" s="2">
        <v>7.0000000000000007E-2</v>
      </c>
      <c r="D371" s="2">
        <v>2.88</v>
      </c>
      <c r="E371" s="2">
        <v>1.01</v>
      </c>
      <c r="F371">
        <v>672</v>
      </c>
      <c r="G371" t="s">
        <v>784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785</v>
      </c>
      <c r="N371">
        <v>0.55000000000000004</v>
      </c>
      <c r="O371" t="s">
        <v>33</v>
      </c>
      <c r="P371" t="s">
        <v>61</v>
      </c>
      <c r="Q371" t="s">
        <v>324</v>
      </c>
      <c r="R371" t="s">
        <v>325</v>
      </c>
      <c r="S371">
        <v>50208</v>
      </c>
      <c r="T371" s="1">
        <v>42040</v>
      </c>
      <c r="U371" s="1">
        <v>42044</v>
      </c>
      <c r="V371" s="2">
        <v>9.59</v>
      </c>
      <c r="W371">
        <v>12</v>
      </c>
      <c r="X371" s="2">
        <v>34.97</v>
      </c>
      <c r="Y371">
        <v>88173</v>
      </c>
      <c r="Z371">
        <f t="shared" si="5"/>
        <v>419.64</v>
      </c>
    </row>
    <row r="372" spans="1:26" x14ac:dyDescent="0.25">
      <c r="A372">
        <v>19424</v>
      </c>
      <c r="B372" t="s">
        <v>106</v>
      </c>
      <c r="C372" s="2">
        <v>0.1</v>
      </c>
      <c r="D372" s="2">
        <v>195.99</v>
      </c>
      <c r="E372" s="2">
        <v>3.99</v>
      </c>
      <c r="F372">
        <v>672</v>
      </c>
      <c r="G372" t="s">
        <v>784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786</v>
      </c>
      <c r="N372">
        <v>0.57999999999999996</v>
      </c>
      <c r="O372" t="s">
        <v>33</v>
      </c>
      <c r="P372" t="s">
        <v>61</v>
      </c>
      <c r="Q372" t="s">
        <v>324</v>
      </c>
      <c r="R372" t="s">
        <v>325</v>
      </c>
      <c r="S372">
        <v>50208</v>
      </c>
      <c r="T372" s="1">
        <v>42040</v>
      </c>
      <c r="U372" s="1">
        <v>42047</v>
      </c>
      <c r="V372" s="2">
        <v>-655.42399999999998</v>
      </c>
      <c r="W372">
        <v>2</v>
      </c>
      <c r="X372" s="2">
        <v>308.86</v>
      </c>
      <c r="Y372">
        <v>88173</v>
      </c>
      <c r="Z372">
        <f t="shared" si="5"/>
        <v>617.72</v>
      </c>
    </row>
    <row r="373" spans="1:26" x14ac:dyDescent="0.25">
      <c r="A373">
        <v>25059</v>
      </c>
      <c r="B373" t="s">
        <v>47</v>
      </c>
      <c r="C373" s="2">
        <v>0.06</v>
      </c>
      <c r="D373" s="2">
        <v>161.55000000000001</v>
      </c>
      <c r="E373" s="2">
        <v>19.989999999999998</v>
      </c>
      <c r="F373">
        <v>674</v>
      </c>
      <c r="G373" t="s">
        <v>787</v>
      </c>
      <c r="H373" t="s">
        <v>49</v>
      </c>
      <c r="I373" t="s">
        <v>58</v>
      </c>
      <c r="J373" t="s">
        <v>29</v>
      </c>
      <c r="K373" t="s">
        <v>139</v>
      </c>
      <c r="L373" t="s">
        <v>59</v>
      </c>
      <c r="M373" t="s">
        <v>159</v>
      </c>
      <c r="N373">
        <v>0.66</v>
      </c>
      <c r="O373" t="s">
        <v>33</v>
      </c>
      <c r="P373" t="s">
        <v>61</v>
      </c>
      <c r="Q373" t="s">
        <v>499</v>
      </c>
      <c r="R373" t="s">
        <v>788</v>
      </c>
      <c r="S373">
        <v>64133</v>
      </c>
      <c r="T373" s="1">
        <v>42006</v>
      </c>
      <c r="U373" s="1">
        <v>42007</v>
      </c>
      <c r="V373" s="2">
        <v>-7.58</v>
      </c>
      <c r="W373">
        <v>3</v>
      </c>
      <c r="X373" s="2">
        <v>485.01</v>
      </c>
      <c r="Y373">
        <v>88174</v>
      </c>
      <c r="Z373">
        <f t="shared" si="5"/>
        <v>1455.03</v>
      </c>
    </row>
    <row r="374" spans="1:26" x14ac:dyDescent="0.25">
      <c r="A374">
        <v>19326</v>
      </c>
      <c r="B374" t="s">
        <v>56</v>
      </c>
      <c r="C374" s="2">
        <v>0.04</v>
      </c>
      <c r="D374" s="2">
        <v>15.42</v>
      </c>
      <c r="E374" s="2">
        <v>10.68</v>
      </c>
      <c r="F374">
        <v>678</v>
      </c>
      <c r="G374" t="s">
        <v>789</v>
      </c>
      <c r="H374" t="s">
        <v>27</v>
      </c>
      <c r="I374" t="s">
        <v>28</v>
      </c>
      <c r="J374" t="s">
        <v>29</v>
      </c>
      <c r="K374" t="s">
        <v>139</v>
      </c>
      <c r="L374" t="s">
        <v>59</v>
      </c>
      <c r="M374" t="s">
        <v>420</v>
      </c>
      <c r="N374">
        <v>0.57999999999999996</v>
      </c>
      <c r="O374" t="s">
        <v>33</v>
      </c>
      <c r="P374" t="s">
        <v>135</v>
      </c>
      <c r="Q374" t="s">
        <v>136</v>
      </c>
      <c r="R374" t="s">
        <v>790</v>
      </c>
      <c r="S374">
        <v>24281</v>
      </c>
      <c r="T374" s="1">
        <v>42116</v>
      </c>
      <c r="U374" s="1">
        <v>42117</v>
      </c>
      <c r="V374" s="2">
        <v>-109.70399999999999</v>
      </c>
      <c r="W374">
        <v>5</v>
      </c>
      <c r="X374" s="2">
        <v>81.14</v>
      </c>
      <c r="Y374">
        <v>88889</v>
      </c>
      <c r="Z374">
        <f t="shared" si="5"/>
        <v>405.7</v>
      </c>
    </row>
    <row r="375" spans="1:26" x14ac:dyDescent="0.25">
      <c r="A375">
        <v>21609</v>
      </c>
      <c r="B375" t="s">
        <v>56</v>
      </c>
      <c r="C375" s="2">
        <v>0.01</v>
      </c>
      <c r="D375" s="2">
        <v>3.95</v>
      </c>
      <c r="E375" s="2">
        <v>5.13</v>
      </c>
      <c r="F375">
        <v>679</v>
      </c>
      <c r="G375" t="s">
        <v>791</v>
      </c>
      <c r="H375" t="s">
        <v>49</v>
      </c>
      <c r="I375" t="s">
        <v>28</v>
      </c>
      <c r="J375" t="s">
        <v>29</v>
      </c>
      <c r="K375" t="s">
        <v>252</v>
      </c>
      <c r="L375" t="s">
        <v>59</v>
      </c>
      <c r="M375" t="s">
        <v>792</v>
      </c>
      <c r="N375">
        <v>0.59</v>
      </c>
      <c r="O375" t="s">
        <v>33</v>
      </c>
      <c r="P375" t="s">
        <v>34</v>
      </c>
      <c r="Q375" t="s">
        <v>35</v>
      </c>
      <c r="R375" t="s">
        <v>793</v>
      </c>
      <c r="S375">
        <v>98387</v>
      </c>
      <c r="T375" s="1">
        <v>42067</v>
      </c>
      <c r="U375" s="1">
        <v>42068</v>
      </c>
      <c r="V375" s="2">
        <v>-19.93</v>
      </c>
      <c r="W375">
        <v>2</v>
      </c>
      <c r="X375" s="2">
        <v>10.11</v>
      </c>
      <c r="Y375">
        <v>88890</v>
      </c>
      <c r="Z375">
        <f t="shared" si="5"/>
        <v>20.22</v>
      </c>
    </row>
    <row r="376" spans="1:26" x14ac:dyDescent="0.25">
      <c r="A376">
        <v>21610</v>
      </c>
      <c r="B376" t="s">
        <v>56</v>
      </c>
      <c r="C376" s="2">
        <v>0.02</v>
      </c>
      <c r="D376" s="2">
        <v>367.99</v>
      </c>
      <c r="E376" s="2">
        <v>19.989999999999998</v>
      </c>
      <c r="F376">
        <v>679</v>
      </c>
      <c r="G376" t="s">
        <v>791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794</v>
      </c>
      <c r="N376">
        <v>0.4</v>
      </c>
      <c r="O376" t="s">
        <v>33</v>
      </c>
      <c r="P376" t="s">
        <v>34</v>
      </c>
      <c r="Q376" t="s">
        <v>35</v>
      </c>
      <c r="R376" t="s">
        <v>793</v>
      </c>
      <c r="S376">
        <v>98387</v>
      </c>
      <c r="T376" s="1">
        <v>42067</v>
      </c>
      <c r="U376" s="1">
        <v>42068</v>
      </c>
      <c r="V376" s="2">
        <v>4568.6072999999997</v>
      </c>
      <c r="W376">
        <v>17</v>
      </c>
      <c r="X376" s="2">
        <v>6621.17</v>
      </c>
      <c r="Y376">
        <v>88890</v>
      </c>
      <c r="Z376">
        <f t="shared" si="5"/>
        <v>112559.89</v>
      </c>
    </row>
    <row r="377" spans="1:26" x14ac:dyDescent="0.25">
      <c r="A377">
        <v>21612</v>
      </c>
      <c r="B377" t="s">
        <v>56</v>
      </c>
      <c r="C377" s="2">
        <v>0.04</v>
      </c>
      <c r="D377" s="2">
        <v>95.99</v>
      </c>
      <c r="E377" s="2">
        <v>4.9000000000000004</v>
      </c>
      <c r="F377">
        <v>680</v>
      </c>
      <c r="G377" t="s">
        <v>795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249</v>
      </c>
      <c r="N377">
        <v>0.56000000000000005</v>
      </c>
      <c r="O377" t="s">
        <v>33</v>
      </c>
      <c r="P377" t="s">
        <v>34</v>
      </c>
      <c r="Q377" t="s">
        <v>35</v>
      </c>
      <c r="R377" t="s">
        <v>796</v>
      </c>
      <c r="S377">
        <v>99207</v>
      </c>
      <c r="T377" s="1">
        <v>42067</v>
      </c>
      <c r="U377" s="1">
        <v>42069</v>
      </c>
      <c r="V377" s="2">
        <v>-258.22500000000002</v>
      </c>
      <c r="W377">
        <v>3</v>
      </c>
      <c r="X377" s="2">
        <v>253.78</v>
      </c>
      <c r="Y377">
        <v>88890</v>
      </c>
      <c r="Z377">
        <f t="shared" si="5"/>
        <v>761.34</v>
      </c>
    </row>
    <row r="378" spans="1:26" x14ac:dyDescent="0.25">
      <c r="A378">
        <v>18555</v>
      </c>
      <c r="B378" t="s">
        <v>56</v>
      </c>
      <c r="C378" s="2">
        <v>0.06</v>
      </c>
      <c r="D378" s="2">
        <v>17.670000000000002</v>
      </c>
      <c r="E378" s="2">
        <v>8.99</v>
      </c>
      <c r="F378">
        <v>683</v>
      </c>
      <c r="G378" t="s">
        <v>797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798</v>
      </c>
      <c r="N378">
        <v>0.47</v>
      </c>
      <c r="O378" t="s">
        <v>33</v>
      </c>
      <c r="P378" t="s">
        <v>61</v>
      </c>
      <c r="Q378" t="s">
        <v>489</v>
      </c>
      <c r="R378" t="s">
        <v>799</v>
      </c>
      <c r="S378">
        <v>68046</v>
      </c>
      <c r="T378" s="1">
        <v>42101</v>
      </c>
      <c r="U378" s="1">
        <v>42102</v>
      </c>
      <c r="V378" s="2">
        <v>38.06</v>
      </c>
      <c r="W378">
        <v>4</v>
      </c>
      <c r="X378" s="2">
        <v>69.959999999999994</v>
      </c>
      <c r="Y378">
        <v>87765</v>
      </c>
      <c r="Z378">
        <f t="shared" si="5"/>
        <v>279.83999999999997</v>
      </c>
    </row>
    <row r="379" spans="1:26" x14ac:dyDescent="0.25">
      <c r="A379">
        <v>21411</v>
      </c>
      <c r="B379" t="s">
        <v>47</v>
      </c>
      <c r="C379" s="2">
        <v>7.0000000000000007E-2</v>
      </c>
      <c r="D379" s="2">
        <v>279.48</v>
      </c>
      <c r="E379" s="2">
        <v>35</v>
      </c>
      <c r="F379">
        <v>688</v>
      </c>
      <c r="G379" t="s">
        <v>800</v>
      </c>
      <c r="H379" t="s">
        <v>49</v>
      </c>
      <c r="I379" t="s">
        <v>58</v>
      </c>
      <c r="J379" t="s">
        <v>29</v>
      </c>
      <c r="K379" t="s">
        <v>139</v>
      </c>
      <c r="L379" t="s">
        <v>231</v>
      </c>
      <c r="M379" t="s">
        <v>801</v>
      </c>
      <c r="N379">
        <v>0.8</v>
      </c>
      <c r="O379" t="s">
        <v>33</v>
      </c>
      <c r="P379" t="s">
        <v>61</v>
      </c>
      <c r="Q379" t="s">
        <v>499</v>
      </c>
      <c r="R379" t="s">
        <v>802</v>
      </c>
      <c r="S379">
        <v>63116</v>
      </c>
      <c r="T379" s="1">
        <v>42140</v>
      </c>
      <c r="U379" s="1">
        <v>42140</v>
      </c>
      <c r="V379" s="2">
        <v>-207.28</v>
      </c>
      <c r="W379">
        <v>10</v>
      </c>
      <c r="X379" s="2">
        <v>2716.09</v>
      </c>
      <c r="Y379">
        <v>88503</v>
      </c>
      <c r="Z379">
        <f t="shared" si="5"/>
        <v>27160.9</v>
      </c>
    </row>
    <row r="380" spans="1:26" x14ac:dyDescent="0.25">
      <c r="A380">
        <v>19325</v>
      </c>
      <c r="B380" t="s">
        <v>106</v>
      </c>
      <c r="C380" s="2">
        <v>0.06</v>
      </c>
      <c r="D380" s="2">
        <v>4.18</v>
      </c>
      <c r="E380" s="2">
        <v>2.99</v>
      </c>
      <c r="F380">
        <v>688</v>
      </c>
      <c r="G380" t="s">
        <v>800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803</v>
      </c>
      <c r="N380">
        <v>0.37</v>
      </c>
      <c r="O380" t="s">
        <v>33</v>
      </c>
      <c r="P380" t="s">
        <v>61</v>
      </c>
      <c r="Q380" t="s">
        <v>499</v>
      </c>
      <c r="R380" t="s">
        <v>802</v>
      </c>
      <c r="S380">
        <v>63116</v>
      </c>
      <c r="T380" s="1">
        <v>42069</v>
      </c>
      <c r="U380" s="1">
        <v>42071</v>
      </c>
      <c r="V380" s="2">
        <v>-12.718999999999999</v>
      </c>
      <c r="W380">
        <v>5</v>
      </c>
      <c r="X380" s="2">
        <v>21.34</v>
      </c>
      <c r="Y380">
        <v>88504</v>
      </c>
      <c r="Z380">
        <f t="shared" si="5"/>
        <v>106.7</v>
      </c>
    </row>
    <row r="381" spans="1:26" x14ac:dyDescent="0.25">
      <c r="A381">
        <v>26321</v>
      </c>
      <c r="B381" t="s">
        <v>56</v>
      </c>
      <c r="C381" s="2">
        <v>7.0000000000000007E-2</v>
      </c>
      <c r="D381" s="2">
        <v>1.7</v>
      </c>
      <c r="E381" s="2">
        <v>1.99</v>
      </c>
      <c r="F381">
        <v>689</v>
      </c>
      <c r="G381" t="s">
        <v>804</v>
      </c>
      <c r="H381" t="s">
        <v>49</v>
      </c>
      <c r="I381" t="s">
        <v>58</v>
      </c>
      <c r="J381" t="s">
        <v>77</v>
      </c>
      <c r="K381" t="s">
        <v>177</v>
      </c>
      <c r="L381" t="s">
        <v>51</v>
      </c>
      <c r="M381" t="s">
        <v>805</v>
      </c>
      <c r="N381">
        <v>0.51</v>
      </c>
      <c r="O381" t="s">
        <v>33</v>
      </c>
      <c r="P381" t="s">
        <v>61</v>
      </c>
      <c r="Q381" t="s">
        <v>499</v>
      </c>
      <c r="R381" t="s">
        <v>806</v>
      </c>
      <c r="S381">
        <v>63376</v>
      </c>
      <c r="T381" s="1">
        <v>42039</v>
      </c>
      <c r="U381" s="1">
        <v>42040</v>
      </c>
      <c r="V381" s="2">
        <v>-51.42</v>
      </c>
      <c r="W381">
        <v>10</v>
      </c>
      <c r="X381" s="2">
        <v>17.420000000000002</v>
      </c>
      <c r="Y381">
        <v>88502</v>
      </c>
      <c r="Z381">
        <f t="shared" si="5"/>
        <v>174.20000000000002</v>
      </c>
    </row>
    <row r="382" spans="1:26" x14ac:dyDescent="0.25">
      <c r="A382">
        <v>19933</v>
      </c>
      <c r="B382" t="s">
        <v>25</v>
      </c>
      <c r="C382" s="2">
        <v>0.09</v>
      </c>
      <c r="D382" s="2">
        <v>6.48</v>
      </c>
      <c r="E382" s="2">
        <v>6.35</v>
      </c>
      <c r="F382">
        <v>691</v>
      </c>
      <c r="G382" t="s">
        <v>807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808</v>
      </c>
      <c r="N382">
        <v>0.37</v>
      </c>
      <c r="O382" t="s">
        <v>33</v>
      </c>
      <c r="P382" t="s">
        <v>34</v>
      </c>
      <c r="Q382" t="s">
        <v>35</v>
      </c>
      <c r="R382" t="s">
        <v>809</v>
      </c>
      <c r="S382">
        <v>98408</v>
      </c>
      <c r="T382" s="1">
        <v>42084</v>
      </c>
      <c r="U382" s="1">
        <v>42085</v>
      </c>
      <c r="V382" s="2">
        <v>-88.6</v>
      </c>
      <c r="W382">
        <v>8</v>
      </c>
      <c r="X382" s="2">
        <v>49.81</v>
      </c>
      <c r="Y382">
        <v>89915</v>
      </c>
      <c r="Z382">
        <f t="shared" si="5"/>
        <v>398.48</v>
      </c>
    </row>
    <row r="383" spans="1:26" x14ac:dyDescent="0.25">
      <c r="A383">
        <v>19400</v>
      </c>
      <c r="B383" t="s">
        <v>106</v>
      </c>
      <c r="C383" s="2">
        <v>0.02</v>
      </c>
      <c r="D383" s="2">
        <v>500.98</v>
      </c>
      <c r="E383" s="2">
        <v>41.44</v>
      </c>
      <c r="F383">
        <v>693</v>
      </c>
      <c r="G383" t="s">
        <v>810</v>
      </c>
      <c r="H383" t="s">
        <v>39</v>
      </c>
      <c r="I383" t="s">
        <v>58</v>
      </c>
      <c r="J383" t="s">
        <v>41</v>
      </c>
      <c r="K383" t="s">
        <v>187</v>
      </c>
      <c r="L383" t="s">
        <v>120</v>
      </c>
      <c r="M383" t="s">
        <v>811</v>
      </c>
      <c r="N383">
        <v>0.66</v>
      </c>
      <c r="O383" t="s">
        <v>33</v>
      </c>
      <c r="P383" t="s">
        <v>34</v>
      </c>
      <c r="Q383" t="s">
        <v>250</v>
      </c>
      <c r="R383" t="s">
        <v>812</v>
      </c>
      <c r="S383">
        <v>80229</v>
      </c>
      <c r="T383" s="1">
        <v>42088</v>
      </c>
      <c r="U383" s="1">
        <v>42088</v>
      </c>
      <c r="V383" s="2">
        <v>2568.4629</v>
      </c>
      <c r="W383">
        <v>7</v>
      </c>
      <c r="X383" s="2">
        <v>3722.41</v>
      </c>
      <c r="Y383">
        <v>87811</v>
      </c>
      <c r="Z383">
        <f t="shared" si="5"/>
        <v>26056.87</v>
      </c>
    </row>
    <row r="384" spans="1:26" x14ac:dyDescent="0.25">
      <c r="A384">
        <v>18736</v>
      </c>
      <c r="B384" t="s">
        <v>106</v>
      </c>
      <c r="C384" s="2">
        <v>0.09</v>
      </c>
      <c r="D384" s="2">
        <v>5.34</v>
      </c>
      <c r="E384" s="2">
        <v>2.99</v>
      </c>
      <c r="F384">
        <v>693</v>
      </c>
      <c r="G384" t="s">
        <v>810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813</v>
      </c>
      <c r="N384">
        <v>0.38</v>
      </c>
      <c r="O384" t="s">
        <v>33</v>
      </c>
      <c r="P384" t="s">
        <v>34</v>
      </c>
      <c r="Q384" t="s">
        <v>250</v>
      </c>
      <c r="R384" t="s">
        <v>812</v>
      </c>
      <c r="S384">
        <v>80229</v>
      </c>
      <c r="T384" s="1">
        <v>42071</v>
      </c>
      <c r="U384" s="1">
        <v>42078</v>
      </c>
      <c r="V384" s="2">
        <v>9.4860000000000007</v>
      </c>
      <c r="W384">
        <v>17</v>
      </c>
      <c r="X384" s="2">
        <v>95.1</v>
      </c>
      <c r="Y384">
        <v>87812</v>
      </c>
      <c r="Z384">
        <f t="shared" si="5"/>
        <v>1616.6999999999998</v>
      </c>
    </row>
    <row r="385" spans="1:26" x14ac:dyDescent="0.25">
      <c r="A385">
        <v>18737</v>
      </c>
      <c r="B385" t="s">
        <v>106</v>
      </c>
      <c r="C385" s="2">
        <v>7.0000000000000007E-2</v>
      </c>
      <c r="D385" s="2">
        <v>140.97999999999999</v>
      </c>
      <c r="E385" s="2">
        <v>53.48</v>
      </c>
      <c r="F385">
        <v>693</v>
      </c>
      <c r="G385" t="s">
        <v>810</v>
      </c>
      <c r="H385" t="s">
        <v>39</v>
      </c>
      <c r="I385" t="s">
        <v>58</v>
      </c>
      <c r="J385" t="s">
        <v>41</v>
      </c>
      <c r="K385" t="s">
        <v>187</v>
      </c>
      <c r="L385" t="s">
        <v>120</v>
      </c>
      <c r="M385" t="s">
        <v>814</v>
      </c>
      <c r="N385">
        <v>0.65</v>
      </c>
      <c r="O385" t="s">
        <v>33</v>
      </c>
      <c r="P385" t="s">
        <v>34</v>
      </c>
      <c r="Q385" t="s">
        <v>250</v>
      </c>
      <c r="R385" t="s">
        <v>812</v>
      </c>
      <c r="S385">
        <v>80229</v>
      </c>
      <c r="T385" s="1">
        <v>42071</v>
      </c>
      <c r="U385" s="1">
        <v>42078</v>
      </c>
      <c r="V385" s="2">
        <v>-263.64999999999998</v>
      </c>
      <c r="W385">
        <v>5</v>
      </c>
      <c r="X385" s="2">
        <v>734.74</v>
      </c>
      <c r="Y385">
        <v>87812</v>
      </c>
      <c r="Z385">
        <f t="shared" si="5"/>
        <v>3673.7</v>
      </c>
    </row>
    <row r="386" spans="1:26" x14ac:dyDescent="0.25">
      <c r="A386">
        <v>18738</v>
      </c>
      <c r="B386" t="s">
        <v>106</v>
      </c>
      <c r="C386" s="2">
        <v>0.06</v>
      </c>
      <c r="D386" s="2">
        <v>205.99</v>
      </c>
      <c r="E386" s="2">
        <v>5.26</v>
      </c>
      <c r="F386">
        <v>693</v>
      </c>
      <c r="G386" t="s">
        <v>810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815</v>
      </c>
      <c r="N386">
        <v>0.56000000000000005</v>
      </c>
      <c r="O386" t="s">
        <v>33</v>
      </c>
      <c r="P386" t="s">
        <v>34</v>
      </c>
      <c r="Q386" t="s">
        <v>250</v>
      </c>
      <c r="R386" t="s">
        <v>812</v>
      </c>
      <c r="S386">
        <v>80229</v>
      </c>
      <c r="T386" s="1">
        <v>42071</v>
      </c>
      <c r="U386" s="1">
        <v>42078</v>
      </c>
      <c r="V386" s="2">
        <v>890.18100000000004</v>
      </c>
      <c r="W386">
        <v>11</v>
      </c>
      <c r="X386" s="2">
        <v>1882.87</v>
      </c>
      <c r="Y386">
        <v>87812</v>
      </c>
      <c r="Z386">
        <f t="shared" si="5"/>
        <v>20711.57</v>
      </c>
    </row>
    <row r="387" spans="1:26" x14ac:dyDescent="0.25">
      <c r="A387">
        <v>18810</v>
      </c>
      <c r="B387" t="s">
        <v>25</v>
      </c>
      <c r="C387" s="2">
        <v>0</v>
      </c>
      <c r="D387" s="2">
        <v>230.98</v>
      </c>
      <c r="E387" s="2">
        <v>23.78</v>
      </c>
      <c r="F387">
        <v>693</v>
      </c>
      <c r="G387" t="s">
        <v>810</v>
      </c>
      <c r="H387" t="s">
        <v>39</v>
      </c>
      <c r="I387" t="s">
        <v>58</v>
      </c>
      <c r="J387" t="s">
        <v>41</v>
      </c>
      <c r="K387" t="s">
        <v>150</v>
      </c>
      <c r="L387" t="s">
        <v>120</v>
      </c>
      <c r="M387" t="s">
        <v>816</v>
      </c>
      <c r="N387">
        <v>0.6</v>
      </c>
      <c r="O387" t="s">
        <v>33</v>
      </c>
      <c r="P387" t="s">
        <v>34</v>
      </c>
      <c r="Q387" t="s">
        <v>250</v>
      </c>
      <c r="R387" t="s">
        <v>812</v>
      </c>
      <c r="S387">
        <v>80229</v>
      </c>
      <c r="T387" s="1">
        <v>42129</v>
      </c>
      <c r="U387" s="1">
        <v>42131</v>
      </c>
      <c r="V387" s="2">
        <v>6095.8602000000001</v>
      </c>
      <c r="W387">
        <v>36</v>
      </c>
      <c r="X387" s="2">
        <v>8834.58</v>
      </c>
      <c r="Y387">
        <v>87813</v>
      </c>
      <c r="Z387">
        <f t="shared" ref="Z387:Z450" si="6">W387*X387</f>
        <v>318044.88</v>
      </c>
    </row>
    <row r="388" spans="1:26" x14ac:dyDescent="0.25">
      <c r="A388">
        <v>22613</v>
      </c>
      <c r="B388" t="s">
        <v>56</v>
      </c>
      <c r="C388" s="2">
        <v>0.06</v>
      </c>
      <c r="D388" s="2">
        <v>8.1199999999999992</v>
      </c>
      <c r="E388" s="2">
        <v>2.83</v>
      </c>
      <c r="F388">
        <v>696</v>
      </c>
      <c r="G388" t="s">
        <v>817</v>
      </c>
      <c r="H388" t="s">
        <v>49</v>
      </c>
      <c r="I388" t="s">
        <v>28</v>
      </c>
      <c r="J388" t="s">
        <v>77</v>
      </c>
      <c r="K388" t="s">
        <v>177</v>
      </c>
      <c r="L388" t="s">
        <v>51</v>
      </c>
      <c r="M388" t="s">
        <v>818</v>
      </c>
      <c r="N388">
        <v>0.77</v>
      </c>
      <c r="O388" t="s">
        <v>33</v>
      </c>
      <c r="P388" t="s">
        <v>61</v>
      </c>
      <c r="Q388" t="s">
        <v>695</v>
      </c>
      <c r="R388" t="s">
        <v>819</v>
      </c>
      <c r="S388">
        <v>46307</v>
      </c>
      <c r="T388" s="1">
        <v>42090</v>
      </c>
      <c r="U388" s="1">
        <v>42091</v>
      </c>
      <c r="V388" s="2">
        <v>-82.83</v>
      </c>
      <c r="W388">
        <v>10</v>
      </c>
      <c r="X388" s="2">
        <v>78.540000000000006</v>
      </c>
      <c r="Y388">
        <v>89847</v>
      </c>
      <c r="Z388">
        <f t="shared" si="6"/>
        <v>785.40000000000009</v>
      </c>
    </row>
    <row r="389" spans="1:26" x14ac:dyDescent="0.25">
      <c r="A389">
        <v>22614</v>
      </c>
      <c r="B389" t="s">
        <v>56</v>
      </c>
      <c r="C389" s="2">
        <v>0.05</v>
      </c>
      <c r="D389" s="2">
        <v>51.65</v>
      </c>
      <c r="E389" s="2">
        <v>18.45</v>
      </c>
      <c r="F389">
        <v>696</v>
      </c>
      <c r="G389" t="s">
        <v>817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820</v>
      </c>
      <c r="N389">
        <v>0.65</v>
      </c>
      <c r="O389" t="s">
        <v>33</v>
      </c>
      <c r="P389" t="s">
        <v>61</v>
      </c>
      <c r="Q389" t="s">
        <v>695</v>
      </c>
      <c r="R389" t="s">
        <v>819</v>
      </c>
      <c r="S389">
        <v>46307</v>
      </c>
      <c r="T389" s="1">
        <v>42090</v>
      </c>
      <c r="U389" s="1">
        <v>42091</v>
      </c>
      <c r="V389" s="2">
        <v>25.04</v>
      </c>
      <c r="W389">
        <v>12</v>
      </c>
      <c r="X389" s="2">
        <v>605.1</v>
      </c>
      <c r="Y389">
        <v>89847</v>
      </c>
      <c r="Z389">
        <f t="shared" si="6"/>
        <v>7261.2000000000007</v>
      </c>
    </row>
    <row r="390" spans="1:26" x14ac:dyDescent="0.25">
      <c r="A390">
        <v>19225</v>
      </c>
      <c r="B390" t="s">
        <v>106</v>
      </c>
      <c r="C390" s="2">
        <v>0.1</v>
      </c>
      <c r="D390" s="2">
        <v>40.479999999999997</v>
      </c>
      <c r="E390" s="2">
        <v>19.989999999999998</v>
      </c>
      <c r="F390">
        <v>696</v>
      </c>
      <c r="G390" t="s">
        <v>817</v>
      </c>
      <c r="H390" t="s">
        <v>49</v>
      </c>
      <c r="I390" t="s">
        <v>28</v>
      </c>
      <c r="J390" t="s">
        <v>77</v>
      </c>
      <c r="K390" t="s">
        <v>177</v>
      </c>
      <c r="L390" t="s">
        <v>59</v>
      </c>
      <c r="M390" t="s">
        <v>821</v>
      </c>
      <c r="N390">
        <v>0.77</v>
      </c>
      <c r="O390" t="s">
        <v>33</v>
      </c>
      <c r="P390" t="s">
        <v>61</v>
      </c>
      <c r="Q390" t="s">
        <v>695</v>
      </c>
      <c r="R390" t="s">
        <v>819</v>
      </c>
      <c r="S390">
        <v>46307</v>
      </c>
      <c r="T390" s="1">
        <v>42101</v>
      </c>
      <c r="U390" s="1">
        <v>42103</v>
      </c>
      <c r="V390" s="2">
        <v>-580.32000000000005</v>
      </c>
      <c r="W390">
        <v>9</v>
      </c>
      <c r="X390" s="2">
        <v>355.84</v>
      </c>
      <c r="Y390">
        <v>89848</v>
      </c>
      <c r="Z390">
        <f t="shared" si="6"/>
        <v>3202.56</v>
      </c>
    </row>
    <row r="391" spans="1:26" x14ac:dyDescent="0.25">
      <c r="A391">
        <v>22616</v>
      </c>
      <c r="B391" t="s">
        <v>56</v>
      </c>
      <c r="C391" s="2">
        <v>0.1</v>
      </c>
      <c r="D391" s="2">
        <v>175.99</v>
      </c>
      <c r="E391" s="2">
        <v>8.99</v>
      </c>
      <c r="F391">
        <v>697</v>
      </c>
      <c r="G391" t="s">
        <v>822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>
        <v>2180</v>
      </c>
      <c r="N391">
        <v>0.56999999999999995</v>
      </c>
      <c r="O391" t="s">
        <v>33</v>
      </c>
      <c r="P391" t="s">
        <v>61</v>
      </c>
      <c r="Q391" t="s">
        <v>695</v>
      </c>
      <c r="R391" t="s">
        <v>823</v>
      </c>
      <c r="S391">
        <v>46312</v>
      </c>
      <c r="T391" s="1">
        <v>42090</v>
      </c>
      <c r="U391" s="1">
        <v>42091</v>
      </c>
      <c r="V391" s="2">
        <v>928.96079999999995</v>
      </c>
      <c r="W391">
        <v>10</v>
      </c>
      <c r="X391" s="2">
        <v>1346.32</v>
      </c>
      <c r="Y391">
        <v>89847</v>
      </c>
      <c r="Z391">
        <f t="shared" si="6"/>
        <v>13463.199999999999</v>
      </c>
    </row>
    <row r="392" spans="1:26" x14ac:dyDescent="0.25">
      <c r="A392">
        <v>25480</v>
      </c>
      <c r="B392" t="s">
        <v>47</v>
      </c>
      <c r="C392" s="2">
        <v>0.08</v>
      </c>
      <c r="D392" s="2">
        <v>14.81</v>
      </c>
      <c r="E392" s="2">
        <v>13.32</v>
      </c>
      <c r="F392">
        <v>697</v>
      </c>
      <c r="G392" t="s">
        <v>822</v>
      </c>
      <c r="H392" t="s">
        <v>49</v>
      </c>
      <c r="I392" t="s">
        <v>28</v>
      </c>
      <c r="J392" t="s">
        <v>29</v>
      </c>
      <c r="K392" t="s">
        <v>252</v>
      </c>
      <c r="L392" t="s">
        <v>59</v>
      </c>
      <c r="M392" t="s">
        <v>824</v>
      </c>
      <c r="N392">
        <v>0.43</v>
      </c>
      <c r="O392" t="s">
        <v>33</v>
      </c>
      <c r="P392" t="s">
        <v>61</v>
      </c>
      <c r="Q392" t="s">
        <v>695</v>
      </c>
      <c r="R392" t="s">
        <v>823</v>
      </c>
      <c r="S392">
        <v>46312</v>
      </c>
      <c r="T392" s="1">
        <v>42042</v>
      </c>
      <c r="U392" s="1">
        <v>42044</v>
      </c>
      <c r="V392" s="2">
        <v>-131.6172</v>
      </c>
      <c r="W392">
        <v>20</v>
      </c>
      <c r="X392" s="2">
        <v>292.18</v>
      </c>
      <c r="Y392">
        <v>89849</v>
      </c>
      <c r="Z392">
        <f t="shared" si="6"/>
        <v>5843.6</v>
      </c>
    </row>
    <row r="393" spans="1:26" x14ac:dyDescent="0.25">
      <c r="A393">
        <v>4613</v>
      </c>
      <c r="B393" t="s">
        <v>56</v>
      </c>
      <c r="C393" s="2">
        <v>0.06</v>
      </c>
      <c r="D393" s="2">
        <v>8.1199999999999992</v>
      </c>
      <c r="E393" s="2">
        <v>2.83</v>
      </c>
      <c r="F393">
        <v>698</v>
      </c>
      <c r="G393" t="s">
        <v>825</v>
      </c>
      <c r="H393" t="s">
        <v>49</v>
      </c>
      <c r="I393" t="s">
        <v>28</v>
      </c>
      <c r="J393" t="s">
        <v>77</v>
      </c>
      <c r="K393" t="s">
        <v>177</v>
      </c>
      <c r="L393" t="s">
        <v>51</v>
      </c>
      <c r="M393" t="s">
        <v>818</v>
      </c>
      <c r="N393">
        <v>0.77</v>
      </c>
      <c r="O393" t="s">
        <v>33</v>
      </c>
      <c r="P393" t="s">
        <v>34</v>
      </c>
      <c r="Q393" t="s">
        <v>35</v>
      </c>
      <c r="R393" t="s">
        <v>205</v>
      </c>
      <c r="S393">
        <v>98105</v>
      </c>
      <c r="T393" s="1">
        <v>42090</v>
      </c>
      <c r="U393" s="1">
        <v>42091</v>
      </c>
      <c r="V393" s="2">
        <v>-82.83</v>
      </c>
      <c r="W393">
        <v>41</v>
      </c>
      <c r="X393" s="2">
        <v>322.02999999999997</v>
      </c>
      <c r="Y393">
        <v>32869</v>
      </c>
      <c r="Z393">
        <f t="shared" si="6"/>
        <v>13203.23</v>
      </c>
    </row>
    <row r="394" spans="1:26" x14ac:dyDescent="0.25">
      <c r="A394">
        <v>4614</v>
      </c>
      <c r="B394" t="s">
        <v>56</v>
      </c>
      <c r="C394" s="2">
        <v>0.05</v>
      </c>
      <c r="D394" s="2">
        <v>51.65</v>
      </c>
      <c r="E394" s="2">
        <v>18.45</v>
      </c>
      <c r="F394">
        <v>698</v>
      </c>
      <c r="G394" t="s">
        <v>825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820</v>
      </c>
      <c r="N394">
        <v>0.65</v>
      </c>
      <c r="O394" t="s">
        <v>33</v>
      </c>
      <c r="P394" t="s">
        <v>34</v>
      </c>
      <c r="Q394" t="s">
        <v>35</v>
      </c>
      <c r="R394" t="s">
        <v>205</v>
      </c>
      <c r="S394">
        <v>98105</v>
      </c>
      <c r="T394" s="1">
        <v>42090</v>
      </c>
      <c r="U394" s="1">
        <v>42091</v>
      </c>
      <c r="V394" s="2">
        <v>25.04</v>
      </c>
      <c r="W394">
        <v>49</v>
      </c>
      <c r="X394" s="2">
        <v>2470.84</v>
      </c>
      <c r="Y394">
        <v>32869</v>
      </c>
      <c r="Z394">
        <f t="shared" si="6"/>
        <v>121071.16</v>
      </c>
    </row>
    <row r="395" spans="1:26" x14ac:dyDescent="0.25">
      <c r="A395">
        <v>4616</v>
      </c>
      <c r="B395" t="s">
        <v>56</v>
      </c>
      <c r="C395" s="2">
        <v>0.1</v>
      </c>
      <c r="D395" s="2">
        <v>175.99</v>
      </c>
      <c r="E395" s="2">
        <v>8.99</v>
      </c>
      <c r="F395">
        <v>698</v>
      </c>
      <c r="G395" t="s">
        <v>825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>
        <v>2180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205</v>
      </c>
      <c r="S395">
        <v>98105</v>
      </c>
      <c r="T395" s="1">
        <v>42090</v>
      </c>
      <c r="U395" s="1">
        <v>42091</v>
      </c>
      <c r="V395" s="2">
        <v>930.98699999999997</v>
      </c>
      <c r="W395">
        <v>39</v>
      </c>
      <c r="X395" s="2">
        <v>5250.66</v>
      </c>
      <c r="Y395">
        <v>32869</v>
      </c>
      <c r="Z395">
        <f t="shared" si="6"/>
        <v>204775.74</v>
      </c>
    </row>
    <row r="396" spans="1:26" x14ac:dyDescent="0.25">
      <c r="A396">
        <v>1225</v>
      </c>
      <c r="B396" t="s">
        <v>106</v>
      </c>
      <c r="C396" s="2">
        <v>0.1</v>
      </c>
      <c r="D396" s="2">
        <v>40.479999999999997</v>
      </c>
      <c r="E396" s="2">
        <v>19.989999999999998</v>
      </c>
      <c r="F396">
        <v>698</v>
      </c>
      <c r="G396" t="s">
        <v>825</v>
      </c>
      <c r="H396" t="s">
        <v>49</v>
      </c>
      <c r="I396" t="s">
        <v>28</v>
      </c>
      <c r="J396" t="s">
        <v>77</v>
      </c>
      <c r="K396" t="s">
        <v>177</v>
      </c>
      <c r="L396" t="s">
        <v>59</v>
      </c>
      <c r="M396" t="s">
        <v>821</v>
      </c>
      <c r="N396">
        <v>0.77</v>
      </c>
      <c r="O396" t="s">
        <v>33</v>
      </c>
      <c r="P396" t="s">
        <v>34</v>
      </c>
      <c r="Q396" t="s">
        <v>35</v>
      </c>
      <c r="R396" t="s">
        <v>205</v>
      </c>
      <c r="S396">
        <v>98105</v>
      </c>
      <c r="T396" s="1">
        <v>42101</v>
      </c>
      <c r="U396" s="1">
        <v>42103</v>
      </c>
      <c r="V396" s="2">
        <v>-580.32000000000005</v>
      </c>
      <c r="W396">
        <v>36</v>
      </c>
      <c r="X396" s="2">
        <v>1423.35</v>
      </c>
      <c r="Y396">
        <v>8994</v>
      </c>
      <c r="Z396">
        <f t="shared" si="6"/>
        <v>51240.6</v>
      </c>
    </row>
    <row r="397" spans="1:26" x14ac:dyDescent="0.25">
      <c r="A397">
        <v>7480</v>
      </c>
      <c r="B397" t="s">
        <v>47</v>
      </c>
      <c r="C397" s="2">
        <v>0.08</v>
      </c>
      <c r="D397" s="2">
        <v>14.81</v>
      </c>
      <c r="E397" s="2">
        <v>13.32</v>
      </c>
      <c r="F397">
        <v>698</v>
      </c>
      <c r="G397" t="s">
        <v>825</v>
      </c>
      <c r="H397" t="s">
        <v>49</v>
      </c>
      <c r="I397" t="s">
        <v>28</v>
      </c>
      <c r="J397" t="s">
        <v>29</v>
      </c>
      <c r="K397" t="s">
        <v>252</v>
      </c>
      <c r="L397" t="s">
        <v>59</v>
      </c>
      <c r="M397" t="s">
        <v>824</v>
      </c>
      <c r="N397">
        <v>0.43</v>
      </c>
      <c r="O397" t="s">
        <v>33</v>
      </c>
      <c r="P397" t="s">
        <v>34</v>
      </c>
      <c r="Q397" t="s">
        <v>35</v>
      </c>
      <c r="R397" t="s">
        <v>205</v>
      </c>
      <c r="S397">
        <v>98105</v>
      </c>
      <c r="T397" s="1">
        <v>42042</v>
      </c>
      <c r="U397" s="1">
        <v>42044</v>
      </c>
      <c r="V397" s="2">
        <v>-253.11</v>
      </c>
      <c r="W397">
        <v>79</v>
      </c>
      <c r="X397" s="2">
        <v>1154.1199999999999</v>
      </c>
      <c r="Y397">
        <v>53410</v>
      </c>
      <c r="Z397">
        <f t="shared" si="6"/>
        <v>91175.48</v>
      </c>
    </row>
    <row r="398" spans="1:26" x14ac:dyDescent="0.25">
      <c r="A398">
        <v>6289</v>
      </c>
      <c r="B398" t="s">
        <v>56</v>
      </c>
      <c r="C398" s="2">
        <v>0.03</v>
      </c>
      <c r="D398" s="2">
        <v>5.28</v>
      </c>
      <c r="E398" s="2">
        <v>5.61</v>
      </c>
      <c r="F398">
        <v>699</v>
      </c>
      <c r="G398" t="s">
        <v>826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827</v>
      </c>
      <c r="N398">
        <v>0.4</v>
      </c>
      <c r="O398" t="s">
        <v>33</v>
      </c>
      <c r="P398" t="s">
        <v>34</v>
      </c>
      <c r="Q398" t="s">
        <v>45</v>
      </c>
      <c r="R398" t="s">
        <v>655</v>
      </c>
      <c r="S398">
        <v>90041</v>
      </c>
      <c r="T398" s="1">
        <v>42117</v>
      </c>
      <c r="U398" s="1">
        <v>42118</v>
      </c>
      <c r="V398" s="2">
        <v>-16.670000000000002</v>
      </c>
      <c r="W398">
        <v>5</v>
      </c>
      <c r="X398" s="2">
        <v>32.5</v>
      </c>
      <c r="Y398">
        <v>44517</v>
      </c>
      <c r="Z398">
        <f t="shared" si="6"/>
        <v>162.5</v>
      </c>
    </row>
    <row r="399" spans="1:26" x14ac:dyDescent="0.25">
      <c r="A399">
        <v>7733</v>
      </c>
      <c r="B399" t="s">
        <v>47</v>
      </c>
      <c r="C399" s="2">
        <v>0.02</v>
      </c>
      <c r="D399" s="2">
        <v>6.47</v>
      </c>
      <c r="E399" s="2">
        <v>1.22</v>
      </c>
      <c r="F399">
        <v>699</v>
      </c>
      <c r="G399" t="s">
        <v>826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828</v>
      </c>
      <c r="N399">
        <v>0.4</v>
      </c>
      <c r="O399" t="s">
        <v>33</v>
      </c>
      <c r="P399" t="s">
        <v>34</v>
      </c>
      <c r="Q399" t="s">
        <v>45</v>
      </c>
      <c r="R399" t="s">
        <v>655</v>
      </c>
      <c r="S399">
        <v>90041</v>
      </c>
      <c r="T399" s="1">
        <v>42161</v>
      </c>
      <c r="U399" s="1">
        <v>42162</v>
      </c>
      <c r="V399" s="2">
        <v>40.200000000000003</v>
      </c>
      <c r="W399">
        <v>30</v>
      </c>
      <c r="X399" s="2">
        <v>193.95</v>
      </c>
      <c r="Y399">
        <v>55392</v>
      </c>
      <c r="Z399">
        <f t="shared" si="6"/>
        <v>5818.5</v>
      </c>
    </row>
    <row r="400" spans="1:26" x14ac:dyDescent="0.25">
      <c r="A400">
        <v>7734</v>
      </c>
      <c r="B400" t="s">
        <v>47</v>
      </c>
      <c r="C400" s="2">
        <v>7.0000000000000007E-2</v>
      </c>
      <c r="D400" s="2">
        <v>2.84</v>
      </c>
      <c r="E400" s="2">
        <v>0.93</v>
      </c>
      <c r="F400">
        <v>699</v>
      </c>
      <c r="G400" t="s">
        <v>826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655</v>
      </c>
      <c r="S400">
        <v>90041</v>
      </c>
      <c r="T400" s="1">
        <v>42161</v>
      </c>
      <c r="U400" s="1">
        <v>42163</v>
      </c>
      <c r="V400" s="2">
        <v>3.21</v>
      </c>
      <c r="W400">
        <v>59</v>
      </c>
      <c r="X400" s="2">
        <v>158.80000000000001</v>
      </c>
      <c r="Y400">
        <v>55392</v>
      </c>
      <c r="Z400">
        <f t="shared" si="6"/>
        <v>9369.2000000000007</v>
      </c>
    </row>
    <row r="401" spans="1:26" x14ac:dyDescent="0.25">
      <c r="A401">
        <v>5140</v>
      </c>
      <c r="B401" t="s">
        <v>25</v>
      </c>
      <c r="C401" s="2">
        <v>0.01</v>
      </c>
      <c r="D401" s="2">
        <v>7.89</v>
      </c>
      <c r="E401" s="2">
        <v>2.82</v>
      </c>
      <c r="F401">
        <v>699</v>
      </c>
      <c r="G401" t="s">
        <v>826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829</v>
      </c>
      <c r="N401">
        <v>0.4</v>
      </c>
      <c r="O401" t="s">
        <v>33</v>
      </c>
      <c r="P401" t="s">
        <v>34</v>
      </c>
      <c r="Q401" t="s">
        <v>45</v>
      </c>
      <c r="R401" t="s">
        <v>655</v>
      </c>
      <c r="S401">
        <v>90041</v>
      </c>
      <c r="T401" s="1">
        <v>42185</v>
      </c>
      <c r="U401" s="1">
        <v>42186</v>
      </c>
      <c r="V401" s="2">
        <v>38.700000000000003</v>
      </c>
      <c r="W401">
        <v>32</v>
      </c>
      <c r="X401" s="2">
        <v>274.26</v>
      </c>
      <c r="Y401">
        <v>36647</v>
      </c>
      <c r="Z401">
        <f t="shared" si="6"/>
        <v>8776.32</v>
      </c>
    </row>
    <row r="402" spans="1:26" x14ac:dyDescent="0.25">
      <c r="A402">
        <v>5141</v>
      </c>
      <c r="B402" t="s">
        <v>25</v>
      </c>
      <c r="C402" s="2">
        <v>0.09</v>
      </c>
      <c r="D402" s="2">
        <v>3.68</v>
      </c>
      <c r="E402" s="2">
        <v>1.32</v>
      </c>
      <c r="F402">
        <v>699</v>
      </c>
      <c r="G402" t="s">
        <v>826</v>
      </c>
      <c r="H402" t="s">
        <v>49</v>
      </c>
      <c r="I402" t="s">
        <v>114</v>
      </c>
      <c r="J402" t="s">
        <v>29</v>
      </c>
      <c r="K402" t="s">
        <v>171</v>
      </c>
      <c r="L402" t="s">
        <v>31</v>
      </c>
      <c r="M402" t="s">
        <v>830</v>
      </c>
      <c r="N402">
        <v>0.83</v>
      </c>
      <c r="O402" t="s">
        <v>33</v>
      </c>
      <c r="P402" t="s">
        <v>34</v>
      </c>
      <c r="Q402" t="s">
        <v>45</v>
      </c>
      <c r="R402" t="s">
        <v>655</v>
      </c>
      <c r="S402">
        <v>90041</v>
      </c>
      <c r="T402" s="1">
        <v>42185</v>
      </c>
      <c r="U402" s="1">
        <v>42186</v>
      </c>
      <c r="V402" s="2">
        <v>-21.91</v>
      </c>
      <c r="W402">
        <v>24</v>
      </c>
      <c r="X402" s="2">
        <v>83.16</v>
      </c>
      <c r="Y402">
        <v>36647</v>
      </c>
      <c r="Z402">
        <f t="shared" si="6"/>
        <v>1995.84</v>
      </c>
    </row>
    <row r="403" spans="1:26" x14ac:dyDescent="0.25">
      <c r="A403">
        <v>5142</v>
      </c>
      <c r="B403" t="s">
        <v>25</v>
      </c>
      <c r="C403" s="2">
        <v>0.1</v>
      </c>
      <c r="D403" s="2">
        <v>9.7100000000000009</v>
      </c>
      <c r="E403" s="2">
        <v>9.4499999999999993</v>
      </c>
      <c r="F403">
        <v>699</v>
      </c>
      <c r="G403" t="s">
        <v>826</v>
      </c>
      <c r="H403" t="s">
        <v>49</v>
      </c>
      <c r="I403" t="s">
        <v>114</v>
      </c>
      <c r="J403" t="s">
        <v>29</v>
      </c>
      <c r="K403" t="s">
        <v>139</v>
      </c>
      <c r="L403" t="s">
        <v>59</v>
      </c>
      <c r="M403" t="s">
        <v>503</v>
      </c>
      <c r="N403">
        <v>0.6</v>
      </c>
      <c r="O403" t="s">
        <v>33</v>
      </c>
      <c r="P403" t="s">
        <v>34</v>
      </c>
      <c r="Q403" t="s">
        <v>45</v>
      </c>
      <c r="R403" t="s">
        <v>655</v>
      </c>
      <c r="S403">
        <v>90041</v>
      </c>
      <c r="T403" s="1">
        <v>42185</v>
      </c>
      <c r="U403" s="1">
        <v>42188</v>
      </c>
      <c r="V403" s="2">
        <v>-119.77</v>
      </c>
      <c r="W403">
        <v>27</v>
      </c>
      <c r="X403" s="2">
        <v>261.93</v>
      </c>
      <c r="Y403">
        <v>36647</v>
      </c>
      <c r="Z403">
        <f t="shared" si="6"/>
        <v>7072.1100000000006</v>
      </c>
    </row>
    <row r="404" spans="1:26" x14ac:dyDescent="0.25">
      <c r="A404">
        <v>4556</v>
      </c>
      <c r="B404" t="s">
        <v>56</v>
      </c>
      <c r="C404" s="2">
        <v>7.0000000000000007E-2</v>
      </c>
      <c r="D404" s="2">
        <v>5.0199999999999996</v>
      </c>
      <c r="E404" s="2">
        <v>5.14</v>
      </c>
      <c r="F404">
        <v>699</v>
      </c>
      <c r="G404" t="s">
        <v>826</v>
      </c>
      <c r="H404" t="s">
        <v>49</v>
      </c>
      <c r="I404" t="s">
        <v>114</v>
      </c>
      <c r="J404" t="s">
        <v>77</v>
      </c>
      <c r="K404" t="s">
        <v>177</v>
      </c>
      <c r="L404" t="s">
        <v>51</v>
      </c>
      <c r="M404" t="s">
        <v>831</v>
      </c>
      <c r="N404">
        <v>0.79</v>
      </c>
      <c r="O404" t="s">
        <v>33</v>
      </c>
      <c r="P404" t="s">
        <v>34</v>
      </c>
      <c r="Q404" t="s">
        <v>45</v>
      </c>
      <c r="R404" t="s">
        <v>655</v>
      </c>
      <c r="S404">
        <v>90041</v>
      </c>
      <c r="T404" s="1">
        <v>42033</v>
      </c>
      <c r="U404" s="1">
        <v>42035</v>
      </c>
      <c r="V404" s="2">
        <v>-168.72</v>
      </c>
      <c r="W404">
        <v>42</v>
      </c>
      <c r="X404" s="2">
        <v>210.1</v>
      </c>
      <c r="Y404">
        <v>32420</v>
      </c>
      <c r="Z404">
        <f t="shared" si="6"/>
        <v>8824.1999999999989</v>
      </c>
    </row>
    <row r="405" spans="1:26" x14ac:dyDescent="0.25">
      <c r="A405">
        <v>4557</v>
      </c>
      <c r="B405" t="s">
        <v>56</v>
      </c>
      <c r="C405" s="2">
        <v>7.0000000000000007E-2</v>
      </c>
      <c r="D405" s="2">
        <v>280.98</v>
      </c>
      <c r="E405" s="2">
        <v>57</v>
      </c>
      <c r="F405">
        <v>699</v>
      </c>
      <c r="G405" t="s">
        <v>826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662</v>
      </c>
      <c r="N405">
        <v>0.78</v>
      </c>
      <c r="O405" t="s">
        <v>33</v>
      </c>
      <c r="P405" t="s">
        <v>34</v>
      </c>
      <c r="Q405" t="s">
        <v>45</v>
      </c>
      <c r="R405" t="s">
        <v>655</v>
      </c>
      <c r="S405">
        <v>90041</v>
      </c>
      <c r="T405" s="1">
        <v>42033</v>
      </c>
      <c r="U405" s="1">
        <v>42035</v>
      </c>
      <c r="V405" s="2">
        <v>-439.62</v>
      </c>
      <c r="W405">
        <v>23</v>
      </c>
      <c r="X405" s="2">
        <v>6499.87</v>
      </c>
      <c r="Y405">
        <v>32420</v>
      </c>
      <c r="Z405">
        <f t="shared" si="6"/>
        <v>149497.01</v>
      </c>
    </row>
    <row r="406" spans="1:26" x14ac:dyDescent="0.25">
      <c r="A406">
        <v>448</v>
      </c>
      <c r="B406" t="s">
        <v>56</v>
      </c>
      <c r="C406" s="2">
        <v>0.1</v>
      </c>
      <c r="D406" s="2">
        <v>4.26</v>
      </c>
      <c r="E406" s="2">
        <v>1.2</v>
      </c>
      <c r="F406">
        <v>699</v>
      </c>
      <c r="G406" t="s">
        <v>826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198</v>
      </c>
      <c r="N406">
        <v>0.44</v>
      </c>
      <c r="O406" t="s">
        <v>33</v>
      </c>
      <c r="P406" t="s">
        <v>34</v>
      </c>
      <c r="Q406" t="s">
        <v>45</v>
      </c>
      <c r="R406" t="s">
        <v>655</v>
      </c>
      <c r="S406">
        <v>90041</v>
      </c>
      <c r="T406" s="1">
        <v>42144</v>
      </c>
      <c r="U406" s="1">
        <v>42145</v>
      </c>
      <c r="V406" s="2">
        <v>15.42</v>
      </c>
      <c r="W406">
        <v>88</v>
      </c>
      <c r="X406" s="2">
        <v>351.56</v>
      </c>
      <c r="Y406">
        <v>3042</v>
      </c>
      <c r="Z406">
        <f t="shared" si="6"/>
        <v>30937.279999999999</v>
      </c>
    </row>
    <row r="407" spans="1:26" x14ac:dyDescent="0.25">
      <c r="A407">
        <v>18448</v>
      </c>
      <c r="B407" t="s">
        <v>56</v>
      </c>
      <c r="C407" s="2">
        <v>0.1</v>
      </c>
      <c r="D407" s="2">
        <v>4.26</v>
      </c>
      <c r="E407" s="2">
        <v>1.2</v>
      </c>
      <c r="F407">
        <v>700</v>
      </c>
      <c r="G407" t="s">
        <v>832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198</v>
      </c>
      <c r="N407">
        <v>0.44</v>
      </c>
      <c r="O407" t="s">
        <v>33</v>
      </c>
      <c r="P407" t="s">
        <v>34</v>
      </c>
      <c r="Q407" t="s">
        <v>45</v>
      </c>
      <c r="R407" t="s">
        <v>747</v>
      </c>
      <c r="S407">
        <v>93454</v>
      </c>
      <c r="T407" s="1">
        <v>42144</v>
      </c>
      <c r="U407" s="1">
        <v>42145</v>
      </c>
      <c r="V407" s="2">
        <v>33.923999999999999</v>
      </c>
      <c r="W407">
        <v>22</v>
      </c>
      <c r="X407" s="2">
        <v>87.89</v>
      </c>
      <c r="Y407">
        <v>87980</v>
      </c>
      <c r="Z407">
        <f t="shared" si="6"/>
        <v>1933.58</v>
      </c>
    </row>
    <row r="408" spans="1:26" x14ac:dyDescent="0.25">
      <c r="A408">
        <v>24289</v>
      </c>
      <c r="B408" t="s">
        <v>56</v>
      </c>
      <c r="C408" s="2">
        <v>0.03</v>
      </c>
      <c r="D408" s="2">
        <v>5.28</v>
      </c>
      <c r="E408" s="2">
        <v>5.61</v>
      </c>
      <c r="F408">
        <v>702</v>
      </c>
      <c r="G408" t="s">
        <v>833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827</v>
      </c>
      <c r="N408">
        <v>0.4</v>
      </c>
      <c r="O408" t="s">
        <v>33</v>
      </c>
      <c r="P408" t="s">
        <v>34</v>
      </c>
      <c r="Q408" t="s">
        <v>45</v>
      </c>
      <c r="R408" t="s">
        <v>834</v>
      </c>
      <c r="S408">
        <v>95404</v>
      </c>
      <c r="T408" s="1">
        <v>42117</v>
      </c>
      <c r="U408" s="1">
        <v>42118</v>
      </c>
      <c r="V408" s="2">
        <v>-16.670000000000002</v>
      </c>
      <c r="W408">
        <v>1</v>
      </c>
      <c r="X408" s="2">
        <v>6.5</v>
      </c>
      <c r="Y408">
        <v>87977</v>
      </c>
      <c r="Z408">
        <f t="shared" si="6"/>
        <v>6.5</v>
      </c>
    </row>
    <row r="409" spans="1:26" x14ac:dyDescent="0.25">
      <c r="A409">
        <v>23140</v>
      </c>
      <c r="B409" t="s">
        <v>25</v>
      </c>
      <c r="C409" s="2">
        <v>0.01</v>
      </c>
      <c r="D409" s="2">
        <v>7.89</v>
      </c>
      <c r="E409" s="2">
        <v>2.82</v>
      </c>
      <c r="F409">
        <v>702</v>
      </c>
      <c r="G409" t="s">
        <v>833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829</v>
      </c>
      <c r="N409">
        <v>0.4</v>
      </c>
      <c r="O409" t="s">
        <v>33</v>
      </c>
      <c r="P409" t="s">
        <v>34</v>
      </c>
      <c r="Q409" t="s">
        <v>45</v>
      </c>
      <c r="R409" t="s">
        <v>834</v>
      </c>
      <c r="S409">
        <v>95404</v>
      </c>
      <c r="T409" s="1">
        <v>42185</v>
      </c>
      <c r="U409" s="1">
        <v>42186</v>
      </c>
      <c r="V409" s="2">
        <v>46.44</v>
      </c>
      <c r="W409">
        <v>8</v>
      </c>
      <c r="X409" s="2">
        <v>68.56</v>
      </c>
      <c r="Y409">
        <v>87979</v>
      </c>
      <c r="Z409">
        <f t="shared" si="6"/>
        <v>548.48</v>
      </c>
    </row>
    <row r="410" spans="1:26" x14ac:dyDescent="0.25">
      <c r="A410">
        <v>23141</v>
      </c>
      <c r="B410" t="s">
        <v>25</v>
      </c>
      <c r="C410" s="2">
        <v>0.09</v>
      </c>
      <c r="D410" s="2">
        <v>3.68</v>
      </c>
      <c r="E410" s="2">
        <v>1.32</v>
      </c>
      <c r="F410">
        <v>702</v>
      </c>
      <c r="G410" t="s">
        <v>833</v>
      </c>
      <c r="H410" t="s">
        <v>49</v>
      </c>
      <c r="I410" t="s">
        <v>114</v>
      </c>
      <c r="J410" t="s">
        <v>29</v>
      </c>
      <c r="K410" t="s">
        <v>171</v>
      </c>
      <c r="L410" t="s">
        <v>31</v>
      </c>
      <c r="M410" t="s">
        <v>830</v>
      </c>
      <c r="N410">
        <v>0.83</v>
      </c>
      <c r="O410" t="s">
        <v>33</v>
      </c>
      <c r="P410" t="s">
        <v>34</v>
      </c>
      <c r="Q410" t="s">
        <v>45</v>
      </c>
      <c r="R410" t="s">
        <v>834</v>
      </c>
      <c r="S410">
        <v>95404</v>
      </c>
      <c r="T410" s="1">
        <v>42185</v>
      </c>
      <c r="U410" s="1">
        <v>42186</v>
      </c>
      <c r="V410" s="2">
        <v>-17.527999999999999</v>
      </c>
      <c r="W410">
        <v>6</v>
      </c>
      <c r="X410" s="2">
        <v>20.79</v>
      </c>
      <c r="Y410">
        <v>87979</v>
      </c>
      <c r="Z410">
        <f t="shared" si="6"/>
        <v>124.74</v>
      </c>
    </row>
    <row r="411" spans="1:26" x14ac:dyDescent="0.25">
      <c r="A411">
        <v>23142</v>
      </c>
      <c r="B411" t="s">
        <v>25</v>
      </c>
      <c r="C411" s="2">
        <v>0.1</v>
      </c>
      <c r="D411" s="2">
        <v>9.7100000000000009</v>
      </c>
      <c r="E411" s="2">
        <v>9.4499999999999993</v>
      </c>
      <c r="F411">
        <v>702</v>
      </c>
      <c r="G411" t="s">
        <v>833</v>
      </c>
      <c r="H411" t="s">
        <v>49</v>
      </c>
      <c r="I411" t="s">
        <v>114</v>
      </c>
      <c r="J411" t="s">
        <v>29</v>
      </c>
      <c r="K411" t="s">
        <v>139</v>
      </c>
      <c r="L411" t="s">
        <v>59</v>
      </c>
      <c r="M411" t="s">
        <v>503</v>
      </c>
      <c r="N411">
        <v>0.6</v>
      </c>
      <c r="O411" t="s">
        <v>33</v>
      </c>
      <c r="P411" t="s">
        <v>34</v>
      </c>
      <c r="Q411" t="s">
        <v>45</v>
      </c>
      <c r="R411" t="s">
        <v>834</v>
      </c>
      <c r="S411">
        <v>95404</v>
      </c>
      <c r="T411" s="1">
        <v>42185</v>
      </c>
      <c r="U411" s="1">
        <v>42188</v>
      </c>
      <c r="V411" s="2">
        <v>-95.816000000000003</v>
      </c>
      <c r="W411">
        <v>7</v>
      </c>
      <c r="X411" s="2">
        <v>67.91</v>
      </c>
      <c r="Y411">
        <v>87979</v>
      </c>
      <c r="Z411">
        <f t="shared" si="6"/>
        <v>475.37</v>
      </c>
    </row>
    <row r="412" spans="1:26" x14ac:dyDescent="0.25">
      <c r="A412">
        <v>25734</v>
      </c>
      <c r="B412" t="s">
        <v>47</v>
      </c>
      <c r="C412" s="2">
        <v>7.0000000000000007E-2</v>
      </c>
      <c r="D412" s="2">
        <v>2.84</v>
      </c>
      <c r="E412" s="2">
        <v>0.93</v>
      </c>
      <c r="F412">
        <v>711</v>
      </c>
      <c r="G412" t="s">
        <v>835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189</v>
      </c>
      <c r="R412" t="s">
        <v>836</v>
      </c>
      <c r="S412">
        <v>2152</v>
      </c>
      <c r="T412" s="1">
        <v>42161</v>
      </c>
      <c r="U412" s="1">
        <v>42163</v>
      </c>
      <c r="V412" s="2">
        <v>3.8519999999999999</v>
      </c>
      <c r="W412">
        <v>15</v>
      </c>
      <c r="X412" s="2">
        <v>40.369999999999997</v>
      </c>
      <c r="Y412">
        <v>87978</v>
      </c>
      <c r="Z412">
        <f t="shared" si="6"/>
        <v>605.54999999999995</v>
      </c>
    </row>
    <row r="413" spans="1:26" x14ac:dyDescent="0.25">
      <c r="A413">
        <v>20789</v>
      </c>
      <c r="B413" t="s">
        <v>37</v>
      </c>
      <c r="C413" s="2">
        <v>0</v>
      </c>
      <c r="D413" s="2">
        <v>8.5</v>
      </c>
      <c r="E413" s="2">
        <v>1.99</v>
      </c>
      <c r="F413">
        <v>719</v>
      </c>
      <c r="G413" t="s">
        <v>837</v>
      </c>
      <c r="H413" t="s">
        <v>49</v>
      </c>
      <c r="I413" t="s">
        <v>28</v>
      </c>
      <c r="J413" t="s">
        <v>77</v>
      </c>
      <c r="K413" t="s">
        <v>177</v>
      </c>
      <c r="L413" t="s">
        <v>51</v>
      </c>
      <c r="M413" t="s">
        <v>838</v>
      </c>
      <c r="N413">
        <v>0.49</v>
      </c>
      <c r="O413" t="s">
        <v>33</v>
      </c>
      <c r="P413" t="s">
        <v>34</v>
      </c>
      <c r="Q413" t="s">
        <v>526</v>
      </c>
      <c r="R413" t="s">
        <v>839</v>
      </c>
      <c r="S413">
        <v>89041</v>
      </c>
      <c r="T413" s="1">
        <v>42063</v>
      </c>
      <c r="U413" s="1">
        <v>42065</v>
      </c>
      <c r="V413" s="2">
        <v>71.735600000000005</v>
      </c>
      <c r="W413">
        <v>14</v>
      </c>
      <c r="X413" s="2">
        <v>122.25</v>
      </c>
      <c r="Y413">
        <v>89344</v>
      </c>
      <c r="Z413">
        <f t="shared" si="6"/>
        <v>1711.5</v>
      </c>
    </row>
    <row r="414" spans="1:26" x14ac:dyDescent="0.25">
      <c r="A414">
        <v>20790</v>
      </c>
      <c r="B414" t="s">
        <v>37</v>
      </c>
      <c r="C414" s="2">
        <v>0.03</v>
      </c>
      <c r="D414" s="2">
        <v>95.43</v>
      </c>
      <c r="E414" s="2">
        <v>19.989999999999998</v>
      </c>
      <c r="F414">
        <v>719</v>
      </c>
      <c r="G414" t="s">
        <v>837</v>
      </c>
      <c r="H414" t="s">
        <v>49</v>
      </c>
      <c r="I414" t="s">
        <v>28</v>
      </c>
      <c r="J414" t="s">
        <v>29</v>
      </c>
      <c r="K414" t="s">
        <v>139</v>
      </c>
      <c r="L414" t="s">
        <v>59</v>
      </c>
      <c r="M414" t="s">
        <v>840</v>
      </c>
      <c r="N414">
        <v>0.79</v>
      </c>
      <c r="O414" t="s">
        <v>33</v>
      </c>
      <c r="P414" t="s">
        <v>34</v>
      </c>
      <c r="Q414" t="s">
        <v>526</v>
      </c>
      <c r="R414" t="s">
        <v>839</v>
      </c>
      <c r="S414">
        <v>89041</v>
      </c>
      <c r="T414" s="1">
        <v>42063</v>
      </c>
      <c r="U414" s="1">
        <v>42065</v>
      </c>
      <c r="V414" s="2">
        <v>-79.320800000000006</v>
      </c>
      <c r="W414">
        <v>2</v>
      </c>
      <c r="X414" s="2">
        <v>206.09</v>
      </c>
      <c r="Y414">
        <v>89344</v>
      </c>
      <c r="Z414">
        <f t="shared" si="6"/>
        <v>412.18</v>
      </c>
    </row>
    <row r="415" spans="1:26" x14ac:dyDescent="0.25">
      <c r="A415">
        <v>20633</v>
      </c>
      <c r="B415" t="s">
        <v>37</v>
      </c>
      <c r="C415" s="2">
        <v>0.04</v>
      </c>
      <c r="D415" s="2">
        <v>10.64</v>
      </c>
      <c r="E415" s="2">
        <v>5.16</v>
      </c>
      <c r="F415">
        <v>721</v>
      </c>
      <c r="G415" t="s">
        <v>841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842</v>
      </c>
      <c r="N415">
        <v>0.56999999999999995</v>
      </c>
      <c r="O415" t="s">
        <v>33</v>
      </c>
      <c r="P415" t="s">
        <v>61</v>
      </c>
      <c r="Q415" t="s">
        <v>695</v>
      </c>
      <c r="R415" t="s">
        <v>843</v>
      </c>
      <c r="S415">
        <v>46041</v>
      </c>
      <c r="T415" s="1">
        <v>42179</v>
      </c>
      <c r="U415" s="1">
        <v>42180</v>
      </c>
      <c r="V415" s="2">
        <v>24.096</v>
      </c>
      <c r="W415">
        <v>6</v>
      </c>
      <c r="X415" s="2">
        <v>66.900000000000006</v>
      </c>
      <c r="Y415">
        <v>91053</v>
      </c>
      <c r="Z415">
        <f t="shared" si="6"/>
        <v>401.40000000000003</v>
      </c>
    </row>
    <row r="416" spans="1:26" x14ac:dyDescent="0.25">
      <c r="A416">
        <v>20634</v>
      </c>
      <c r="B416" t="s">
        <v>37</v>
      </c>
      <c r="C416" s="2">
        <v>0.03</v>
      </c>
      <c r="D416" s="2">
        <v>2.78</v>
      </c>
      <c r="E416" s="2">
        <v>1.34</v>
      </c>
      <c r="F416">
        <v>721</v>
      </c>
      <c r="G416" t="s">
        <v>841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844</v>
      </c>
      <c r="N416">
        <v>0.45</v>
      </c>
      <c r="O416" t="s">
        <v>33</v>
      </c>
      <c r="P416" t="s">
        <v>61</v>
      </c>
      <c r="Q416" t="s">
        <v>695</v>
      </c>
      <c r="R416" t="s">
        <v>843</v>
      </c>
      <c r="S416">
        <v>46041</v>
      </c>
      <c r="T416" s="1">
        <v>42179</v>
      </c>
      <c r="U416" s="1">
        <v>42181</v>
      </c>
      <c r="V416" s="2">
        <v>6.9720000000000004</v>
      </c>
      <c r="W416">
        <v>15</v>
      </c>
      <c r="X416" s="2">
        <v>43.13</v>
      </c>
      <c r="Y416">
        <v>91053</v>
      </c>
      <c r="Z416">
        <f t="shared" si="6"/>
        <v>646.95000000000005</v>
      </c>
    </row>
    <row r="417" spans="1:26" x14ac:dyDescent="0.25">
      <c r="A417">
        <v>24574</v>
      </c>
      <c r="B417" t="s">
        <v>56</v>
      </c>
      <c r="C417" s="2">
        <v>0.01</v>
      </c>
      <c r="D417" s="2">
        <v>7.28</v>
      </c>
      <c r="E417" s="2">
        <v>11.15</v>
      </c>
      <c r="F417">
        <v>721</v>
      </c>
      <c r="G417" t="s">
        <v>841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845</v>
      </c>
      <c r="N417">
        <v>0.37</v>
      </c>
      <c r="O417" t="s">
        <v>33</v>
      </c>
      <c r="P417" t="s">
        <v>61</v>
      </c>
      <c r="Q417" t="s">
        <v>695</v>
      </c>
      <c r="R417" t="s">
        <v>843</v>
      </c>
      <c r="S417">
        <v>46041</v>
      </c>
      <c r="T417" s="1">
        <v>42105</v>
      </c>
      <c r="U417" s="1">
        <v>42107</v>
      </c>
      <c r="V417" s="2">
        <v>-24.245999999999999</v>
      </c>
      <c r="W417">
        <v>1</v>
      </c>
      <c r="X417" s="2">
        <v>11.21</v>
      </c>
      <c r="Y417">
        <v>91054</v>
      </c>
      <c r="Z417">
        <f t="shared" si="6"/>
        <v>11.21</v>
      </c>
    </row>
    <row r="418" spans="1:26" x14ac:dyDescent="0.25">
      <c r="A418">
        <v>19601</v>
      </c>
      <c r="B418" t="s">
        <v>56</v>
      </c>
      <c r="C418" s="2">
        <v>0.09</v>
      </c>
      <c r="D418" s="2">
        <v>125.99</v>
      </c>
      <c r="E418" s="2">
        <v>8.99</v>
      </c>
      <c r="F418">
        <v>724</v>
      </c>
      <c r="G418" t="s">
        <v>846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847</v>
      </c>
      <c r="N418">
        <v>0.55000000000000004</v>
      </c>
      <c r="O418" t="s">
        <v>33</v>
      </c>
      <c r="P418" t="s">
        <v>53</v>
      </c>
      <c r="Q418" t="s">
        <v>223</v>
      </c>
      <c r="R418" t="s">
        <v>848</v>
      </c>
      <c r="S418">
        <v>6614</v>
      </c>
      <c r="T418" s="1">
        <v>42078</v>
      </c>
      <c r="U418" s="1">
        <v>42079</v>
      </c>
      <c r="V418" s="2">
        <v>-605.37400000000002</v>
      </c>
      <c r="W418">
        <v>1</v>
      </c>
      <c r="X418" s="2">
        <v>100.38</v>
      </c>
      <c r="Y418">
        <v>90359</v>
      </c>
      <c r="Z418">
        <f t="shared" si="6"/>
        <v>100.38</v>
      </c>
    </row>
    <row r="419" spans="1:26" x14ac:dyDescent="0.25">
      <c r="A419">
        <v>19600</v>
      </c>
      <c r="B419" t="s">
        <v>56</v>
      </c>
      <c r="C419" s="2">
        <v>0.1</v>
      </c>
      <c r="D419" s="2">
        <v>17.98</v>
      </c>
      <c r="E419" s="2">
        <v>4</v>
      </c>
      <c r="F419">
        <v>727</v>
      </c>
      <c r="G419" t="s">
        <v>849</v>
      </c>
      <c r="H419" t="s">
        <v>49</v>
      </c>
      <c r="I419" t="s">
        <v>114</v>
      </c>
      <c r="J419" t="s">
        <v>77</v>
      </c>
      <c r="K419" t="s">
        <v>177</v>
      </c>
      <c r="L419" t="s">
        <v>59</v>
      </c>
      <c r="M419" t="s">
        <v>178</v>
      </c>
      <c r="N419">
        <v>0.79</v>
      </c>
      <c r="O419" t="s">
        <v>33</v>
      </c>
      <c r="P419" t="s">
        <v>53</v>
      </c>
      <c r="Q419" t="s">
        <v>184</v>
      </c>
      <c r="R419" t="s">
        <v>470</v>
      </c>
      <c r="S419">
        <v>4240</v>
      </c>
      <c r="T419" s="1">
        <v>42078</v>
      </c>
      <c r="U419" s="1">
        <v>42079</v>
      </c>
      <c r="V419" s="2">
        <v>-99.55</v>
      </c>
      <c r="W419">
        <v>4</v>
      </c>
      <c r="X419" s="2">
        <v>66.319999999999993</v>
      </c>
      <c r="Y419">
        <v>90359</v>
      </c>
      <c r="Z419">
        <f t="shared" si="6"/>
        <v>265.27999999999997</v>
      </c>
    </row>
    <row r="420" spans="1:26" x14ac:dyDescent="0.25">
      <c r="A420">
        <v>23436</v>
      </c>
      <c r="B420" t="s">
        <v>25</v>
      </c>
      <c r="C420" s="2">
        <v>0.09</v>
      </c>
      <c r="D420" s="2">
        <v>101.41</v>
      </c>
      <c r="E420" s="2">
        <v>35</v>
      </c>
      <c r="F420">
        <v>731</v>
      </c>
      <c r="G420" t="s">
        <v>850</v>
      </c>
      <c r="H420" t="s">
        <v>49</v>
      </c>
      <c r="I420" t="s">
        <v>114</v>
      </c>
      <c r="J420" t="s">
        <v>29</v>
      </c>
      <c r="K420" t="s">
        <v>139</v>
      </c>
      <c r="L420" t="s">
        <v>231</v>
      </c>
      <c r="M420" t="s">
        <v>851</v>
      </c>
      <c r="N420">
        <v>0.82</v>
      </c>
      <c r="O420" t="s">
        <v>33</v>
      </c>
      <c r="P420" t="s">
        <v>53</v>
      </c>
      <c r="Q420" t="s">
        <v>189</v>
      </c>
      <c r="R420" t="s">
        <v>148</v>
      </c>
      <c r="S420">
        <v>1803</v>
      </c>
      <c r="T420" s="1">
        <v>42120</v>
      </c>
      <c r="U420" s="1">
        <v>42121</v>
      </c>
      <c r="V420" s="2">
        <v>-801.15480000000002</v>
      </c>
      <c r="W420">
        <v>12</v>
      </c>
      <c r="X420" s="2">
        <v>1178.32</v>
      </c>
      <c r="Y420">
        <v>90362</v>
      </c>
      <c r="Z420">
        <f t="shared" si="6"/>
        <v>14139.84</v>
      </c>
    </row>
    <row r="421" spans="1:26" x14ac:dyDescent="0.25">
      <c r="A421">
        <v>21950</v>
      </c>
      <c r="B421" t="s">
        <v>37</v>
      </c>
      <c r="C421" s="2">
        <v>0.06</v>
      </c>
      <c r="D421" s="2">
        <v>350.98</v>
      </c>
      <c r="E421" s="2">
        <v>30</v>
      </c>
      <c r="F421">
        <v>736</v>
      </c>
      <c r="G421" t="s">
        <v>852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853</v>
      </c>
      <c r="N421">
        <v>0.61</v>
      </c>
      <c r="O421" t="s">
        <v>33</v>
      </c>
      <c r="P421" t="s">
        <v>53</v>
      </c>
      <c r="Q421" t="s">
        <v>193</v>
      </c>
      <c r="R421" t="s">
        <v>137</v>
      </c>
      <c r="S421">
        <v>3079</v>
      </c>
      <c r="T421" s="1">
        <v>42170</v>
      </c>
      <c r="U421" s="1">
        <v>42172</v>
      </c>
      <c r="V421" s="2">
        <v>797.85599999999999</v>
      </c>
      <c r="W421">
        <v>6</v>
      </c>
      <c r="X421" s="2">
        <v>2016.32</v>
      </c>
      <c r="Y421">
        <v>90361</v>
      </c>
      <c r="Z421">
        <f t="shared" si="6"/>
        <v>12097.92</v>
      </c>
    </row>
    <row r="422" spans="1:26" x14ac:dyDescent="0.25">
      <c r="A422">
        <v>23613</v>
      </c>
      <c r="B422" t="s">
        <v>106</v>
      </c>
      <c r="C422" s="2">
        <v>0.02</v>
      </c>
      <c r="D422" s="2">
        <v>48.04</v>
      </c>
      <c r="E422" s="2">
        <v>5.79</v>
      </c>
      <c r="F422">
        <v>737</v>
      </c>
      <c r="G422" t="s">
        <v>854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855</v>
      </c>
      <c r="N422">
        <v>0.37</v>
      </c>
      <c r="O422" t="s">
        <v>33</v>
      </c>
      <c r="P422" t="s">
        <v>53</v>
      </c>
      <c r="Q422" t="s">
        <v>54</v>
      </c>
      <c r="R422" t="s">
        <v>856</v>
      </c>
      <c r="S422">
        <v>7003</v>
      </c>
      <c r="T422" s="1">
        <v>42162</v>
      </c>
      <c r="U422" s="1">
        <v>42169</v>
      </c>
      <c r="V422" s="2">
        <v>422.45249999999999</v>
      </c>
      <c r="W422">
        <v>12</v>
      </c>
      <c r="X422" s="2">
        <v>612.25</v>
      </c>
      <c r="Y422">
        <v>90360</v>
      </c>
      <c r="Z422">
        <f t="shared" si="6"/>
        <v>7347</v>
      </c>
    </row>
    <row r="423" spans="1:26" x14ac:dyDescent="0.25">
      <c r="A423">
        <v>21949</v>
      </c>
      <c r="B423" t="s">
        <v>37</v>
      </c>
      <c r="C423" s="2">
        <v>0.02</v>
      </c>
      <c r="D423" s="2">
        <v>70.98</v>
      </c>
      <c r="E423" s="2">
        <v>46.74</v>
      </c>
      <c r="F423">
        <v>738</v>
      </c>
      <c r="G423" t="s">
        <v>857</v>
      </c>
      <c r="H423" t="s">
        <v>39</v>
      </c>
      <c r="I423" t="s">
        <v>114</v>
      </c>
      <c r="J423" t="s">
        <v>41</v>
      </c>
      <c r="K423" t="s">
        <v>187</v>
      </c>
      <c r="L423" t="s">
        <v>120</v>
      </c>
      <c r="M423" t="s">
        <v>858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859</v>
      </c>
      <c r="S423">
        <v>7016</v>
      </c>
      <c r="T423" s="1">
        <v>42170</v>
      </c>
      <c r="U423" s="1">
        <v>42171</v>
      </c>
      <c r="V423" s="2">
        <v>-178.21600000000001</v>
      </c>
      <c r="W423">
        <v>4</v>
      </c>
      <c r="X423" s="2">
        <v>313.63</v>
      </c>
      <c r="Y423">
        <v>90361</v>
      </c>
      <c r="Z423">
        <f t="shared" si="6"/>
        <v>1254.52</v>
      </c>
    </row>
    <row r="424" spans="1:26" x14ac:dyDescent="0.25">
      <c r="A424">
        <v>21951</v>
      </c>
      <c r="B424" t="s">
        <v>37</v>
      </c>
      <c r="C424" s="2">
        <v>0.04</v>
      </c>
      <c r="D424" s="2">
        <v>27.48</v>
      </c>
      <c r="E424" s="2">
        <v>4</v>
      </c>
      <c r="F424">
        <v>741</v>
      </c>
      <c r="G424" t="s">
        <v>860</v>
      </c>
      <c r="H424" t="s">
        <v>49</v>
      </c>
      <c r="I424" t="s">
        <v>114</v>
      </c>
      <c r="J424" t="s">
        <v>77</v>
      </c>
      <c r="K424" t="s">
        <v>177</v>
      </c>
      <c r="L424" t="s">
        <v>59</v>
      </c>
      <c r="M424" t="s">
        <v>861</v>
      </c>
      <c r="N424">
        <v>0.75</v>
      </c>
      <c r="O424" t="s">
        <v>33</v>
      </c>
      <c r="P424" t="s">
        <v>53</v>
      </c>
      <c r="Q424" t="s">
        <v>54</v>
      </c>
      <c r="R424" t="s">
        <v>862</v>
      </c>
      <c r="S424">
        <v>7901</v>
      </c>
      <c r="T424" s="1">
        <v>42170</v>
      </c>
      <c r="U424" s="1">
        <v>42172</v>
      </c>
      <c r="V424" s="2">
        <v>-26.655999999999999</v>
      </c>
      <c r="W424">
        <v>15</v>
      </c>
      <c r="X424" s="2">
        <v>397.17</v>
      </c>
      <c r="Y424">
        <v>90361</v>
      </c>
      <c r="Z424">
        <f t="shared" si="6"/>
        <v>5957.55</v>
      </c>
    </row>
    <row r="425" spans="1:26" x14ac:dyDescent="0.25">
      <c r="A425">
        <v>19209</v>
      </c>
      <c r="B425" t="s">
        <v>106</v>
      </c>
      <c r="C425" s="2">
        <v>0.02</v>
      </c>
      <c r="D425" s="2">
        <v>59.98</v>
      </c>
      <c r="E425" s="2">
        <v>3.99</v>
      </c>
      <c r="F425">
        <v>744</v>
      </c>
      <c r="G425" t="s">
        <v>863</v>
      </c>
      <c r="H425" t="s">
        <v>49</v>
      </c>
      <c r="I425" t="s">
        <v>28</v>
      </c>
      <c r="J425" t="s">
        <v>29</v>
      </c>
      <c r="K425" t="s">
        <v>252</v>
      </c>
      <c r="L425" t="s">
        <v>59</v>
      </c>
      <c r="M425" t="s">
        <v>864</v>
      </c>
      <c r="N425">
        <v>0.56999999999999995</v>
      </c>
      <c r="O425" t="s">
        <v>33</v>
      </c>
      <c r="P425" t="s">
        <v>34</v>
      </c>
      <c r="Q425" t="s">
        <v>372</v>
      </c>
      <c r="R425" t="s">
        <v>865</v>
      </c>
      <c r="S425">
        <v>85737</v>
      </c>
      <c r="T425" s="1">
        <v>42032</v>
      </c>
      <c r="U425" s="1">
        <v>42041</v>
      </c>
      <c r="V425" s="2">
        <v>-54.622</v>
      </c>
      <c r="W425">
        <v>1</v>
      </c>
      <c r="X425" s="2">
        <v>63.48</v>
      </c>
      <c r="Y425">
        <v>87725</v>
      </c>
      <c r="Z425">
        <f t="shared" si="6"/>
        <v>63.48</v>
      </c>
    </row>
    <row r="426" spans="1:26" x14ac:dyDescent="0.25">
      <c r="A426">
        <v>19210</v>
      </c>
      <c r="B426" t="s">
        <v>106</v>
      </c>
      <c r="C426" s="2">
        <v>0.03</v>
      </c>
      <c r="D426" s="2">
        <v>5.18</v>
      </c>
      <c r="E426" s="2">
        <v>5.74</v>
      </c>
      <c r="F426">
        <v>744</v>
      </c>
      <c r="G426" t="s">
        <v>863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866</v>
      </c>
      <c r="N426">
        <v>0.36</v>
      </c>
      <c r="O426" t="s">
        <v>33</v>
      </c>
      <c r="P426" t="s">
        <v>34</v>
      </c>
      <c r="Q426" t="s">
        <v>372</v>
      </c>
      <c r="R426" t="s">
        <v>865</v>
      </c>
      <c r="S426">
        <v>85737</v>
      </c>
      <c r="T426" s="1">
        <v>42032</v>
      </c>
      <c r="U426" s="1">
        <v>42036</v>
      </c>
      <c r="V426" s="2">
        <v>-126.81417999999999</v>
      </c>
      <c r="W426">
        <v>9</v>
      </c>
      <c r="X426" s="2">
        <v>47.64</v>
      </c>
      <c r="Y426">
        <v>87725</v>
      </c>
      <c r="Z426">
        <f t="shared" si="6"/>
        <v>428.76</v>
      </c>
    </row>
    <row r="427" spans="1:26" x14ac:dyDescent="0.25">
      <c r="A427">
        <v>19638</v>
      </c>
      <c r="B427" t="s">
        <v>56</v>
      </c>
      <c r="C427" s="2">
        <v>0.03</v>
      </c>
      <c r="D427" s="2">
        <v>119.99</v>
      </c>
      <c r="E427" s="2">
        <v>56.14</v>
      </c>
      <c r="F427">
        <v>744</v>
      </c>
      <c r="G427" t="s">
        <v>863</v>
      </c>
      <c r="H427" t="s">
        <v>39</v>
      </c>
      <c r="I427" t="s">
        <v>114</v>
      </c>
      <c r="J427" t="s">
        <v>77</v>
      </c>
      <c r="K427" t="s">
        <v>85</v>
      </c>
      <c r="L427" t="s">
        <v>120</v>
      </c>
      <c r="M427" t="s">
        <v>312</v>
      </c>
      <c r="N427">
        <v>0.39</v>
      </c>
      <c r="O427" t="s">
        <v>33</v>
      </c>
      <c r="P427" t="s">
        <v>34</v>
      </c>
      <c r="Q427" t="s">
        <v>372</v>
      </c>
      <c r="R427" t="s">
        <v>865</v>
      </c>
      <c r="S427">
        <v>85737</v>
      </c>
      <c r="T427" s="1">
        <v>42021</v>
      </c>
      <c r="U427" s="1">
        <v>42023</v>
      </c>
      <c r="V427" s="2">
        <v>1400.1</v>
      </c>
      <c r="W427">
        <v>13</v>
      </c>
      <c r="X427" s="2">
        <v>1545.58</v>
      </c>
      <c r="Y427">
        <v>87726</v>
      </c>
      <c r="Z427">
        <f t="shared" si="6"/>
        <v>20092.54</v>
      </c>
    </row>
    <row r="428" spans="1:26" x14ac:dyDescent="0.25">
      <c r="A428">
        <v>19505</v>
      </c>
      <c r="B428" t="s">
        <v>106</v>
      </c>
      <c r="C428" s="2">
        <v>0.09</v>
      </c>
      <c r="D428" s="2">
        <v>125.99</v>
      </c>
      <c r="E428" s="2">
        <v>8.99</v>
      </c>
      <c r="F428">
        <v>744</v>
      </c>
      <c r="G428" t="s">
        <v>863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847</v>
      </c>
      <c r="N428">
        <v>0.55000000000000004</v>
      </c>
      <c r="O428" t="s">
        <v>33</v>
      </c>
      <c r="P428" t="s">
        <v>34</v>
      </c>
      <c r="Q428" t="s">
        <v>372</v>
      </c>
      <c r="R428" t="s">
        <v>865</v>
      </c>
      <c r="S428">
        <v>85737</v>
      </c>
      <c r="T428" s="1">
        <v>42149</v>
      </c>
      <c r="U428" s="1">
        <v>42157</v>
      </c>
      <c r="V428" s="2">
        <v>916.68060000000003</v>
      </c>
      <c r="W428">
        <v>20</v>
      </c>
      <c r="X428" s="2">
        <v>2104.9899999999998</v>
      </c>
      <c r="Y428">
        <v>87727</v>
      </c>
      <c r="Z428">
        <f t="shared" si="6"/>
        <v>42099.799999999996</v>
      </c>
    </row>
    <row r="429" spans="1:26" x14ac:dyDescent="0.25">
      <c r="A429">
        <v>19639</v>
      </c>
      <c r="B429" t="s">
        <v>56</v>
      </c>
      <c r="C429" s="2">
        <v>0.05</v>
      </c>
      <c r="D429" s="2">
        <v>115.79</v>
      </c>
      <c r="E429" s="2">
        <v>1.99</v>
      </c>
      <c r="F429">
        <v>745</v>
      </c>
      <c r="G429" t="s">
        <v>867</v>
      </c>
      <c r="H429" t="s">
        <v>49</v>
      </c>
      <c r="I429" t="s">
        <v>114</v>
      </c>
      <c r="J429" t="s">
        <v>77</v>
      </c>
      <c r="K429" t="s">
        <v>177</v>
      </c>
      <c r="L429" t="s">
        <v>51</v>
      </c>
      <c r="M429" t="s">
        <v>868</v>
      </c>
      <c r="N429">
        <v>0.49</v>
      </c>
      <c r="O429" t="s">
        <v>33</v>
      </c>
      <c r="P429" t="s">
        <v>34</v>
      </c>
      <c r="Q429" t="s">
        <v>372</v>
      </c>
      <c r="R429" t="s">
        <v>869</v>
      </c>
      <c r="S429">
        <v>85345</v>
      </c>
      <c r="T429" s="1">
        <v>42021</v>
      </c>
      <c r="U429" s="1">
        <v>42023</v>
      </c>
      <c r="V429" s="2">
        <v>67.599999999999994</v>
      </c>
      <c r="W429">
        <v>3</v>
      </c>
      <c r="X429" s="2">
        <v>353.1</v>
      </c>
      <c r="Y429">
        <v>87726</v>
      </c>
      <c r="Z429">
        <f t="shared" si="6"/>
        <v>1059.3000000000002</v>
      </c>
    </row>
    <row r="430" spans="1:26" x14ac:dyDescent="0.25">
      <c r="A430">
        <v>20855</v>
      </c>
      <c r="B430" t="s">
        <v>37</v>
      </c>
      <c r="C430" s="2">
        <v>0.09</v>
      </c>
      <c r="D430" s="2">
        <v>27.75</v>
      </c>
      <c r="E430" s="2">
        <v>19.989999999999998</v>
      </c>
      <c r="F430">
        <v>750</v>
      </c>
      <c r="G430" t="s">
        <v>870</v>
      </c>
      <c r="H430" t="s">
        <v>49</v>
      </c>
      <c r="I430" t="s">
        <v>28</v>
      </c>
      <c r="J430" t="s">
        <v>29</v>
      </c>
      <c r="K430" t="s">
        <v>139</v>
      </c>
      <c r="L430" t="s">
        <v>59</v>
      </c>
      <c r="M430" t="s">
        <v>871</v>
      </c>
      <c r="N430">
        <v>0.67</v>
      </c>
      <c r="O430" t="s">
        <v>33</v>
      </c>
      <c r="P430" t="s">
        <v>135</v>
      </c>
      <c r="Q430" t="s">
        <v>606</v>
      </c>
      <c r="R430" t="s">
        <v>872</v>
      </c>
      <c r="S430">
        <v>41042</v>
      </c>
      <c r="T430" s="1">
        <v>42016</v>
      </c>
      <c r="U430" s="1">
        <v>42017</v>
      </c>
      <c r="V430" s="2">
        <v>-224.64400000000001</v>
      </c>
      <c r="W430">
        <v>10</v>
      </c>
      <c r="X430" s="2">
        <v>257.52</v>
      </c>
      <c r="Y430">
        <v>91200</v>
      </c>
      <c r="Z430">
        <f t="shared" si="6"/>
        <v>2575.1999999999998</v>
      </c>
    </row>
    <row r="431" spans="1:26" x14ac:dyDescent="0.25">
      <c r="A431">
        <v>23629</v>
      </c>
      <c r="B431" t="s">
        <v>106</v>
      </c>
      <c r="C431" s="2">
        <v>0.06</v>
      </c>
      <c r="D431" s="2">
        <v>130.97999999999999</v>
      </c>
      <c r="E431" s="2">
        <v>54.74</v>
      </c>
      <c r="F431">
        <v>751</v>
      </c>
      <c r="G431" t="s">
        <v>873</v>
      </c>
      <c r="H431" t="s">
        <v>39</v>
      </c>
      <c r="I431" t="s">
        <v>28</v>
      </c>
      <c r="J431" t="s">
        <v>41</v>
      </c>
      <c r="K431" t="s">
        <v>187</v>
      </c>
      <c r="L431" t="s">
        <v>120</v>
      </c>
      <c r="M431" t="s">
        <v>399</v>
      </c>
      <c r="N431">
        <v>0.69</v>
      </c>
      <c r="O431" t="s">
        <v>33</v>
      </c>
      <c r="P431" t="s">
        <v>135</v>
      </c>
      <c r="Q431" t="s">
        <v>606</v>
      </c>
      <c r="R431" t="s">
        <v>874</v>
      </c>
      <c r="S431">
        <v>40324</v>
      </c>
      <c r="T431" s="1">
        <v>42062</v>
      </c>
      <c r="U431" s="1">
        <v>42069</v>
      </c>
      <c r="V431" s="2">
        <v>14.76</v>
      </c>
      <c r="W431">
        <v>3</v>
      </c>
      <c r="X431" s="2">
        <v>411.64</v>
      </c>
      <c r="Y431">
        <v>91201</v>
      </c>
      <c r="Z431">
        <f t="shared" si="6"/>
        <v>1234.92</v>
      </c>
    </row>
    <row r="432" spans="1:26" x14ac:dyDescent="0.25">
      <c r="A432">
        <v>19679</v>
      </c>
      <c r="B432" t="s">
        <v>47</v>
      </c>
      <c r="C432" s="2">
        <v>0.06</v>
      </c>
      <c r="D432" s="2">
        <v>2.61</v>
      </c>
      <c r="E432" s="2">
        <v>0.5</v>
      </c>
      <c r="F432">
        <v>753</v>
      </c>
      <c r="G432" t="s">
        <v>875</v>
      </c>
      <c r="H432" t="s">
        <v>27</v>
      </c>
      <c r="I432" t="s">
        <v>28</v>
      </c>
      <c r="J432" t="s">
        <v>29</v>
      </c>
      <c r="K432" t="s">
        <v>133</v>
      </c>
      <c r="L432" t="s">
        <v>59</v>
      </c>
      <c r="M432" t="s">
        <v>876</v>
      </c>
      <c r="N432">
        <v>0.39</v>
      </c>
      <c r="O432" t="s">
        <v>33</v>
      </c>
      <c r="P432" t="s">
        <v>34</v>
      </c>
      <c r="Q432" t="s">
        <v>372</v>
      </c>
      <c r="R432" t="s">
        <v>877</v>
      </c>
      <c r="S432">
        <v>86301</v>
      </c>
      <c r="T432" s="1">
        <v>42074</v>
      </c>
      <c r="U432" s="1">
        <v>42074</v>
      </c>
      <c r="V432" s="2">
        <v>10.85</v>
      </c>
      <c r="W432">
        <v>1</v>
      </c>
      <c r="X432" s="2">
        <v>17.59</v>
      </c>
      <c r="Y432">
        <v>90438</v>
      </c>
      <c r="Z432">
        <f t="shared" si="6"/>
        <v>17.59</v>
      </c>
    </row>
    <row r="433" spans="1:26" x14ac:dyDescent="0.25">
      <c r="A433">
        <v>19680</v>
      </c>
      <c r="B433" t="s">
        <v>47</v>
      </c>
      <c r="C433" s="2">
        <v>0.01</v>
      </c>
      <c r="D433" s="2">
        <v>6.35</v>
      </c>
      <c r="E433" s="2">
        <v>1.02</v>
      </c>
      <c r="F433">
        <v>753</v>
      </c>
      <c r="G433" t="s">
        <v>875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878</v>
      </c>
      <c r="N433">
        <v>0.39</v>
      </c>
      <c r="O433" t="s">
        <v>33</v>
      </c>
      <c r="P433" t="s">
        <v>34</v>
      </c>
      <c r="Q433" t="s">
        <v>372</v>
      </c>
      <c r="R433" t="s">
        <v>877</v>
      </c>
      <c r="S433">
        <v>86301</v>
      </c>
      <c r="T433" s="1">
        <v>42074</v>
      </c>
      <c r="U433" s="1">
        <v>42076</v>
      </c>
      <c r="V433" s="2">
        <v>97.662599999999998</v>
      </c>
      <c r="W433">
        <v>22</v>
      </c>
      <c r="X433" s="2">
        <v>141.54</v>
      </c>
      <c r="Y433">
        <v>90438</v>
      </c>
      <c r="Z433">
        <f t="shared" si="6"/>
        <v>3113.8799999999997</v>
      </c>
    </row>
    <row r="434" spans="1:26" x14ac:dyDescent="0.25">
      <c r="A434">
        <v>25291</v>
      </c>
      <c r="B434" t="s">
        <v>25</v>
      </c>
      <c r="C434" s="2">
        <v>0.06</v>
      </c>
      <c r="D434" s="2">
        <v>218.75</v>
      </c>
      <c r="E434" s="2">
        <v>69.64</v>
      </c>
      <c r="F434">
        <v>754</v>
      </c>
      <c r="G434" t="s">
        <v>879</v>
      </c>
      <c r="H434" t="s">
        <v>39</v>
      </c>
      <c r="I434" t="s">
        <v>28</v>
      </c>
      <c r="J434" t="s">
        <v>41</v>
      </c>
      <c r="K434" t="s">
        <v>150</v>
      </c>
      <c r="L434" t="s">
        <v>120</v>
      </c>
      <c r="M434" t="s">
        <v>648</v>
      </c>
      <c r="N434">
        <v>0.77</v>
      </c>
      <c r="O434" t="s">
        <v>33</v>
      </c>
      <c r="P434" t="s">
        <v>34</v>
      </c>
      <c r="Q434" t="s">
        <v>372</v>
      </c>
      <c r="R434" t="s">
        <v>880</v>
      </c>
      <c r="S434">
        <v>86314</v>
      </c>
      <c r="T434" s="1">
        <v>42159</v>
      </c>
      <c r="U434" s="1">
        <v>42160</v>
      </c>
      <c r="V434" s="2">
        <v>-453.2</v>
      </c>
      <c r="W434">
        <v>4</v>
      </c>
      <c r="X434" s="2">
        <v>905.4</v>
      </c>
      <c r="Y434">
        <v>90437</v>
      </c>
      <c r="Z434">
        <f t="shared" si="6"/>
        <v>3621.6</v>
      </c>
    </row>
    <row r="435" spans="1:26" x14ac:dyDescent="0.25">
      <c r="A435">
        <v>25117</v>
      </c>
      <c r="B435" t="s">
        <v>106</v>
      </c>
      <c r="C435" s="2">
        <v>0.06</v>
      </c>
      <c r="D435" s="2">
        <v>119.99</v>
      </c>
      <c r="E435" s="2">
        <v>14</v>
      </c>
      <c r="F435">
        <v>754</v>
      </c>
      <c r="G435" t="s">
        <v>879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881</v>
      </c>
      <c r="N435">
        <v>0.36</v>
      </c>
      <c r="O435" t="s">
        <v>33</v>
      </c>
      <c r="P435" t="s">
        <v>34</v>
      </c>
      <c r="Q435" t="s">
        <v>372</v>
      </c>
      <c r="R435" t="s">
        <v>880</v>
      </c>
      <c r="S435">
        <v>86314</v>
      </c>
      <c r="T435" s="1">
        <v>42106</v>
      </c>
      <c r="U435" s="1">
        <v>42113</v>
      </c>
      <c r="V435" s="2">
        <v>-207.679788</v>
      </c>
      <c r="W435">
        <v>2</v>
      </c>
      <c r="X435" s="2">
        <v>243.86</v>
      </c>
      <c r="Y435">
        <v>90439</v>
      </c>
      <c r="Z435">
        <f t="shared" si="6"/>
        <v>487.72</v>
      </c>
    </row>
    <row r="436" spans="1:26" x14ac:dyDescent="0.25">
      <c r="A436">
        <v>25856</v>
      </c>
      <c r="B436" t="s">
        <v>37</v>
      </c>
      <c r="C436" s="2">
        <v>0.03</v>
      </c>
      <c r="D436" s="2">
        <v>37.94</v>
      </c>
      <c r="E436" s="2">
        <v>5.08</v>
      </c>
      <c r="F436">
        <v>757</v>
      </c>
      <c r="G436" t="s">
        <v>882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883</v>
      </c>
      <c r="N436">
        <v>0.38</v>
      </c>
      <c r="O436" t="s">
        <v>33</v>
      </c>
      <c r="P436" t="s">
        <v>34</v>
      </c>
      <c r="Q436" t="s">
        <v>102</v>
      </c>
      <c r="R436" t="s">
        <v>884</v>
      </c>
      <c r="S436">
        <v>97062</v>
      </c>
      <c r="T436" s="1">
        <v>42046</v>
      </c>
      <c r="U436" s="1">
        <v>42048</v>
      </c>
      <c r="V436" s="2">
        <v>-7.5244</v>
      </c>
      <c r="W436">
        <v>1</v>
      </c>
      <c r="X436" s="2">
        <v>39.97</v>
      </c>
      <c r="Y436">
        <v>90258</v>
      </c>
      <c r="Z436">
        <f t="shared" si="6"/>
        <v>39.97</v>
      </c>
    </row>
    <row r="437" spans="1:26" x14ac:dyDescent="0.25">
      <c r="A437">
        <v>21110</v>
      </c>
      <c r="B437" t="s">
        <v>106</v>
      </c>
      <c r="C437" s="2">
        <v>0</v>
      </c>
      <c r="D437" s="2">
        <v>20.99</v>
      </c>
      <c r="E437" s="2">
        <v>3.3</v>
      </c>
      <c r="F437">
        <v>759</v>
      </c>
      <c r="G437" t="s">
        <v>885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886</v>
      </c>
      <c r="N437">
        <v>0.81</v>
      </c>
      <c r="O437" t="s">
        <v>33</v>
      </c>
      <c r="P437" t="s">
        <v>61</v>
      </c>
      <c r="Q437" t="s">
        <v>175</v>
      </c>
      <c r="R437" t="s">
        <v>887</v>
      </c>
      <c r="S437">
        <v>62301</v>
      </c>
      <c r="T437" s="1">
        <v>42153</v>
      </c>
      <c r="U437" s="1">
        <v>42160</v>
      </c>
      <c r="V437" s="2">
        <v>-92.960999999999999</v>
      </c>
      <c r="W437">
        <v>5</v>
      </c>
      <c r="X437" s="2">
        <v>92.96</v>
      </c>
      <c r="Y437">
        <v>86639</v>
      </c>
      <c r="Z437">
        <f t="shared" si="6"/>
        <v>464.79999999999995</v>
      </c>
    </row>
    <row r="438" spans="1:26" x14ac:dyDescent="0.25">
      <c r="A438">
        <v>20377</v>
      </c>
      <c r="B438" t="s">
        <v>37</v>
      </c>
      <c r="C438" s="2">
        <v>0</v>
      </c>
      <c r="D438" s="2">
        <v>125.99</v>
      </c>
      <c r="E438" s="2">
        <v>8.99</v>
      </c>
      <c r="F438">
        <v>762</v>
      </c>
      <c r="G438" t="s">
        <v>888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889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890</v>
      </c>
      <c r="S438">
        <v>98661</v>
      </c>
      <c r="T438" s="1">
        <v>42121</v>
      </c>
      <c r="U438" s="1">
        <v>42123</v>
      </c>
      <c r="V438" s="2">
        <v>613.89576</v>
      </c>
      <c r="W438">
        <v>12</v>
      </c>
      <c r="X438" s="2">
        <v>1362.2</v>
      </c>
      <c r="Y438">
        <v>87525</v>
      </c>
      <c r="Z438">
        <f t="shared" si="6"/>
        <v>16346.400000000001</v>
      </c>
    </row>
    <row r="439" spans="1:26" x14ac:dyDescent="0.25">
      <c r="A439">
        <v>18735</v>
      </c>
      <c r="B439" t="s">
        <v>47</v>
      </c>
      <c r="C439" s="2">
        <v>0.1</v>
      </c>
      <c r="D439" s="2">
        <v>31.78</v>
      </c>
      <c r="E439" s="2">
        <v>1.99</v>
      </c>
      <c r="F439">
        <v>767</v>
      </c>
      <c r="G439" t="s">
        <v>891</v>
      </c>
      <c r="H439" t="s">
        <v>49</v>
      </c>
      <c r="I439" t="s">
        <v>28</v>
      </c>
      <c r="J439" t="s">
        <v>77</v>
      </c>
      <c r="K439" t="s">
        <v>177</v>
      </c>
      <c r="L439" t="s">
        <v>51</v>
      </c>
      <c r="M439" t="s">
        <v>892</v>
      </c>
      <c r="N439">
        <v>0.42</v>
      </c>
      <c r="O439" t="s">
        <v>33</v>
      </c>
      <c r="P439" t="s">
        <v>61</v>
      </c>
      <c r="Q439" t="s">
        <v>175</v>
      </c>
      <c r="R439" t="s">
        <v>893</v>
      </c>
      <c r="S439">
        <v>61201</v>
      </c>
      <c r="T439" s="1">
        <v>42034</v>
      </c>
      <c r="U439" s="1">
        <v>42036</v>
      </c>
      <c r="V439" s="2">
        <v>232.2816</v>
      </c>
      <c r="W439">
        <v>11</v>
      </c>
      <c r="X439" s="2">
        <v>336.64</v>
      </c>
      <c r="Y439">
        <v>86279</v>
      </c>
      <c r="Z439">
        <f t="shared" si="6"/>
        <v>3703.04</v>
      </c>
    </row>
    <row r="440" spans="1:26" x14ac:dyDescent="0.25">
      <c r="A440">
        <v>18659</v>
      </c>
      <c r="B440" t="s">
        <v>47</v>
      </c>
      <c r="C440" s="2">
        <v>0.08</v>
      </c>
      <c r="D440" s="2">
        <v>30.73</v>
      </c>
      <c r="E440" s="2">
        <v>4</v>
      </c>
      <c r="F440">
        <v>770</v>
      </c>
      <c r="G440" t="s">
        <v>894</v>
      </c>
      <c r="H440" t="s">
        <v>49</v>
      </c>
      <c r="I440" t="s">
        <v>58</v>
      </c>
      <c r="J440" t="s">
        <v>77</v>
      </c>
      <c r="K440" t="s">
        <v>177</v>
      </c>
      <c r="L440" t="s">
        <v>59</v>
      </c>
      <c r="M440" t="s">
        <v>283</v>
      </c>
      <c r="N440">
        <v>0.75</v>
      </c>
      <c r="O440" t="s">
        <v>33</v>
      </c>
      <c r="P440" t="s">
        <v>34</v>
      </c>
      <c r="Q440" t="s">
        <v>102</v>
      </c>
      <c r="R440" t="s">
        <v>884</v>
      </c>
      <c r="S440">
        <v>97062</v>
      </c>
      <c r="T440" s="1">
        <v>42082</v>
      </c>
      <c r="U440" s="1">
        <v>42082</v>
      </c>
      <c r="V440" s="2">
        <v>-45.07</v>
      </c>
      <c r="W440">
        <v>14</v>
      </c>
      <c r="X440" s="2">
        <v>429.33</v>
      </c>
      <c r="Y440">
        <v>88667</v>
      </c>
      <c r="Z440">
        <f t="shared" si="6"/>
        <v>6010.62</v>
      </c>
    </row>
    <row r="441" spans="1:26" x14ac:dyDescent="0.25">
      <c r="A441">
        <v>18660</v>
      </c>
      <c r="B441" t="s">
        <v>47</v>
      </c>
      <c r="C441" s="2">
        <v>0.05</v>
      </c>
      <c r="D441" s="2">
        <v>14.56</v>
      </c>
      <c r="E441" s="2">
        <v>3.5</v>
      </c>
      <c r="F441">
        <v>771</v>
      </c>
      <c r="G441" t="s">
        <v>895</v>
      </c>
      <c r="H441" t="s">
        <v>49</v>
      </c>
      <c r="I441" t="s">
        <v>58</v>
      </c>
      <c r="J441" t="s">
        <v>29</v>
      </c>
      <c r="K441" t="s">
        <v>252</v>
      </c>
      <c r="L441" t="s">
        <v>59</v>
      </c>
      <c r="M441" t="s">
        <v>896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897</v>
      </c>
      <c r="S441">
        <v>97068</v>
      </c>
      <c r="T441" s="1">
        <v>42082</v>
      </c>
      <c r="U441" s="1">
        <v>42084</v>
      </c>
      <c r="V441" s="2">
        <v>-8.5299999999999994</v>
      </c>
      <c r="W441">
        <v>3</v>
      </c>
      <c r="X441" s="2">
        <v>44.66</v>
      </c>
      <c r="Y441">
        <v>88667</v>
      </c>
      <c r="Z441">
        <f t="shared" si="6"/>
        <v>133.97999999999999</v>
      </c>
    </row>
    <row r="442" spans="1:26" x14ac:dyDescent="0.25">
      <c r="A442">
        <v>18661</v>
      </c>
      <c r="B442" t="s">
        <v>47</v>
      </c>
      <c r="C442" s="2">
        <v>0</v>
      </c>
      <c r="D442" s="2">
        <v>299.99</v>
      </c>
      <c r="E442" s="2">
        <v>11.64</v>
      </c>
      <c r="F442">
        <v>771</v>
      </c>
      <c r="G442" t="s">
        <v>895</v>
      </c>
      <c r="H442" t="s">
        <v>49</v>
      </c>
      <c r="I442" t="s">
        <v>58</v>
      </c>
      <c r="J442" t="s">
        <v>77</v>
      </c>
      <c r="K442" t="s">
        <v>580</v>
      </c>
      <c r="L442" t="s">
        <v>231</v>
      </c>
      <c r="M442" t="s">
        <v>898</v>
      </c>
      <c r="N442">
        <v>0.5</v>
      </c>
      <c r="O442" t="s">
        <v>33</v>
      </c>
      <c r="P442" t="s">
        <v>34</v>
      </c>
      <c r="Q442" t="s">
        <v>102</v>
      </c>
      <c r="R442" t="s">
        <v>897</v>
      </c>
      <c r="S442">
        <v>97068</v>
      </c>
      <c r="T442" s="1">
        <v>42082</v>
      </c>
      <c r="U442" s="1">
        <v>42084</v>
      </c>
      <c r="V442" s="2">
        <v>285.95</v>
      </c>
      <c r="W442">
        <v>5</v>
      </c>
      <c r="X442" s="2">
        <v>1619.95</v>
      </c>
      <c r="Y442">
        <v>88667</v>
      </c>
      <c r="Z442">
        <f t="shared" si="6"/>
        <v>8099.75</v>
      </c>
    </row>
    <row r="443" spans="1:26" x14ac:dyDescent="0.25">
      <c r="A443">
        <v>22875</v>
      </c>
      <c r="B443" t="s">
        <v>47</v>
      </c>
      <c r="C443" s="2">
        <v>0.08</v>
      </c>
      <c r="D443" s="2">
        <v>7.77</v>
      </c>
      <c r="E443" s="2">
        <v>9.23</v>
      </c>
      <c r="F443">
        <v>772</v>
      </c>
      <c r="G443" t="s">
        <v>899</v>
      </c>
      <c r="H443" t="s">
        <v>49</v>
      </c>
      <c r="I443" t="s">
        <v>58</v>
      </c>
      <c r="J443" t="s">
        <v>29</v>
      </c>
      <c r="K443" t="s">
        <v>252</v>
      </c>
      <c r="L443" t="s">
        <v>59</v>
      </c>
      <c r="M443" t="s">
        <v>436</v>
      </c>
      <c r="N443">
        <v>0.57999999999999996</v>
      </c>
      <c r="O443" t="s">
        <v>33</v>
      </c>
      <c r="P443" t="s">
        <v>53</v>
      </c>
      <c r="Q443" t="s">
        <v>229</v>
      </c>
      <c r="R443" t="s">
        <v>900</v>
      </c>
      <c r="S443">
        <v>18103</v>
      </c>
      <c r="T443" s="1">
        <v>42018</v>
      </c>
      <c r="U443" s="1">
        <v>42020</v>
      </c>
      <c r="V443" s="2">
        <v>-209.25</v>
      </c>
      <c r="W443">
        <v>7</v>
      </c>
      <c r="X443" s="2">
        <v>56.44</v>
      </c>
      <c r="Y443">
        <v>88666</v>
      </c>
      <c r="Z443">
        <f t="shared" si="6"/>
        <v>395.08</v>
      </c>
    </row>
    <row r="444" spans="1:26" x14ac:dyDescent="0.25">
      <c r="A444">
        <v>22877</v>
      </c>
      <c r="B444" t="s">
        <v>47</v>
      </c>
      <c r="C444" s="2">
        <v>0.1</v>
      </c>
      <c r="D444" s="2">
        <v>18.97</v>
      </c>
      <c r="E444" s="2">
        <v>9.5399999999999991</v>
      </c>
      <c r="F444">
        <v>772</v>
      </c>
      <c r="G444" t="s">
        <v>899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218</v>
      </c>
      <c r="N444">
        <v>0.37</v>
      </c>
      <c r="O444" t="s">
        <v>33</v>
      </c>
      <c r="P444" t="s">
        <v>53</v>
      </c>
      <c r="Q444" t="s">
        <v>229</v>
      </c>
      <c r="R444" t="s">
        <v>900</v>
      </c>
      <c r="S444">
        <v>18103</v>
      </c>
      <c r="T444" s="1">
        <v>42018</v>
      </c>
      <c r="U444" s="1">
        <v>42020</v>
      </c>
      <c r="V444" s="2">
        <v>-9.1636000000000006</v>
      </c>
      <c r="W444">
        <v>3</v>
      </c>
      <c r="X444" s="2">
        <v>56.73</v>
      </c>
      <c r="Y444">
        <v>88666</v>
      </c>
      <c r="Z444">
        <f t="shared" si="6"/>
        <v>170.19</v>
      </c>
    </row>
    <row r="445" spans="1:26" x14ac:dyDescent="0.25">
      <c r="A445">
        <v>20967</v>
      </c>
      <c r="B445" t="s">
        <v>106</v>
      </c>
      <c r="C445" s="2">
        <v>0.02</v>
      </c>
      <c r="D445" s="2">
        <v>4.0599999999999996</v>
      </c>
      <c r="E445" s="2">
        <v>6.89</v>
      </c>
      <c r="F445">
        <v>772</v>
      </c>
      <c r="G445" t="s">
        <v>899</v>
      </c>
      <c r="H445" t="s">
        <v>27</v>
      </c>
      <c r="I445" t="s">
        <v>58</v>
      </c>
      <c r="J445" t="s">
        <v>29</v>
      </c>
      <c r="K445" t="s">
        <v>252</v>
      </c>
      <c r="L445" t="s">
        <v>59</v>
      </c>
      <c r="M445" t="s">
        <v>901</v>
      </c>
      <c r="N445">
        <v>0.6</v>
      </c>
      <c r="O445" t="s">
        <v>33</v>
      </c>
      <c r="P445" t="s">
        <v>53</v>
      </c>
      <c r="Q445" t="s">
        <v>229</v>
      </c>
      <c r="R445" t="s">
        <v>900</v>
      </c>
      <c r="S445">
        <v>18103</v>
      </c>
      <c r="T445" s="1">
        <v>42141</v>
      </c>
      <c r="U445" s="1">
        <v>42145</v>
      </c>
      <c r="V445" s="2">
        <v>12.706</v>
      </c>
      <c r="W445">
        <v>12</v>
      </c>
      <c r="X445" s="2">
        <v>64.41</v>
      </c>
      <c r="Y445">
        <v>88668</v>
      </c>
      <c r="Z445">
        <f t="shared" si="6"/>
        <v>772.92</v>
      </c>
    </row>
    <row r="446" spans="1:26" x14ac:dyDescent="0.25">
      <c r="A446">
        <v>20968</v>
      </c>
      <c r="B446" t="s">
        <v>106</v>
      </c>
      <c r="C446" s="2">
        <v>7.0000000000000007E-2</v>
      </c>
      <c r="D446" s="2">
        <v>9.49</v>
      </c>
      <c r="E446" s="2">
        <v>5.76</v>
      </c>
      <c r="F446">
        <v>772</v>
      </c>
      <c r="G446" t="s">
        <v>899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902</v>
      </c>
      <c r="N446">
        <v>0.39</v>
      </c>
      <c r="O446" t="s">
        <v>33</v>
      </c>
      <c r="P446" t="s">
        <v>53</v>
      </c>
      <c r="Q446" t="s">
        <v>229</v>
      </c>
      <c r="R446" t="s">
        <v>900</v>
      </c>
      <c r="S446">
        <v>18103</v>
      </c>
      <c r="T446" s="1">
        <v>42141</v>
      </c>
      <c r="U446" s="1">
        <v>42145</v>
      </c>
      <c r="V446" s="2">
        <v>7.71516</v>
      </c>
      <c r="W446">
        <v>37</v>
      </c>
      <c r="X446" s="2">
        <v>344.57</v>
      </c>
      <c r="Y446">
        <v>88668</v>
      </c>
      <c r="Z446">
        <f t="shared" si="6"/>
        <v>12749.09</v>
      </c>
    </row>
    <row r="447" spans="1:26" x14ac:dyDescent="0.25">
      <c r="A447">
        <v>20434</v>
      </c>
      <c r="B447" t="s">
        <v>25</v>
      </c>
      <c r="C447" s="2">
        <v>0.04</v>
      </c>
      <c r="D447" s="2">
        <v>34.76</v>
      </c>
      <c r="E447" s="2">
        <v>5.49</v>
      </c>
      <c r="F447">
        <v>782</v>
      </c>
      <c r="G447" t="s">
        <v>903</v>
      </c>
      <c r="H447" t="s">
        <v>49</v>
      </c>
      <c r="I447" t="s">
        <v>58</v>
      </c>
      <c r="J447" t="s">
        <v>29</v>
      </c>
      <c r="K447" t="s">
        <v>139</v>
      </c>
      <c r="L447" t="s">
        <v>59</v>
      </c>
      <c r="M447" t="s">
        <v>904</v>
      </c>
      <c r="N447">
        <v>0.6</v>
      </c>
      <c r="O447" t="s">
        <v>33</v>
      </c>
      <c r="P447" t="s">
        <v>34</v>
      </c>
      <c r="Q447" t="s">
        <v>45</v>
      </c>
      <c r="R447" t="s">
        <v>905</v>
      </c>
      <c r="S447">
        <v>90604</v>
      </c>
      <c r="T447" s="1">
        <v>42123</v>
      </c>
      <c r="U447" s="1">
        <v>42124</v>
      </c>
      <c r="V447" s="2">
        <v>192.51689999999999</v>
      </c>
      <c r="W447">
        <v>8</v>
      </c>
      <c r="X447" s="2">
        <v>279.01</v>
      </c>
      <c r="Y447">
        <v>90962</v>
      </c>
      <c r="Z447">
        <f t="shared" si="6"/>
        <v>2232.08</v>
      </c>
    </row>
    <row r="448" spans="1:26" x14ac:dyDescent="0.25">
      <c r="A448">
        <v>24773</v>
      </c>
      <c r="B448" t="s">
        <v>106</v>
      </c>
      <c r="C448" s="2">
        <v>0.02</v>
      </c>
      <c r="D448" s="2">
        <v>100.98</v>
      </c>
      <c r="E448" s="2">
        <v>35.840000000000003</v>
      </c>
      <c r="F448">
        <v>783</v>
      </c>
      <c r="G448" t="s">
        <v>906</v>
      </c>
      <c r="H448" t="s">
        <v>39</v>
      </c>
      <c r="I448" t="s">
        <v>58</v>
      </c>
      <c r="J448" t="s">
        <v>41</v>
      </c>
      <c r="K448" t="s">
        <v>187</v>
      </c>
      <c r="L448" t="s">
        <v>120</v>
      </c>
      <c r="M448" t="s">
        <v>255</v>
      </c>
      <c r="N448">
        <v>0.62</v>
      </c>
      <c r="O448" t="s">
        <v>33</v>
      </c>
      <c r="P448" t="s">
        <v>53</v>
      </c>
      <c r="Q448" t="s">
        <v>223</v>
      </c>
      <c r="R448" t="s">
        <v>907</v>
      </c>
      <c r="S448">
        <v>6010</v>
      </c>
      <c r="T448" s="1">
        <v>42010</v>
      </c>
      <c r="U448" s="1">
        <v>42010</v>
      </c>
      <c r="V448" s="2">
        <v>-134.91200000000001</v>
      </c>
      <c r="W448">
        <v>6</v>
      </c>
      <c r="X448" s="2">
        <v>614.99</v>
      </c>
      <c r="Y448">
        <v>90961</v>
      </c>
      <c r="Z448">
        <f t="shared" si="6"/>
        <v>3689.94</v>
      </c>
    </row>
    <row r="449" spans="1:26" x14ac:dyDescent="0.25">
      <c r="A449">
        <v>22969</v>
      </c>
      <c r="B449" t="s">
        <v>56</v>
      </c>
      <c r="C449" s="2">
        <v>0</v>
      </c>
      <c r="D449" s="2">
        <v>8.34</v>
      </c>
      <c r="E449" s="2">
        <v>4.82</v>
      </c>
      <c r="F449">
        <v>786</v>
      </c>
      <c r="G449" t="s">
        <v>908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909</v>
      </c>
      <c r="N449">
        <v>0.4</v>
      </c>
      <c r="O449" t="s">
        <v>33</v>
      </c>
      <c r="P449" t="s">
        <v>34</v>
      </c>
      <c r="Q449" t="s">
        <v>45</v>
      </c>
      <c r="R449" t="s">
        <v>910</v>
      </c>
      <c r="S449">
        <v>92691</v>
      </c>
      <c r="T449" s="1">
        <v>42100</v>
      </c>
      <c r="U449" s="1">
        <v>42101</v>
      </c>
      <c r="V449" s="2">
        <v>-5.05</v>
      </c>
      <c r="W449">
        <v>9</v>
      </c>
      <c r="X449" s="2">
        <v>76.23</v>
      </c>
      <c r="Y449">
        <v>91513</v>
      </c>
      <c r="Z449">
        <f t="shared" si="6"/>
        <v>686.07</v>
      </c>
    </row>
    <row r="450" spans="1:26" x14ac:dyDescent="0.25">
      <c r="A450">
        <v>24629</v>
      </c>
      <c r="B450" t="s">
        <v>37</v>
      </c>
      <c r="C450" s="2">
        <v>0.09</v>
      </c>
      <c r="D450" s="2">
        <v>6.48</v>
      </c>
      <c r="E450" s="2">
        <v>9.68</v>
      </c>
      <c r="F450">
        <v>792</v>
      </c>
      <c r="G450" t="s">
        <v>911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912</v>
      </c>
      <c r="N450">
        <v>0.36</v>
      </c>
      <c r="O450" t="s">
        <v>33</v>
      </c>
      <c r="P450" t="s">
        <v>61</v>
      </c>
      <c r="Q450" t="s">
        <v>299</v>
      </c>
      <c r="R450" t="s">
        <v>913</v>
      </c>
      <c r="S450">
        <v>73064</v>
      </c>
      <c r="T450" s="1">
        <v>42176</v>
      </c>
      <c r="U450" s="1">
        <v>42177</v>
      </c>
      <c r="V450" s="2">
        <v>-204.16</v>
      </c>
      <c r="W450">
        <v>16</v>
      </c>
      <c r="X450" s="2">
        <v>99.92</v>
      </c>
      <c r="Y450">
        <v>88753</v>
      </c>
      <c r="Z450">
        <f t="shared" si="6"/>
        <v>1598.72</v>
      </c>
    </row>
    <row r="451" spans="1:26" x14ac:dyDescent="0.25">
      <c r="A451">
        <v>18347</v>
      </c>
      <c r="B451" t="s">
        <v>37</v>
      </c>
      <c r="C451" s="2">
        <v>0.06</v>
      </c>
      <c r="D451" s="2">
        <v>8.6</v>
      </c>
      <c r="E451" s="2">
        <v>6.19</v>
      </c>
      <c r="F451">
        <v>796</v>
      </c>
      <c r="G451" t="s">
        <v>914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915</v>
      </c>
      <c r="N451">
        <v>0.38</v>
      </c>
      <c r="O451" t="s">
        <v>33</v>
      </c>
      <c r="P451" t="s">
        <v>61</v>
      </c>
      <c r="Q451" t="s">
        <v>489</v>
      </c>
      <c r="R451" t="s">
        <v>799</v>
      </c>
      <c r="S451">
        <v>68046</v>
      </c>
      <c r="T451" s="1">
        <v>42074</v>
      </c>
      <c r="U451" s="1">
        <v>42075</v>
      </c>
      <c r="V451" s="2">
        <v>-46.115000000000002</v>
      </c>
      <c r="W451">
        <v>9</v>
      </c>
      <c r="X451" s="2">
        <v>79.400000000000006</v>
      </c>
      <c r="Y451">
        <v>86867</v>
      </c>
      <c r="Z451">
        <f t="shared" ref="Z451:Z514" si="7">W451*X451</f>
        <v>714.6</v>
      </c>
    </row>
    <row r="452" spans="1:26" x14ac:dyDescent="0.25">
      <c r="A452">
        <v>18184</v>
      </c>
      <c r="B452" t="s">
        <v>37</v>
      </c>
      <c r="C452" s="2">
        <v>0.1</v>
      </c>
      <c r="D452" s="2">
        <v>14.42</v>
      </c>
      <c r="E452" s="2">
        <v>6.75</v>
      </c>
      <c r="F452">
        <v>796</v>
      </c>
      <c r="G452" t="s">
        <v>914</v>
      </c>
      <c r="H452" t="s">
        <v>49</v>
      </c>
      <c r="I452" t="s">
        <v>28</v>
      </c>
      <c r="J452" t="s">
        <v>29</v>
      </c>
      <c r="K452" t="s">
        <v>252</v>
      </c>
      <c r="L452" t="s">
        <v>86</v>
      </c>
      <c r="M452" t="s">
        <v>564</v>
      </c>
      <c r="N452">
        <v>0.52</v>
      </c>
      <c r="O452" t="s">
        <v>33</v>
      </c>
      <c r="P452" t="s">
        <v>61</v>
      </c>
      <c r="Q452" t="s">
        <v>489</v>
      </c>
      <c r="R452" t="s">
        <v>799</v>
      </c>
      <c r="S452">
        <v>68046</v>
      </c>
      <c r="T452" s="1">
        <v>42174</v>
      </c>
      <c r="U452" s="1">
        <v>42177</v>
      </c>
      <c r="V452" s="2">
        <v>-20.103999999999999</v>
      </c>
      <c r="W452">
        <v>1</v>
      </c>
      <c r="X452" s="2">
        <v>15.49</v>
      </c>
      <c r="Y452">
        <v>86869</v>
      </c>
      <c r="Z452">
        <f t="shared" si="7"/>
        <v>15.49</v>
      </c>
    </row>
    <row r="453" spans="1:26" x14ac:dyDescent="0.25">
      <c r="A453">
        <v>19011</v>
      </c>
      <c r="B453" t="s">
        <v>37</v>
      </c>
      <c r="C453" s="2">
        <v>0.04</v>
      </c>
      <c r="D453" s="2">
        <v>9.11</v>
      </c>
      <c r="E453" s="2">
        <v>2.25</v>
      </c>
      <c r="F453">
        <v>797</v>
      </c>
      <c r="G453" t="s">
        <v>916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917</v>
      </c>
      <c r="N453">
        <v>0.52</v>
      </c>
      <c r="O453" t="s">
        <v>33</v>
      </c>
      <c r="P453" t="s">
        <v>34</v>
      </c>
      <c r="Q453" t="s">
        <v>208</v>
      </c>
      <c r="R453" t="s">
        <v>918</v>
      </c>
      <c r="S453">
        <v>84067</v>
      </c>
      <c r="T453" s="1">
        <v>42156</v>
      </c>
      <c r="U453" s="1">
        <v>42159</v>
      </c>
      <c r="V453" s="2">
        <v>-3.496</v>
      </c>
      <c r="W453">
        <v>2</v>
      </c>
      <c r="X453" s="2">
        <v>18.59</v>
      </c>
      <c r="Y453">
        <v>86868</v>
      </c>
      <c r="Z453">
        <f t="shared" si="7"/>
        <v>37.18</v>
      </c>
    </row>
    <row r="454" spans="1:26" x14ac:dyDescent="0.25">
      <c r="A454">
        <v>19012</v>
      </c>
      <c r="B454" t="s">
        <v>37</v>
      </c>
      <c r="C454" s="2">
        <v>7.0000000000000007E-2</v>
      </c>
      <c r="D454" s="2">
        <v>64.650000000000006</v>
      </c>
      <c r="E454" s="2">
        <v>35</v>
      </c>
      <c r="F454">
        <v>797</v>
      </c>
      <c r="G454" t="s">
        <v>916</v>
      </c>
      <c r="H454" t="s">
        <v>49</v>
      </c>
      <c r="I454" t="s">
        <v>28</v>
      </c>
      <c r="J454" t="s">
        <v>29</v>
      </c>
      <c r="K454" t="s">
        <v>139</v>
      </c>
      <c r="L454" t="s">
        <v>231</v>
      </c>
      <c r="M454" t="s">
        <v>919</v>
      </c>
      <c r="N454">
        <v>0.8</v>
      </c>
      <c r="O454" t="s">
        <v>33</v>
      </c>
      <c r="P454" t="s">
        <v>34</v>
      </c>
      <c r="Q454" t="s">
        <v>208</v>
      </c>
      <c r="R454" t="s">
        <v>918</v>
      </c>
      <c r="S454">
        <v>84067</v>
      </c>
      <c r="T454" s="1">
        <v>42156</v>
      </c>
      <c r="U454" s="1">
        <v>42158</v>
      </c>
      <c r="V454" s="2">
        <v>-717.072</v>
      </c>
      <c r="W454">
        <v>13</v>
      </c>
      <c r="X454" s="2">
        <v>834.08</v>
      </c>
      <c r="Y454">
        <v>86868</v>
      </c>
      <c r="Z454">
        <f t="shared" si="7"/>
        <v>10843.04</v>
      </c>
    </row>
    <row r="455" spans="1:26" x14ac:dyDescent="0.25">
      <c r="A455">
        <v>24851</v>
      </c>
      <c r="B455" t="s">
        <v>106</v>
      </c>
      <c r="C455" s="2">
        <v>0.09</v>
      </c>
      <c r="D455" s="2">
        <v>6.48</v>
      </c>
      <c r="E455" s="2">
        <v>6.86</v>
      </c>
      <c r="F455">
        <v>797</v>
      </c>
      <c r="G455" t="s">
        <v>916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920</v>
      </c>
      <c r="N455">
        <v>0.37</v>
      </c>
      <c r="O455" t="s">
        <v>33</v>
      </c>
      <c r="P455" t="s">
        <v>34</v>
      </c>
      <c r="Q455" t="s">
        <v>208</v>
      </c>
      <c r="R455" t="s">
        <v>918</v>
      </c>
      <c r="S455">
        <v>84067</v>
      </c>
      <c r="T455" s="1">
        <v>42069</v>
      </c>
      <c r="U455" s="1">
        <v>42071</v>
      </c>
      <c r="V455" s="2">
        <v>-62.23</v>
      </c>
      <c r="W455">
        <v>8</v>
      </c>
      <c r="X455" s="2">
        <v>50.88</v>
      </c>
      <c r="Y455">
        <v>86870</v>
      </c>
      <c r="Z455">
        <f t="shared" si="7"/>
        <v>407.04</v>
      </c>
    </row>
    <row r="456" spans="1:26" x14ac:dyDescent="0.25">
      <c r="A456">
        <v>20001</v>
      </c>
      <c r="B456" t="s">
        <v>37</v>
      </c>
      <c r="C456" s="2">
        <v>0.01</v>
      </c>
      <c r="D456" s="2">
        <v>150.97999999999999</v>
      </c>
      <c r="E456" s="2">
        <v>30</v>
      </c>
      <c r="F456">
        <v>799</v>
      </c>
      <c r="G456" t="s">
        <v>921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922</v>
      </c>
      <c r="N456">
        <v>0.74</v>
      </c>
      <c r="O456" t="s">
        <v>33</v>
      </c>
      <c r="P456" t="s">
        <v>135</v>
      </c>
      <c r="Q456" t="s">
        <v>923</v>
      </c>
      <c r="R456" t="s">
        <v>924</v>
      </c>
      <c r="S456">
        <v>29915</v>
      </c>
      <c r="T456" s="1">
        <v>42010</v>
      </c>
      <c r="U456" s="1">
        <v>42012</v>
      </c>
      <c r="V456" s="2">
        <v>131.38200000000001</v>
      </c>
      <c r="W456">
        <v>6</v>
      </c>
      <c r="X456" s="2">
        <v>958.46</v>
      </c>
      <c r="Y456">
        <v>89909</v>
      </c>
      <c r="Z456">
        <f t="shared" si="7"/>
        <v>5750.76</v>
      </c>
    </row>
    <row r="457" spans="1:26" x14ac:dyDescent="0.25">
      <c r="A457">
        <v>20002</v>
      </c>
      <c r="B457" t="s">
        <v>37</v>
      </c>
      <c r="C457" s="2">
        <v>0.01</v>
      </c>
      <c r="D457" s="2">
        <v>28.28</v>
      </c>
      <c r="E457" s="2">
        <v>13.99</v>
      </c>
      <c r="F457">
        <v>799</v>
      </c>
      <c r="G457" t="s">
        <v>921</v>
      </c>
      <c r="H457" t="s">
        <v>27</v>
      </c>
      <c r="I457" t="s">
        <v>114</v>
      </c>
      <c r="J457" t="s">
        <v>29</v>
      </c>
      <c r="K457" t="s">
        <v>139</v>
      </c>
      <c r="L457" t="s">
        <v>86</v>
      </c>
      <c r="M457" t="s">
        <v>925</v>
      </c>
      <c r="N457">
        <v>0.57999999999999996</v>
      </c>
      <c r="O457" t="s">
        <v>33</v>
      </c>
      <c r="P457" t="s">
        <v>135</v>
      </c>
      <c r="Q457" t="s">
        <v>923</v>
      </c>
      <c r="R457" t="s">
        <v>924</v>
      </c>
      <c r="S457">
        <v>29915</v>
      </c>
      <c r="T457" s="1">
        <v>42010</v>
      </c>
      <c r="U457" s="1">
        <v>42012</v>
      </c>
      <c r="V457" s="2">
        <v>-89.292000000000002</v>
      </c>
      <c r="W457">
        <v>12</v>
      </c>
      <c r="X457" s="2">
        <v>368.84</v>
      </c>
      <c r="Y457">
        <v>89909</v>
      </c>
      <c r="Z457">
        <f t="shared" si="7"/>
        <v>4426.08</v>
      </c>
    </row>
    <row r="458" spans="1:26" x14ac:dyDescent="0.25">
      <c r="A458">
        <v>20003</v>
      </c>
      <c r="B458" t="s">
        <v>37</v>
      </c>
      <c r="C458" s="2">
        <v>0.03</v>
      </c>
      <c r="D458" s="2">
        <v>35.99</v>
      </c>
      <c r="E458" s="2">
        <v>1.1000000000000001</v>
      </c>
      <c r="F458">
        <v>799</v>
      </c>
      <c r="G458" t="s">
        <v>921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926</v>
      </c>
      <c r="N458">
        <v>0.55000000000000004</v>
      </c>
      <c r="O458" t="s">
        <v>33</v>
      </c>
      <c r="P458" t="s">
        <v>135</v>
      </c>
      <c r="Q458" t="s">
        <v>923</v>
      </c>
      <c r="R458" t="s">
        <v>924</v>
      </c>
      <c r="S458">
        <v>29915</v>
      </c>
      <c r="T458" s="1">
        <v>42010</v>
      </c>
      <c r="U458" s="1">
        <v>42011</v>
      </c>
      <c r="V458" s="2">
        <v>-211.036</v>
      </c>
      <c r="W458">
        <v>1</v>
      </c>
      <c r="X458" s="2">
        <v>30.86</v>
      </c>
      <c r="Y458">
        <v>89909</v>
      </c>
      <c r="Z458">
        <f t="shared" si="7"/>
        <v>30.86</v>
      </c>
    </row>
    <row r="459" spans="1:26" x14ac:dyDescent="0.25">
      <c r="A459">
        <v>19265</v>
      </c>
      <c r="B459" t="s">
        <v>106</v>
      </c>
      <c r="C459" s="2">
        <v>0.04</v>
      </c>
      <c r="D459" s="2">
        <v>50.98</v>
      </c>
      <c r="E459" s="2">
        <v>6.5</v>
      </c>
      <c r="F459">
        <v>800</v>
      </c>
      <c r="G459" t="s">
        <v>927</v>
      </c>
      <c r="H459" t="s">
        <v>49</v>
      </c>
      <c r="I459" t="s">
        <v>114</v>
      </c>
      <c r="J459" t="s">
        <v>77</v>
      </c>
      <c r="K459" t="s">
        <v>177</v>
      </c>
      <c r="L459" t="s">
        <v>59</v>
      </c>
      <c r="M459" t="s">
        <v>928</v>
      </c>
      <c r="N459">
        <v>0.73</v>
      </c>
      <c r="O459" t="s">
        <v>33</v>
      </c>
      <c r="P459" t="s">
        <v>34</v>
      </c>
      <c r="Q459" t="s">
        <v>208</v>
      </c>
      <c r="R459" t="s">
        <v>918</v>
      </c>
      <c r="S459">
        <v>84067</v>
      </c>
      <c r="T459" s="1">
        <v>42091</v>
      </c>
      <c r="U459" s="1">
        <v>42097</v>
      </c>
      <c r="V459" s="2">
        <v>-13.28</v>
      </c>
      <c r="W459">
        <v>11</v>
      </c>
      <c r="X459" s="2">
        <v>568.25</v>
      </c>
      <c r="Y459">
        <v>89910</v>
      </c>
      <c r="Z459">
        <f t="shared" si="7"/>
        <v>6250.75</v>
      </c>
    </row>
    <row r="460" spans="1:26" x14ac:dyDescent="0.25">
      <c r="A460">
        <v>19266</v>
      </c>
      <c r="B460" t="s">
        <v>106</v>
      </c>
      <c r="C460" s="2">
        <v>0.02</v>
      </c>
      <c r="D460" s="2">
        <v>6.48</v>
      </c>
      <c r="E460" s="2">
        <v>5.14</v>
      </c>
      <c r="F460">
        <v>800</v>
      </c>
      <c r="G460" t="s">
        <v>927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929</v>
      </c>
      <c r="N460">
        <v>0.37</v>
      </c>
      <c r="O460" t="s">
        <v>33</v>
      </c>
      <c r="P460" t="s">
        <v>34</v>
      </c>
      <c r="Q460" t="s">
        <v>208</v>
      </c>
      <c r="R460" t="s">
        <v>918</v>
      </c>
      <c r="S460">
        <v>84067</v>
      </c>
      <c r="T460" s="1">
        <v>42091</v>
      </c>
      <c r="U460" s="1">
        <v>42093</v>
      </c>
      <c r="V460" s="2">
        <v>-48.68</v>
      </c>
      <c r="W460">
        <v>19</v>
      </c>
      <c r="X460" s="2">
        <v>126.66</v>
      </c>
      <c r="Y460">
        <v>89910</v>
      </c>
      <c r="Z460">
        <f t="shared" si="7"/>
        <v>2406.54</v>
      </c>
    </row>
    <row r="461" spans="1:26" x14ac:dyDescent="0.25">
      <c r="A461">
        <v>22484</v>
      </c>
      <c r="B461" t="s">
        <v>56</v>
      </c>
      <c r="C461" s="2">
        <v>0.03</v>
      </c>
      <c r="D461" s="2">
        <v>35.99</v>
      </c>
      <c r="E461" s="2">
        <v>5</v>
      </c>
      <c r="F461">
        <v>803</v>
      </c>
      <c r="G461" t="s">
        <v>930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709</v>
      </c>
      <c r="N461">
        <v>0.85</v>
      </c>
      <c r="O461" t="s">
        <v>33</v>
      </c>
      <c r="P461" t="s">
        <v>135</v>
      </c>
      <c r="Q461" t="s">
        <v>356</v>
      </c>
      <c r="R461" t="s">
        <v>931</v>
      </c>
      <c r="S461">
        <v>32168</v>
      </c>
      <c r="T461" s="1">
        <v>42123</v>
      </c>
      <c r="U461" s="1">
        <v>42124</v>
      </c>
      <c r="V461" s="2">
        <v>-184.548</v>
      </c>
      <c r="W461">
        <v>3</v>
      </c>
      <c r="X461" s="2">
        <v>93.82</v>
      </c>
      <c r="Y461">
        <v>90048</v>
      </c>
      <c r="Z461">
        <f t="shared" si="7"/>
        <v>281.45999999999998</v>
      </c>
    </row>
    <row r="462" spans="1:26" x14ac:dyDescent="0.25">
      <c r="A462">
        <v>5722</v>
      </c>
      <c r="B462" t="s">
        <v>47</v>
      </c>
      <c r="C462" s="2">
        <v>0.06</v>
      </c>
      <c r="D462" s="2">
        <v>179.99</v>
      </c>
      <c r="E462" s="2">
        <v>13.99</v>
      </c>
      <c r="F462">
        <v>806</v>
      </c>
      <c r="G462" t="s">
        <v>932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933</v>
      </c>
      <c r="N462">
        <v>0.56999999999999995</v>
      </c>
      <c r="O462" t="s">
        <v>33</v>
      </c>
      <c r="P462" t="s">
        <v>135</v>
      </c>
      <c r="Q462" t="s">
        <v>356</v>
      </c>
      <c r="R462" t="s">
        <v>441</v>
      </c>
      <c r="S462">
        <v>33132</v>
      </c>
      <c r="T462" s="1">
        <v>42013</v>
      </c>
      <c r="U462" s="1">
        <v>42015</v>
      </c>
      <c r="V462" s="2">
        <v>1220.03784</v>
      </c>
      <c r="W462">
        <v>54</v>
      </c>
      <c r="X462" s="2">
        <v>8332.91</v>
      </c>
      <c r="Y462">
        <v>40547</v>
      </c>
      <c r="Z462">
        <f t="shared" si="7"/>
        <v>449977.14</v>
      </c>
    </row>
    <row r="463" spans="1:26" x14ac:dyDescent="0.25">
      <c r="A463">
        <v>21942</v>
      </c>
      <c r="B463" t="s">
        <v>106</v>
      </c>
      <c r="C463" s="2">
        <v>0.09</v>
      </c>
      <c r="D463" s="2">
        <v>5.84</v>
      </c>
      <c r="E463" s="2">
        <v>0.83</v>
      </c>
      <c r="F463">
        <v>820</v>
      </c>
      <c r="G463" t="s">
        <v>934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935</v>
      </c>
      <c r="N463">
        <v>0.49</v>
      </c>
      <c r="O463" t="s">
        <v>33</v>
      </c>
      <c r="P463" t="s">
        <v>34</v>
      </c>
      <c r="Q463" t="s">
        <v>35</v>
      </c>
      <c r="R463" t="s">
        <v>936</v>
      </c>
      <c r="S463">
        <v>99362</v>
      </c>
      <c r="T463" s="1">
        <v>42145</v>
      </c>
      <c r="U463" s="1">
        <v>42149</v>
      </c>
      <c r="V463" s="2">
        <v>-2.87</v>
      </c>
      <c r="W463">
        <v>1</v>
      </c>
      <c r="X463" s="2">
        <v>5.9</v>
      </c>
      <c r="Y463">
        <v>90244</v>
      </c>
      <c r="Z463">
        <f t="shared" si="7"/>
        <v>5.9</v>
      </c>
    </row>
    <row r="464" spans="1:26" x14ac:dyDescent="0.25">
      <c r="A464">
        <v>20661</v>
      </c>
      <c r="B464" t="s">
        <v>106</v>
      </c>
      <c r="C464" s="2">
        <v>0.04</v>
      </c>
      <c r="D464" s="2">
        <v>6.24</v>
      </c>
      <c r="E464" s="2">
        <v>5.22</v>
      </c>
      <c r="F464">
        <v>823</v>
      </c>
      <c r="G464" t="s">
        <v>937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938</v>
      </c>
      <c r="N464">
        <v>0.6</v>
      </c>
      <c r="O464" t="s">
        <v>33</v>
      </c>
      <c r="P464" t="s">
        <v>135</v>
      </c>
      <c r="Q464" t="s">
        <v>239</v>
      </c>
      <c r="R464" t="s">
        <v>939</v>
      </c>
      <c r="S464">
        <v>37167</v>
      </c>
      <c r="T464" s="1">
        <v>42016</v>
      </c>
      <c r="U464" s="1">
        <v>42021</v>
      </c>
      <c r="V464" s="2">
        <v>4.3808999999999996</v>
      </c>
      <c r="W464">
        <v>13</v>
      </c>
      <c r="X464" s="2">
        <v>80.23</v>
      </c>
      <c r="Y464">
        <v>89257</v>
      </c>
      <c r="Z464">
        <f t="shared" si="7"/>
        <v>1042.99</v>
      </c>
    </row>
    <row r="465" spans="1:26" x14ac:dyDescent="0.25">
      <c r="A465">
        <v>20663</v>
      </c>
      <c r="B465" t="s">
        <v>106</v>
      </c>
      <c r="C465" s="2">
        <v>0.09</v>
      </c>
      <c r="D465" s="2">
        <v>260.98</v>
      </c>
      <c r="E465" s="2">
        <v>41.91</v>
      </c>
      <c r="F465">
        <v>824</v>
      </c>
      <c r="G465" t="s">
        <v>940</v>
      </c>
      <c r="H465" t="s">
        <v>39</v>
      </c>
      <c r="I465" t="s">
        <v>58</v>
      </c>
      <c r="J465" t="s">
        <v>41</v>
      </c>
      <c r="K465" t="s">
        <v>187</v>
      </c>
      <c r="L465" t="s">
        <v>120</v>
      </c>
      <c r="M465" t="s">
        <v>941</v>
      </c>
      <c r="N465">
        <v>0.59</v>
      </c>
      <c r="O465" t="s">
        <v>33</v>
      </c>
      <c r="P465" t="s">
        <v>135</v>
      </c>
      <c r="Q465" t="s">
        <v>239</v>
      </c>
      <c r="R465" t="s">
        <v>942</v>
      </c>
      <c r="S465">
        <v>37174</v>
      </c>
      <c r="T465" s="1">
        <v>42016</v>
      </c>
      <c r="U465" s="1">
        <v>42023</v>
      </c>
      <c r="V465" s="2">
        <v>-100.744</v>
      </c>
      <c r="W465">
        <v>8</v>
      </c>
      <c r="X465" s="2">
        <v>2044.9</v>
      </c>
      <c r="Y465">
        <v>89257</v>
      </c>
      <c r="Z465">
        <f t="shared" si="7"/>
        <v>16359.2</v>
      </c>
    </row>
    <row r="466" spans="1:26" x14ac:dyDescent="0.25">
      <c r="A466">
        <v>21350</v>
      </c>
      <c r="B466" t="s">
        <v>47</v>
      </c>
      <c r="C466" s="2">
        <v>0</v>
      </c>
      <c r="D466" s="2">
        <v>11.97</v>
      </c>
      <c r="E466" s="2">
        <v>4.9800000000000004</v>
      </c>
      <c r="F466">
        <v>825</v>
      </c>
      <c r="G466" t="s">
        <v>943</v>
      </c>
      <c r="H466" t="s">
        <v>49</v>
      </c>
      <c r="I466" t="s">
        <v>40</v>
      </c>
      <c r="J466" t="s">
        <v>29</v>
      </c>
      <c r="K466" t="s">
        <v>252</v>
      </c>
      <c r="L466" t="s">
        <v>59</v>
      </c>
      <c r="M466" t="s">
        <v>577</v>
      </c>
      <c r="N466">
        <v>0.57999999999999996</v>
      </c>
      <c r="O466" t="s">
        <v>33</v>
      </c>
      <c r="P466" t="s">
        <v>61</v>
      </c>
      <c r="Q466" t="s">
        <v>129</v>
      </c>
      <c r="R466" t="s">
        <v>944</v>
      </c>
      <c r="S466">
        <v>79605</v>
      </c>
      <c r="T466" s="1">
        <v>42145</v>
      </c>
      <c r="U466" s="1">
        <v>42148</v>
      </c>
      <c r="V466" s="2">
        <v>3.3839999999999999</v>
      </c>
      <c r="W466">
        <v>4</v>
      </c>
      <c r="X466" s="2">
        <v>53.3</v>
      </c>
      <c r="Y466">
        <v>89258</v>
      </c>
      <c r="Z466">
        <f t="shared" si="7"/>
        <v>213.2</v>
      </c>
    </row>
    <row r="467" spans="1:26" x14ac:dyDescent="0.25">
      <c r="A467">
        <v>24842</v>
      </c>
      <c r="B467" t="s">
        <v>56</v>
      </c>
      <c r="C467" s="2">
        <v>0.01</v>
      </c>
      <c r="D467" s="2">
        <v>6.98</v>
      </c>
      <c r="E467" s="2">
        <v>1.6</v>
      </c>
      <c r="F467">
        <v>827</v>
      </c>
      <c r="G467" t="s">
        <v>945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946</v>
      </c>
      <c r="N467">
        <v>0.38</v>
      </c>
      <c r="O467" t="s">
        <v>33</v>
      </c>
      <c r="P467" t="s">
        <v>61</v>
      </c>
      <c r="Q467" t="s">
        <v>129</v>
      </c>
      <c r="R467" t="s">
        <v>947</v>
      </c>
      <c r="S467">
        <v>79109</v>
      </c>
      <c r="T467" s="1">
        <v>42149</v>
      </c>
      <c r="U467" s="1">
        <v>42150</v>
      </c>
      <c r="V467" s="2">
        <v>0.34599999999999997</v>
      </c>
      <c r="W467">
        <v>3</v>
      </c>
      <c r="X467" s="2">
        <v>21.93</v>
      </c>
      <c r="Y467">
        <v>89259</v>
      </c>
      <c r="Z467">
        <f t="shared" si="7"/>
        <v>65.789999999999992</v>
      </c>
    </row>
    <row r="468" spans="1:26" x14ac:dyDescent="0.25">
      <c r="A468">
        <v>24236</v>
      </c>
      <c r="B468" t="s">
        <v>37</v>
      </c>
      <c r="C468" s="2">
        <v>0.01</v>
      </c>
      <c r="D468" s="2">
        <v>5.18</v>
      </c>
      <c r="E468" s="2">
        <v>2.04</v>
      </c>
      <c r="F468">
        <v>829</v>
      </c>
      <c r="G468" t="s">
        <v>948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165</v>
      </c>
      <c r="N468">
        <v>0.36</v>
      </c>
      <c r="O468" t="s">
        <v>33</v>
      </c>
      <c r="P468" t="s">
        <v>135</v>
      </c>
      <c r="Q468" t="s">
        <v>949</v>
      </c>
      <c r="R468" t="s">
        <v>950</v>
      </c>
      <c r="S468">
        <v>71854</v>
      </c>
      <c r="T468" s="1">
        <v>42057</v>
      </c>
      <c r="U468" s="1">
        <v>42059</v>
      </c>
      <c r="V468" s="2">
        <v>-17.654</v>
      </c>
      <c r="W468">
        <v>5</v>
      </c>
      <c r="X468" s="2">
        <v>28.46</v>
      </c>
      <c r="Y468">
        <v>90271</v>
      </c>
      <c r="Z468">
        <f t="shared" si="7"/>
        <v>142.30000000000001</v>
      </c>
    </row>
    <row r="469" spans="1:26" x14ac:dyDescent="0.25">
      <c r="A469">
        <v>20664</v>
      </c>
      <c r="B469" t="s">
        <v>25</v>
      </c>
      <c r="C469" s="2">
        <v>0.01</v>
      </c>
      <c r="D469" s="2">
        <v>14.42</v>
      </c>
      <c r="E469" s="2">
        <v>6.75</v>
      </c>
      <c r="F469">
        <v>830</v>
      </c>
      <c r="G469" t="s">
        <v>951</v>
      </c>
      <c r="H469" t="s">
        <v>49</v>
      </c>
      <c r="I469" t="s">
        <v>28</v>
      </c>
      <c r="J469" t="s">
        <v>29</v>
      </c>
      <c r="K469" t="s">
        <v>252</v>
      </c>
      <c r="L469" t="s">
        <v>86</v>
      </c>
      <c r="M469" t="s">
        <v>564</v>
      </c>
      <c r="N469">
        <v>0.52</v>
      </c>
      <c r="O469" t="s">
        <v>33</v>
      </c>
      <c r="P469" t="s">
        <v>34</v>
      </c>
      <c r="Q469" t="s">
        <v>250</v>
      </c>
      <c r="R469" t="s">
        <v>952</v>
      </c>
      <c r="S469">
        <v>80033</v>
      </c>
      <c r="T469" s="1">
        <v>42028</v>
      </c>
      <c r="U469" s="1">
        <v>42028</v>
      </c>
      <c r="V469" s="2">
        <v>-13.826000000000001</v>
      </c>
      <c r="W469">
        <v>6</v>
      </c>
      <c r="X469" s="2">
        <v>89.91</v>
      </c>
      <c r="Y469">
        <v>90270</v>
      </c>
      <c r="Z469">
        <f t="shared" si="7"/>
        <v>539.46</v>
      </c>
    </row>
    <row r="470" spans="1:26" x14ac:dyDescent="0.25">
      <c r="A470">
        <v>19173</v>
      </c>
      <c r="B470" t="s">
        <v>25</v>
      </c>
      <c r="C470" s="2">
        <v>0</v>
      </c>
      <c r="D470" s="2">
        <v>11.66</v>
      </c>
      <c r="E470" s="2">
        <v>8.99</v>
      </c>
      <c r="F470">
        <v>833</v>
      </c>
      <c r="G470" t="s">
        <v>953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954</v>
      </c>
      <c r="N470">
        <v>0.59</v>
      </c>
      <c r="O470" t="s">
        <v>33</v>
      </c>
      <c r="P470" t="s">
        <v>34</v>
      </c>
      <c r="Q470" t="s">
        <v>45</v>
      </c>
      <c r="R470" t="s">
        <v>955</v>
      </c>
      <c r="S470">
        <v>95020</v>
      </c>
      <c r="T470" s="1">
        <v>42013</v>
      </c>
      <c r="U470" s="1">
        <v>42015</v>
      </c>
      <c r="V470" s="2">
        <v>-203.67</v>
      </c>
      <c r="W470">
        <v>11</v>
      </c>
      <c r="X470" s="2">
        <v>138.51</v>
      </c>
      <c r="Y470">
        <v>89770</v>
      </c>
      <c r="Z470">
        <f t="shared" si="7"/>
        <v>1523.61</v>
      </c>
    </row>
    <row r="471" spans="1:26" x14ac:dyDescent="0.25">
      <c r="A471">
        <v>19383</v>
      </c>
      <c r="B471" t="s">
        <v>37</v>
      </c>
      <c r="C471" s="2">
        <v>7.0000000000000007E-2</v>
      </c>
      <c r="D471" s="2">
        <v>6.08</v>
      </c>
      <c r="E471" s="2">
        <v>0.91</v>
      </c>
      <c r="F471">
        <v>850</v>
      </c>
      <c r="G471" t="s">
        <v>956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957</v>
      </c>
      <c r="N471">
        <v>0.51</v>
      </c>
      <c r="O471" t="s">
        <v>33</v>
      </c>
      <c r="P471" t="s">
        <v>34</v>
      </c>
      <c r="Q471" t="s">
        <v>45</v>
      </c>
      <c r="R471" t="s">
        <v>958</v>
      </c>
      <c r="S471">
        <v>93117</v>
      </c>
      <c r="T471" s="1">
        <v>42070</v>
      </c>
      <c r="U471" s="1">
        <v>42071</v>
      </c>
      <c r="V471" s="2">
        <v>19.57</v>
      </c>
      <c r="W471">
        <v>7</v>
      </c>
      <c r="X471" s="2">
        <v>41.96</v>
      </c>
      <c r="Y471">
        <v>88569</v>
      </c>
      <c r="Z471">
        <f t="shared" si="7"/>
        <v>293.72000000000003</v>
      </c>
    </row>
    <row r="472" spans="1:26" x14ac:dyDescent="0.25">
      <c r="A472">
        <v>20604</v>
      </c>
      <c r="B472" t="s">
        <v>106</v>
      </c>
      <c r="C472" s="2">
        <v>0.1</v>
      </c>
      <c r="D472" s="2">
        <v>50.98</v>
      </c>
      <c r="E472" s="2">
        <v>22.24</v>
      </c>
      <c r="F472">
        <v>851</v>
      </c>
      <c r="G472" t="s">
        <v>959</v>
      </c>
      <c r="H472" t="s">
        <v>49</v>
      </c>
      <c r="I472" t="s">
        <v>28</v>
      </c>
      <c r="J472" t="s">
        <v>41</v>
      </c>
      <c r="K472" t="s">
        <v>50</v>
      </c>
      <c r="L472" t="s">
        <v>231</v>
      </c>
      <c r="M472" t="s">
        <v>960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961</v>
      </c>
      <c r="S472">
        <v>91745</v>
      </c>
      <c r="T472" s="1">
        <v>42060</v>
      </c>
      <c r="U472" s="1">
        <v>42062</v>
      </c>
      <c r="V472" s="2">
        <v>98.12</v>
      </c>
      <c r="W472">
        <v>6</v>
      </c>
      <c r="X472" s="2">
        <v>300.63</v>
      </c>
      <c r="Y472">
        <v>88568</v>
      </c>
      <c r="Z472">
        <f t="shared" si="7"/>
        <v>1803.78</v>
      </c>
    </row>
    <row r="473" spans="1:26" x14ac:dyDescent="0.25">
      <c r="A473">
        <v>19384</v>
      </c>
      <c r="B473" t="s">
        <v>37</v>
      </c>
      <c r="C473" s="2">
        <v>0.08</v>
      </c>
      <c r="D473" s="2">
        <v>19.899999999999999</v>
      </c>
      <c r="E473" s="2">
        <v>5.29</v>
      </c>
      <c r="F473">
        <v>851</v>
      </c>
      <c r="G473" t="s">
        <v>959</v>
      </c>
      <c r="H473" t="s">
        <v>49</v>
      </c>
      <c r="I473" t="s">
        <v>28</v>
      </c>
      <c r="J473" t="s">
        <v>29</v>
      </c>
      <c r="K473" t="s">
        <v>252</v>
      </c>
      <c r="L473" t="s">
        <v>86</v>
      </c>
      <c r="M473" t="s">
        <v>962</v>
      </c>
      <c r="N473">
        <v>0.4</v>
      </c>
      <c r="O473" t="s">
        <v>33</v>
      </c>
      <c r="P473" t="s">
        <v>34</v>
      </c>
      <c r="Q473" t="s">
        <v>45</v>
      </c>
      <c r="R473" t="s">
        <v>961</v>
      </c>
      <c r="S473">
        <v>91745</v>
      </c>
      <c r="T473" s="1">
        <v>42070</v>
      </c>
      <c r="U473" s="1">
        <v>42072</v>
      </c>
      <c r="V473" s="2">
        <v>107.11</v>
      </c>
      <c r="W473">
        <v>13</v>
      </c>
      <c r="X473" s="2">
        <v>240.46</v>
      </c>
      <c r="Y473">
        <v>88569</v>
      </c>
      <c r="Z473">
        <f t="shared" si="7"/>
        <v>3125.98</v>
      </c>
    </row>
    <row r="474" spans="1:26" x14ac:dyDescent="0.25">
      <c r="A474">
        <v>19385</v>
      </c>
      <c r="B474" t="s">
        <v>37</v>
      </c>
      <c r="C474" s="2">
        <v>0.02</v>
      </c>
      <c r="D474" s="2">
        <v>3.36</v>
      </c>
      <c r="E474" s="2">
        <v>6.27</v>
      </c>
      <c r="F474">
        <v>851</v>
      </c>
      <c r="G474" t="s">
        <v>959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579</v>
      </c>
      <c r="N474">
        <v>0.4</v>
      </c>
      <c r="O474" t="s">
        <v>33</v>
      </c>
      <c r="P474" t="s">
        <v>34</v>
      </c>
      <c r="Q474" t="s">
        <v>45</v>
      </c>
      <c r="R474" t="s">
        <v>961</v>
      </c>
      <c r="S474">
        <v>91745</v>
      </c>
      <c r="T474" s="1">
        <v>42070</v>
      </c>
      <c r="U474" s="1">
        <v>42072</v>
      </c>
      <c r="V474" s="2">
        <v>-216.154</v>
      </c>
      <c r="W474">
        <v>21</v>
      </c>
      <c r="X474" s="2">
        <v>74.08</v>
      </c>
      <c r="Y474">
        <v>88569</v>
      </c>
      <c r="Z474">
        <f t="shared" si="7"/>
        <v>1555.68</v>
      </c>
    </row>
    <row r="475" spans="1:26" x14ac:dyDescent="0.25">
      <c r="A475">
        <v>21353</v>
      </c>
      <c r="B475" t="s">
        <v>47</v>
      </c>
      <c r="C475" s="2">
        <v>0.06</v>
      </c>
      <c r="D475" s="2">
        <v>1.26</v>
      </c>
      <c r="E475" s="2">
        <v>0.7</v>
      </c>
      <c r="F475">
        <v>851</v>
      </c>
      <c r="G475" t="s">
        <v>959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963</v>
      </c>
      <c r="N475">
        <v>0.81</v>
      </c>
      <c r="O475" t="s">
        <v>33</v>
      </c>
      <c r="P475" t="s">
        <v>34</v>
      </c>
      <c r="Q475" t="s">
        <v>45</v>
      </c>
      <c r="R475" t="s">
        <v>961</v>
      </c>
      <c r="S475">
        <v>91745</v>
      </c>
      <c r="T475" s="1">
        <v>42124</v>
      </c>
      <c r="U475" s="1">
        <v>42124</v>
      </c>
      <c r="V475" s="2">
        <v>-6.6096000000000004</v>
      </c>
      <c r="W475">
        <v>4</v>
      </c>
      <c r="X475" s="2">
        <v>5.28</v>
      </c>
      <c r="Y475">
        <v>88571</v>
      </c>
      <c r="Z475">
        <f t="shared" si="7"/>
        <v>21.12</v>
      </c>
    </row>
    <row r="476" spans="1:26" x14ac:dyDescent="0.25">
      <c r="A476">
        <v>26093</v>
      </c>
      <c r="B476" t="s">
        <v>25</v>
      </c>
      <c r="C476" s="2">
        <v>0.05</v>
      </c>
      <c r="D476" s="2">
        <v>4.24</v>
      </c>
      <c r="E476" s="2">
        <v>5.41</v>
      </c>
      <c r="F476">
        <v>853</v>
      </c>
      <c r="G476" t="s">
        <v>964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965</v>
      </c>
      <c r="S476">
        <v>92345</v>
      </c>
      <c r="T476" s="1">
        <v>42079</v>
      </c>
      <c r="U476" s="1">
        <v>42081</v>
      </c>
      <c r="V476" s="2">
        <v>-89.216999999999999</v>
      </c>
      <c r="W476">
        <v>12</v>
      </c>
      <c r="X476" s="2">
        <v>50.83</v>
      </c>
      <c r="Y476">
        <v>88570</v>
      </c>
      <c r="Z476">
        <f t="shared" si="7"/>
        <v>609.96</v>
      </c>
    </row>
    <row r="477" spans="1:26" x14ac:dyDescent="0.25">
      <c r="A477">
        <v>21351</v>
      </c>
      <c r="B477" t="s">
        <v>47</v>
      </c>
      <c r="C477" s="2">
        <v>0.06</v>
      </c>
      <c r="D477" s="2">
        <v>1.76</v>
      </c>
      <c r="E477" s="2">
        <v>0.7</v>
      </c>
      <c r="F477">
        <v>854</v>
      </c>
      <c r="G477" t="s">
        <v>966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126</v>
      </c>
      <c r="N477">
        <v>0.56000000000000005</v>
      </c>
      <c r="O477" t="s">
        <v>33</v>
      </c>
      <c r="P477" t="s">
        <v>53</v>
      </c>
      <c r="Q477" t="s">
        <v>223</v>
      </c>
      <c r="R477" t="s">
        <v>967</v>
      </c>
      <c r="S477">
        <v>6405</v>
      </c>
      <c r="T477" s="1">
        <v>42124</v>
      </c>
      <c r="U477" s="1">
        <v>42126</v>
      </c>
      <c r="V477" s="2">
        <v>1.2236</v>
      </c>
      <c r="W477">
        <v>22</v>
      </c>
      <c r="X477" s="2">
        <v>39.26</v>
      </c>
      <c r="Y477">
        <v>88571</v>
      </c>
      <c r="Z477">
        <f t="shared" si="7"/>
        <v>863.71999999999991</v>
      </c>
    </row>
    <row r="478" spans="1:26" x14ac:dyDescent="0.25">
      <c r="A478">
        <v>21352</v>
      </c>
      <c r="B478" t="s">
        <v>47</v>
      </c>
      <c r="C478" s="2">
        <v>0.02</v>
      </c>
      <c r="D478" s="2">
        <v>24.98</v>
      </c>
      <c r="E478" s="2">
        <v>8.7899999999999991</v>
      </c>
      <c r="F478">
        <v>855</v>
      </c>
      <c r="G478" t="s">
        <v>968</v>
      </c>
      <c r="H478" t="s">
        <v>49</v>
      </c>
      <c r="I478" t="s">
        <v>28</v>
      </c>
      <c r="J478" t="s">
        <v>29</v>
      </c>
      <c r="K478" t="s">
        <v>139</v>
      </c>
      <c r="L478" t="s">
        <v>59</v>
      </c>
      <c r="M478" t="s">
        <v>969</v>
      </c>
      <c r="N478">
        <v>0.66</v>
      </c>
      <c r="O478" t="s">
        <v>33</v>
      </c>
      <c r="P478" t="s">
        <v>53</v>
      </c>
      <c r="Q478" t="s">
        <v>223</v>
      </c>
      <c r="R478" t="s">
        <v>970</v>
      </c>
      <c r="S478">
        <v>6810</v>
      </c>
      <c r="T478" s="1">
        <v>42124</v>
      </c>
      <c r="U478" s="1">
        <v>42125</v>
      </c>
      <c r="V478" s="2">
        <v>4.3148</v>
      </c>
      <c r="W478">
        <v>23</v>
      </c>
      <c r="X478" s="2">
        <v>606.51</v>
      </c>
      <c r="Y478">
        <v>88571</v>
      </c>
      <c r="Z478">
        <f t="shared" si="7"/>
        <v>13949.73</v>
      </c>
    </row>
    <row r="479" spans="1:26" x14ac:dyDescent="0.25">
      <c r="A479">
        <v>21354</v>
      </c>
      <c r="B479" t="s">
        <v>47</v>
      </c>
      <c r="C479" s="2">
        <v>0.05</v>
      </c>
      <c r="D479" s="2">
        <v>35.99</v>
      </c>
      <c r="E479" s="2">
        <v>5.99</v>
      </c>
      <c r="F479">
        <v>858</v>
      </c>
      <c r="G479" t="s">
        <v>971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972</v>
      </c>
      <c r="N479">
        <v>0.38</v>
      </c>
      <c r="O479" t="s">
        <v>33</v>
      </c>
      <c r="P479" t="s">
        <v>53</v>
      </c>
      <c r="Q479" t="s">
        <v>184</v>
      </c>
      <c r="R479" t="s">
        <v>470</v>
      </c>
      <c r="S479">
        <v>4240</v>
      </c>
      <c r="T479" s="1">
        <v>42124</v>
      </c>
      <c r="U479" s="1">
        <v>42126</v>
      </c>
      <c r="V479" s="2">
        <v>-125.83296</v>
      </c>
      <c r="W479">
        <v>2</v>
      </c>
      <c r="X479" s="2">
        <v>64.89</v>
      </c>
      <c r="Y479">
        <v>88571</v>
      </c>
      <c r="Z479">
        <f t="shared" si="7"/>
        <v>129.78</v>
      </c>
    </row>
    <row r="480" spans="1:26" x14ac:dyDescent="0.25">
      <c r="A480">
        <v>21214</v>
      </c>
      <c r="B480" t="s">
        <v>47</v>
      </c>
      <c r="C480" s="2">
        <v>0.03</v>
      </c>
      <c r="D480" s="2">
        <v>14.2</v>
      </c>
      <c r="E480" s="2">
        <v>5.3</v>
      </c>
      <c r="F480">
        <v>865</v>
      </c>
      <c r="G480" t="s">
        <v>973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722</v>
      </c>
      <c r="N480">
        <v>0.46</v>
      </c>
      <c r="O480" t="s">
        <v>33</v>
      </c>
      <c r="P480" t="s">
        <v>61</v>
      </c>
      <c r="Q480" t="s">
        <v>695</v>
      </c>
      <c r="R480" t="s">
        <v>823</v>
      </c>
      <c r="S480">
        <v>46312</v>
      </c>
      <c r="T480" s="1">
        <v>42151</v>
      </c>
      <c r="U480" s="1">
        <v>42152</v>
      </c>
      <c r="V480" s="2">
        <v>122.21</v>
      </c>
      <c r="W480">
        <v>18</v>
      </c>
      <c r="X480" s="2">
        <v>267.2</v>
      </c>
      <c r="Y480">
        <v>90674</v>
      </c>
      <c r="Z480">
        <f t="shared" si="7"/>
        <v>4809.5999999999995</v>
      </c>
    </row>
    <row r="481" spans="1:26" x14ac:dyDescent="0.25">
      <c r="A481">
        <v>19947</v>
      </c>
      <c r="B481" t="s">
        <v>106</v>
      </c>
      <c r="C481" s="2">
        <v>0.04</v>
      </c>
      <c r="D481" s="2">
        <v>6.48</v>
      </c>
      <c r="E481" s="2">
        <v>5.16</v>
      </c>
      <c r="F481">
        <v>865</v>
      </c>
      <c r="G481" t="s">
        <v>973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974</v>
      </c>
      <c r="N481">
        <v>0.37</v>
      </c>
      <c r="O481" t="s">
        <v>33</v>
      </c>
      <c r="P481" t="s">
        <v>61</v>
      </c>
      <c r="Q481" t="s">
        <v>695</v>
      </c>
      <c r="R481" t="s">
        <v>823</v>
      </c>
      <c r="S481">
        <v>46312</v>
      </c>
      <c r="T481" s="1">
        <v>42061</v>
      </c>
      <c r="U481" s="1">
        <v>42065</v>
      </c>
      <c r="V481" s="2">
        <v>-11.1332</v>
      </c>
      <c r="W481">
        <v>12</v>
      </c>
      <c r="X481" s="2">
        <v>86.79</v>
      </c>
      <c r="Y481">
        <v>90675</v>
      </c>
      <c r="Z481">
        <f t="shared" si="7"/>
        <v>1041.48</v>
      </c>
    </row>
    <row r="482" spans="1:26" x14ac:dyDescent="0.25">
      <c r="A482">
        <v>24774</v>
      </c>
      <c r="B482" t="s">
        <v>37</v>
      </c>
      <c r="C482" s="2">
        <v>0.04</v>
      </c>
      <c r="D482" s="2">
        <v>29.18</v>
      </c>
      <c r="E482" s="2">
        <v>8.5500000000000007</v>
      </c>
      <c r="F482">
        <v>868</v>
      </c>
      <c r="G482" t="s">
        <v>975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976</v>
      </c>
      <c r="N482">
        <v>0.42</v>
      </c>
      <c r="O482" t="s">
        <v>33</v>
      </c>
      <c r="P482" t="s">
        <v>61</v>
      </c>
      <c r="Q482" t="s">
        <v>62</v>
      </c>
      <c r="R482" t="s">
        <v>977</v>
      </c>
      <c r="S482">
        <v>55126</v>
      </c>
      <c r="T482" s="1">
        <v>42060</v>
      </c>
      <c r="U482" s="1">
        <v>42062</v>
      </c>
      <c r="V482" s="2">
        <v>201.7353</v>
      </c>
      <c r="W482">
        <v>10</v>
      </c>
      <c r="X482" s="2">
        <v>292.37</v>
      </c>
      <c r="Y482">
        <v>91194</v>
      </c>
      <c r="Z482">
        <f t="shared" si="7"/>
        <v>2923.7</v>
      </c>
    </row>
    <row r="483" spans="1:26" x14ac:dyDescent="0.25">
      <c r="A483">
        <v>24775</v>
      </c>
      <c r="B483" t="s">
        <v>37</v>
      </c>
      <c r="C483" s="2">
        <v>0</v>
      </c>
      <c r="D483" s="2">
        <v>80.98</v>
      </c>
      <c r="E483" s="2">
        <v>35</v>
      </c>
      <c r="F483">
        <v>868</v>
      </c>
      <c r="G483" t="s">
        <v>975</v>
      </c>
      <c r="H483" t="s">
        <v>49</v>
      </c>
      <c r="I483" t="s">
        <v>28</v>
      </c>
      <c r="J483" t="s">
        <v>29</v>
      </c>
      <c r="K483" t="s">
        <v>139</v>
      </c>
      <c r="L483" t="s">
        <v>231</v>
      </c>
      <c r="M483" t="s">
        <v>978</v>
      </c>
      <c r="N483">
        <v>0.83</v>
      </c>
      <c r="O483" t="s">
        <v>33</v>
      </c>
      <c r="P483" t="s">
        <v>61</v>
      </c>
      <c r="Q483" t="s">
        <v>62</v>
      </c>
      <c r="R483" t="s">
        <v>977</v>
      </c>
      <c r="S483">
        <v>55126</v>
      </c>
      <c r="T483" s="1">
        <v>42060</v>
      </c>
      <c r="U483" s="1">
        <v>42062</v>
      </c>
      <c r="V483" s="2">
        <v>-684.78</v>
      </c>
      <c r="W483">
        <v>8</v>
      </c>
      <c r="X483" s="2">
        <v>682.79</v>
      </c>
      <c r="Y483">
        <v>91194</v>
      </c>
      <c r="Z483">
        <f t="shared" si="7"/>
        <v>5462.32</v>
      </c>
    </row>
    <row r="484" spans="1:26" x14ac:dyDescent="0.25">
      <c r="A484">
        <v>24763</v>
      </c>
      <c r="B484" t="s">
        <v>47</v>
      </c>
      <c r="C484" s="2">
        <v>0.06</v>
      </c>
      <c r="D484" s="2">
        <v>6.48</v>
      </c>
      <c r="E484" s="2">
        <v>8.8800000000000008</v>
      </c>
      <c r="F484">
        <v>868</v>
      </c>
      <c r="G484" t="s">
        <v>975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979</v>
      </c>
      <c r="N484">
        <v>0.37</v>
      </c>
      <c r="O484" t="s">
        <v>33</v>
      </c>
      <c r="P484" t="s">
        <v>61</v>
      </c>
      <c r="Q484" t="s">
        <v>62</v>
      </c>
      <c r="R484" t="s">
        <v>977</v>
      </c>
      <c r="S484">
        <v>55126</v>
      </c>
      <c r="T484" s="1">
        <v>42069</v>
      </c>
      <c r="U484" s="1">
        <v>42070</v>
      </c>
      <c r="V484" s="2">
        <v>-237.47</v>
      </c>
      <c r="W484">
        <v>20</v>
      </c>
      <c r="X484" s="2">
        <v>125.77</v>
      </c>
      <c r="Y484">
        <v>91195</v>
      </c>
      <c r="Z484">
        <f t="shared" si="7"/>
        <v>2515.4</v>
      </c>
    </row>
    <row r="485" spans="1:26" x14ac:dyDescent="0.25">
      <c r="A485">
        <v>24764</v>
      </c>
      <c r="B485" t="s">
        <v>47</v>
      </c>
      <c r="C485" s="2">
        <v>0.09</v>
      </c>
      <c r="D485" s="2">
        <v>349.45</v>
      </c>
      <c r="E485" s="2">
        <v>60</v>
      </c>
      <c r="F485">
        <v>868</v>
      </c>
      <c r="G485" t="s">
        <v>975</v>
      </c>
      <c r="H485" t="s">
        <v>39</v>
      </c>
      <c r="I485" t="s">
        <v>28</v>
      </c>
      <c r="J485" t="s">
        <v>41</v>
      </c>
      <c r="K485" t="s">
        <v>150</v>
      </c>
      <c r="L485" t="s">
        <v>43</v>
      </c>
      <c r="M485" t="s">
        <v>980</v>
      </c>
      <c r="O485" t="s">
        <v>33</v>
      </c>
      <c r="P485" t="s">
        <v>61</v>
      </c>
      <c r="Q485" t="s">
        <v>62</v>
      </c>
      <c r="R485" t="s">
        <v>977</v>
      </c>
      <c r="S485">
        <v>55126</v>
      </c>
      <c r="T485" s="1">
        <v>42069</v>
      </c>
      <c r="U485" s="1">
        <v>42070</v>
      </c>
      <c r="V485" s="2">
        <v>-2946.0509999999999</v>
      </c>
      <c r="W485">
        <v>12</v>
      </c>
      <c r="X485" s="2">
        <v>3918.98</v>
      </c>
      <c r="Y485">
        <v>91195</v>
      </c>
      <c r="Z485">
        <f t="shared" si="7"/>
        <v>47027.76</v>
      </c>
    </row>
    <row r="486" spans="1:26" x14ac:dyDescent="0.25">
      <c r="A486">
        <v>25507</v>
      </c>
      <c r="B486" t="s">
        <v>37</v>
      </c>
      <c r="C486" s="2">
        <v>0.03</v>
      </c>
      <c r="D486" s="2">
        <v>14.2</v>
      </c>
      <c r="E486" s="2">
        <v>5.3</v>
      </c>
      <c r="F486">
        <v>871</v>
      </c>
      <c r="G486" t="s">
        <v>981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722</v>
      </c>
      <c r="N486">
        <v>0.46</v>
      </c>
      <c r="O486" t="s">
        <v>33</v>
      </c>
      <c r="P486" t="s">
        <v>34</v>
      </c>
      <c r="Q486" t="s">
        <v>526</v>
      </c>
      <c r="R486" t="s">
        <v>982</v>
      </c>
      <c r="S486">
        <v>89502</v>
      </c>
      <c r="T486" s="1">
        <v>42078</v>
      </c>
      <c r="U486" s="1">
        <v>42080</v>
      </c>
      <c r="V486" s="2">
        <v>21.555599999999998</v>
      </c>
      <c r="W486">
        <v>2</v>
      </c>
      <c r="X486" s="2">
        <v>31.24</v>
      </c>
      <c r="Y486">
        <v>90577</v>
      </c>
      <c r="Z486">
        <f t="shared" si="7"/>
        <v>62.48</v>
      </c>
    </row>
    <row r="487" spans="1:26" x14ac:dyDescent="0.25">
      <c r="A487">
        <v>22547</v>
      </c>
      <c r="B487" t="s">
        <v>37</v>
      </c>
      <c r="C487" s="2">
        <v>0.01</v>
      </c>
      <c r="D487" s="2">
        <v>5.94</v>
      </c>
      <c r="E487" s="2">
        <v>9.92</v>
      </c>
      <c r="F487">
        <v>871</v>
      </c>
      <c r="G487" t="s">
        <v>981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338</v>
      </c>
      <c r="N487">
        <v>0.38</v>
      </c>
      <c r="O487" t="s">
        <v>33</v>
      </c>
      <c r="P487" t="s">
        <v>34</v>
      </c>
      <c r="Q487" t="s">
        <v>526</v>
      </c>
      <c r="R487" t="s">
        <v>982</v>
      </c>
      <c r="S487">
        <v>89502</v>
      </c>
      <c r="T487" s="1">
        <v>42144</v>
      </c>
      <c r="U487" s="1">
        <v>42147</v>
      </c>
      <c r="V487" s="2">
        <v>-239.315</v>
      </c>
      <c r="W487">
        <v>12</v>
      </c>
      <c r="X487" s="2">
        <v>74.77</v>
      </c>
      <c r="Y487">
        <v>90578</v>
      </c>
      <c r="Z487">
        <f t="shared" si="7"/>
        <v>897.24</v>
      </c>
    </row>
    <row r="488" spans="1:26" x14ac:dyDescent="0.25">
      <c r="A488">
        <v>22548</v>
      </c>
      <c r="B488" t="s">
        <v>37</v>
      </c>
      <c r="C488" s="2">
        <v>0</v>
      </c>
      <c r="D488" s="2">
        <v>6.48</v>
      </c>
      <c r="E488" s="2">
        <v>5.1100000000000003</v>
      </c>
      <c r="F488">
        <v>871</v>
      </c>
      <c r="G488" t="s">
        <v>981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983</v>
      </c>
      <c r="N488">
        <v>0.37</v>
      </c>
      <c r="O488" t="s">
        <v>33</v>
      </c>
      <c r="P488" t="s">
        <v>34</v>
      </c>
      <c r="Q488" t="s">
        <v>526</v>
      </c>
      <c r="R488" t="s">
        <v>982</v>
      </c>
      <c r="S488">
        <v>89502</v>
      </c>
      <c r="T488" s="1">
        <v>42144</v>
      </c>
      <c r="U488" s="1">
        <v>42146</v>
      </c>
      <c r="V488" s="2">
        <v>-33.31</v>
      </c>
      <c r="W488">
        <v>18</v>
      </c>
      <c r="X488" s="2">
        <v>127.81</v>
      </c>
      <c r="Y488">
        <v>90578</v>
      </c>
      <c r="Z488">
        <f t="shared" si="7"/>
        <v>2300.58</v>
      </c>
    </row>
    <row r="489" spans="1:26" x14ac:dyDescent="0.25">
      <c r="A489">
        <v>19262</v>
      </c>
      <c r="B489" t="s">
        <v>25</v>
      </c>
      <c r="C489" s="2">
        <v>0.04</v>
      </c>
      <c r="D489" s="2">
        <v>4.37</v>
      </c>
      <c r="E489" s="2">
        <v>5.15</v>
      </c>
      <c r="F489">
        <v>875</v>
      </c>
      <c r="G489" t="s">
        <v>984</v>
      </c>
      <c r="H489" t="s">
        <v>49</v>
      </c>
      <c r="I489" t="s">
        <v>58</v>
      </c>
      <c r="J489" t="s">
        <v>29</v>
      </c>
      <c r="K489" t="s">
        <v>252</v>
      </c>
      <c r="L489" t="s">
        <v>59</v>
      </c>
      <c r="M489" t="s">
        <v>985</v>
      </c>
      <c r="N489">
        <v>0.59</v>
      </c>
      <c r="O489" t="s">
        <v>33</v>
      </c>
      <c r="P489" t="s">
        <v>34</v>
      </c>
      <c r="Q489" t="s">
        <v>208</v>
      </c>
      <c r="R489" t="s">
        <v>986</v>
      </c>
      <c r="S489">
        <v>84106</v>
      </c>
      <c r="T489" s="1">
        <v>42056</v>
      </c>
      <c r="U489" s="1">
        <v>42057</v>
      </c>
      <c r="V489" s="2">
        <v>-74.479600000000005</v>
      </c>
      <c r="W489">
        <v>18</v>
      </c>
      <c r="X489" s="2">
        <v>78.59</v>
      </c>
      <c r="Y489">
        <v>89059</v>
      </c>
      <c r="Z489">
        <f t="shared" si="7"/>
        <v>1414.6200000000001</v>
      </c>
    </row>
    <row r="490" spans="1:26" x14ac:dyDescent="0.25">
      <c r="A490">
        <v>19263</v>
      </c>
      <c r="B490" t="s">
        <v>25</v>
      </c>
      <c r="C490" s="2">
        <v>0.09</v>
      </c>
      <c r="D490" s="2">
        <v>155.99</v>
      </c>
      <c r="E490" s="2">
        <v>8.99</v>
      </c>
      <c r="F490">
        <v>875</v>
      </c>
      <c r="G490" t="s">
        <v>984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987</v>
      </c>
      <c r="N490">
        <v>0.57999999999999996</v>
      </c>
      <c r="O490" t="s">
        <v>33</v>
      </c>
      <c r="P490" t="s">
        <v>34</v>
      </c>
      <c r="Q490" t="s">
        <v>208</v>
      </c>
      <c r="R490" t="s">
        <v>986</v>
      </c>
      <c r="S490">
        <v>84106</v>
      </c>
      <c r="T490" s="1">
        <v>42056</v>
      </c>
      <c r="U490" s="1">
        <v>42058</v>
      </c>
      <c r="V490" s="2">
        <v>-232.22056000000001</v>
      </c>
      <c r="W490">
        <v>4</v>
      </c>
      <c r="X490" s="2">
        <v>497.11</v>
      </c>
      <c r="Y490">
        <v>89059</v>
      </c>
      <c r="Z490">
        <f t="shared" si="7"/>
        <v>1988.44</v>
      </c>
    </row>
    <row r="491" spans="1:26" x14ac:dyDescent="0.25">
      <c r="A491">
        <v>18054</v>
      </c>
      <c r="B491" t="s">
        <v>47</v>
      </c>
      <c r="C491" s="2">
        <v>7.0000000000000007E-2</v>
      </c>
      <c r="D491" s="2">
        <v>5.68</v>
      </c>
      <c r="E491" s="2">
        <v>1.39</v>
      </c>
      <c r="F491">
        <v>880</v>
      </c>
      <c r="G491" t="s">
        <v>988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989</v>
      </c>
      <c r="N491">
        <v>0.38</v>
      </c>
      <c r="O491" t="s">
        <v>33</v>
      </c>
      <c r="P491" t="s">
        <v>34</v>
      </c>
      <c r="Q491" t="s">
        <v>372</v>
      </c>
      <c r="R491" t="s">
        <v>990</v>
      </c>
      <c r="S491">
        <v>85254</v>
      </c>
      <c r="T491" s="1">
        <v>42088</v>
      </c>
      <c r="U491" s="1">
        <v>42090</v>
      </c>
      <c r="V491" s="2">
        <v>18.643799999999999</v>
      </c>
      <c r="W491">
        <v>5</v>
      </c>
      <c r="X491" s="2">
        <v>27.02</v>
      </c>
      <c r="Y491">
        <v>86153</v>
      </c>
      <c r="Z491">
        <f t="shared" si="7"/>
        <v>135.1</v>
      </c>
    </row>
    <row r="492" spans="1:26" x14ac:dyDescent="0.25">
      <c r="A492">
        <v>18055</v>
      </c>
      <c r="B492" t="s">
        <v>47</v>
      </c>
      <c r="C492" s="2">
        <v>0.06</v>
      </c>
      <c r="D492" s="2">
        <v>22.84</v>
      </c>
      <c r="E492" s="2">
        <v>11.54</v>
      </c>
      <c r="F492">
        <v>880</v>
      </c>
      <c r="G492" t="s">
        <v>988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222</v>
      </c>
      <c r="N492">
        <v>0.39</v>
      </c>
      <c r="O492" t="s">
        <v>33</v>
      </c>
      <c r="P492" t="s">
        <v>34</v>
      </c>
      <c r="Q492" t="s">
        <v>372</v>
      </c>
      <c r="R492" t="s">
        <v>990</v>
      </c>
      <c r="S492">
        <v>85254</v>
      </c>
      <c r="T492" s="1">
        <v>42088</v>
      </c>
      <c r="U492" s="1">
        <v>42090</v>
      </c>
      <c r="V492" s="2">
        <v>-31.24</v>
      </c>
      <c r="W492">
        <v>1</v>
      </c>
      <c r="X492" s="2">
        <v>27.67</v>
      </c>
      <c r="Y492">
        <v>86153</v>
      </c>
      <c r="Z492">
        <f t="shared" si="7"/>
        <v>27.67</v>
      </c>
    </row>
    <row r="493" spans="1:26" x14ac:dyDescent="0.25">
      <c r="A493">
        <v>19401</v>
      </c>
      <c r="B493" t="s">
        <v>47</v>
      </c>
      <c r="C493" s="2">
        <v>0.06</v>
      </c>
      <c r="D493" s="2">
        <v>25.98</v>
      </c>
      <c r="E493" s="2">
        <v>14.36</v>
      </c>
      <c r="F493">
        <v>885</v>
      </c>
      <c r="G493" t="s">
        <v>991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992</v>
      </c>
      <c r="N493">
        <v>0.6</v>
      </c>
      <c r="O493" t="s">
        <v>33</v>
      </c>
      <c r="P493" t="s">
        <v>61</v>
      </c>
      <c r="Q493" t="s">
        <v>129</v>
      </c>
      <c r="R493" t="s">
        <v>947</v>
      </c>
      <c r="S493">
        <v>79109</v>
      </c>
      <c r="T493" s="1">
        <v>42148</v>
      </c>
      <c r="U493" s="1">
        <v>42149</v>
      </c>
      <c r="V493" s="2">
        <v>55.887999999999998</v>
      </c>
      <c r="W493">
        <v>41</v>
      </c>
      <c r="X493" s="2">
        <v>1033.56</v>
      </c>
      <c r="Y493">
        <v>89537</v>
      </c>
      <c r="Z493">
        <f t="shared" si="7"/>
        <v>42375.96</v>
      </c>
    </row>
    <row r="494" spans="1:26" x14ac:dyDescent="0.25">
      <c r="A494">
        <v>26011</v>
      </c>
      <c r="B494" t="s">
        <v>47</v>
      </c>
      <c r="C494" s="2">
        <v>0.08</v>
      </c>
      <c r="D494" s="2">
        <v>1.81</v>
      </c>
      <c r="E494" s="2">
        <v>0.75</v>
      </c>
      <c r="F494">
        <v>890</v>
      </c>
      <c r="G494" t="s">
        <v>993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994</v>
      </c>
      <c r="N494">
        <v>0.57999999999999996</v>
      </c>
      <c r="O494" t="s">
        <v>33</v>
      </c>
      <c r="P494" t="s">
        <v>61</v>
      </c>
      <c r="Q494" t="s">
        <v>129</v>
      </c>
      <c r="R494" t="s">
        <v>995</v>
      </c>
      <c r="S494">
        <v>76021</v>
      </c>
      <c r="T494" s="1">
        <v>42009</v>
      </c>
      <c r="U494" s="1">
        <v>42010</v>
      </c>
      <c r="V494" s="2">
        <v>1.3224</v>
      </c>
      <c r="W494">
        <v>11</v>
      </c>
      <c r="X494" s="2">
        <v>19.97</v>
      </c>
      <c r="Y494">
        <v>89536</v>
      </c>
      <c r="Z494">
        <f t="shared" si="7"/>
        <v>219.67</v>
      </c>
    </row>
    <row r="495" spans="1:26" x14ac:dyDescent="0.25">
      <c r="A495">
        <v>26015</v>
      </c>
      <c r="B495" t="s">
        <v>47</v>
      </c>
      <c r="C495" s="2">
        <v>0.04</v>
      </c>
      <c r="D495" s="2">
        <v>125.99</v>
      </c>
      <c r="E495" s="2">
        <v>5.26</v>
      </c>
      <c r="F495">
        <v>890</v>
      </c>
      <c r="G495" t="s">
        <v>993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>
        <v>232</v>
      </c>
      <c r="N495">
        <v>0.55000000000000004</v>
      </c>
      <c r="O495" t="s">
        <v>33</v>
      </c>
      <c r="P495" t="s">
        <v>61</v>
      </c>
      <c r="Q495" t="s">
        <v>129</v>
      </c>
      <c r="R495" t="s">
        <v>995</v>
      </c>
      <c r="S495">
        <v>76021</v>
      </c>
      <c r="T495" s="1">
        <v>42009</v>
      </c>
      <c r="U495" s="1">
        <v>42009</v>
      </c>
      <c r="V495" s="2">
        <v>455.42070000000001</v>
      </c>
      <c r="W495">
        <v>6</v>
      </c>
      <c r="X495" s="2">
        <v>660.03</v>
      </c>
      <c r="Y495">
        <v>89536</v>
      </c>
      <c r="Z495">
        <f t="shared" si="7"/>
        <v>3960.18</v>
      </c>
    </row>
    <row r="496" spans="1:26" x14ac:dyDescent="0.25">
      <c r="A496">
        <v>2045</v>
      </c>
      <c r="B496" t="s">
        <v>47</v>
      </c>
      <c r="C496" s="2">
        <v>0.01</v>
      </c>
      <c r="D496" s="2">
        <v>8.34</v>
      </c>
      <c r="E496" s="2">
        <v>0.96</v>
      </c>
      <c r="F496">
        <v>894</v>
      </c>
      <c r="G496" t="s">
        <v>996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997</v>
      </c>
      <c r="N496">
        <v>0.43</v>
      </c>
      <c r="O496" t="s">
        <v>33</v>
      </c>
      <c r="P496" t="s">
        <v>53</v>
      </c>
      <c r="Q496" t="s">
        <v>998</v>
      </c>
      <c r="R496" t="s">
        <v>35</v>
      </c>
      <c r="S496">
        <v>20024</v>
      </c>
      <c r="T496" s="1">
        <v>42014</v>
      </c>
      <c r="U496" s="1">
        <v>42016</v>
      </c>
      <c r="V496" s="2">
        <v>29.332000000000001</v>
      </c>
      <c r="W496">
        <v>24</v>
      </c>
      <c r="X496" s="2">
        <v>199.12</v>
      </c>
      <c r="Y496">
        <v>14596</v>
      </c>
      <c r="Z496">
        <f t="shared" si="7"/>
        <v>4778.88</v>
      </c>
    </row>
    <row r="497" spans="1:26" x14ac:dyDescent="0.25">
      <c r="A497">
        <v>2046</v>
      </c>
      <c r="B497" t="s">
        <v>47</v>
      </c>
      <c r="C497" s="2">
        <v>0.06</v>
      </c>
      <c r="D497" s="2">
        <v>3.28</v>
      </c>
      <c r="E497" s="2">
        <v>3.97</v>
      </c>
      <c r="F497">
        <v>894</v>
      </c>
      <c r="G497" t="s">
        <v>996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999</v>
      </c>
      <c r="N497">
        <v>0.56000000000000005</v>
      </c>
      <c r="O497" t="s">
        <v>33</v>
      </c>
      <c r="P497" t="s">
        <v>53</v>
      </c>
      <c r="Q497" t="s">
        <v>998</v>
      </c>
      <c r="R497" t="s">
        <v>35</v>
      </c>
      <c r="S497">
        <v>20024</v>
      </c>
      <c r="T497" s="1">
        <v>42014</v>
      </c>
      <c r="U497" s="1">
        <v>42015</v>
      </c>
      <c r="V497" s="2">
        <v>-86</v>
      </c>
      <c r="W497">
        <v>19</v>
      </c>
      <c r="X497" s="2">
        <v>63.14</v>
      </c>
      <c r="Y497">
        <v>14596</v>
      </c>
      <c r="Z497">
        <f t="shared" si="7"/>
        <v>1199.6600000000001</v>
      </c>
    </row>
    <row r="498" spans="1:26" x14ac:dyDescent="0.25">
      <c r="A498">
        <v>5421</v>
      </c>
      <c r="B498" t="s">
        <v>106</v>
      </c>
      <c r="C498" s="2">
        <v>0.02</v>
      </c>
      <c r="D498" s="2">
        <v>1.1399999999999999</v>
      </c>
      <c r="E498" s="2">
        <v>0.7</v>
      </c>
      <c r="F498">
        <v>894</v>
      </c>
      <c r="G498" t="s">
        <v>996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1000</v>
      </c>
      <c r="N498">
        <v>0.38</v>
      </c>
      <c r="O498" t="s">
        <v>33</v>
      </c>
      <c r="P498" t="s">
        <v>53</v>
      </c>
      <c r="Q498" t="s">
        <v>998</v>
      </c>
      <c r="R498" t="s">
        <v>35</v>
      </c>
      <c r="S498">
        <v>20024</v>
      </c>
      <c r="T498" s="1">
        <v>42037</v>
      </c>
      <c r="U498" s="1">
        <v>42037</v>
      </c>
      <c r="V498" s="2">
        <v>-0.49</v>
      </c>
      <c r="W498">
        <v>38</v>
      </c>
      <c r="X498" s="2">
        <v>44.85</v>
      </c>
      <c r="Y498">
        <v>38529</v>
      </c>
      <c r="Z498">
        <f t="shared" si="7"/>
        <v>1704.3</v>
      </c>
    </row>
    <row r="499" spans="1:26" x14ac:dyDescent="0.25">
      <c r="A499">
        <v>20045</v>
      </c>
      <c r="B499" t="s">
        <v>47</v>
      </c>
      <c r="C499" s="2">
        <v>0.01</v>
      </c>
      <c r="D499" s="2">
        <v>8.34</v>
      </c>
      <c r="E499" s="2">
        <v>0.96</v>
      </c>
      <c r="F499">
        <v>896</v>
      </c>
      <c r="G499" t="s">
        <v>1001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997</v>
      </c>
      <c r="N499">
        <v>0.43</v>
      </c>
      <c r="O499" t="s">
        <v>33</v>
      </c>
      <c r="P499" t="s">
        <v>61</v>
      </c>
      <c r="Q499" t="s">
        <v>129</v>
      </c>
      <c r="R499" t="s">
        <v>1002</v>
      </c>
      <c r="S499">
        <v>76201</v>
      </c>
      <c r="T499" s="1">
        <v>42014</v>
      </c>
      <c r="U499" s="1">
        <v>42016</v>
      </c>
      <c r="V499" s="2">
        <v>34.348199999999999</v>
      </c>
      <c r="W499">
        <v>6</v>
      </c>
      <c r="X499" s="2">
        <v>49.78</v>
      </c>
      <c r="Y499">
        <v>90166</v>
      </c>
      <c r="Z499">
        <f t="shared" si="7"/>
        <v>298.68</v>
      </c>
    </row>
    <row r="500" spans="1:26" x14ac:dyDescent="0.25">
      <c r="A500">
        <v>20046</v>
      </c>
      <c r="B500" t="s">
        <v>47</v>
      </c>
      <c r="C500" s="2">
        <v>0.06</v>
      </c>
      <c r="D500" s="2">
        <v>3.28</v>
      </c>
      <c r="E500" s="2">
        <v>3.97</v>
      </c>
      <c r="F500">
        <v>896</v>
      </c>
      <c r="G500" t="s">
        <v>1001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999</v>
      </c>
      <c r="N500">
        <v>0.56000000000000005</v>
      </c>
      <c r="O500" t="s">
        <v>33</v>
      </c>
      <c r="P500" t="s">
        <v>61</v>
      </c>
      <c r="Q500" t="s">
        <v>129</v>
      </c>
      <c r="R500" t="s">
        <v>1002</v>
      </c>
      <c r="S500">
        <v>76201</v>
      </c>
      <c r="T500" s="1">
        <v>42014</v>
      </c>
      <c r="U500" s="1">
        <v>42015</v>
      </c>
      <c r="V500" s="2">
        <v>-66.650000000000006</v>
      </c>
      <c r="W500">
        <v>5</v>
      </c>
      <c r="X500" s="2">
        <v>16.62</v>
      </c>
      <c r="Y500">
        <v>90166</v>
      </c>
      <c r="Z500">
        <f t="shared" si="7"/>
        <v>83.100000000000009</v>
      </c>
    </row>
    <row r="501" spans="1:26" x14ac:dyDescent="0.25">
      <c r="A501">
        <v>19470</v>
      </c>
      <c r="B501" t="s">
        <v>47</v>
      </c>
      <c r="C501" s="2">
        <v>0.06</v>
      </c>
      <c r="D501" s="2">
        <v>47.98</v>
      </c>
      <c r="E501" s="2">
        <v>3.61</v>
      </c>
      <c r="F501">
        <v>896</v>
      </c>
      <c r="G501" t="s">
        <v>1001</v>
      </c>
      <c r="H501" t="s">
        <v>49</v>
      </c>
      <c r="I501" t="s">
        <v>28</v>
      </c>
      <c r="J501" t="s">
        <v>77</v>
      </c>
      <c r="K501" t="s">
        <v>177</v>
      </c>
      <c r="L501" t="s">
        <v>51</v>
      </c>
      <c r="M501" t="s">
        <v>1003</v>
      </c>
      <c r="N501">
        <v>0.71</v>
      </c>
      <c r="O501" t="s">
        <v>33</v>
      </c>
      <c r="P501" t="s">
        <v>61</v>
      </c>
      <c r="Q501" t="s">
        <v>129</v>
      </c>
      <c r="R501" t="s">
        <v>1002</v>
      </c>
      <c r="S501">
        <v>76201</v>
      </c>
      <c r="T501" s="1">
        <v>42175</v>
      </c>
      <c r="U501" s="1">
        <v>42177</v>
      </c>
      <c r="V501" s="2">
        <v>35.954999999999998</v>
      </c>
      <c r="W501">
        <v>11</v>
      </c>
      <c r="X501" s="2">
        <v>517.67999999999995</v>
      </c>
      <c r="Y501">
        <v>90167</v>
      </c>
      <c r="Z501">
        <f t="shared" si="7"/>
        <v>5694.48</v>
      </c>
    </row>
    <row r="502" spans="1:26" x14ac:dyDescent="0.25">
      <c r="A502">
        <v>4724</v>
      </c>
      <c r="B502" t="s">
        <v>25</v>
      </c>
      <c r="C502" s="2">
        <v>0.04</v>
      </c>
      <c r="D502" s="2">
        <v>90.97</v>
      </c>
      <c r="E502" s="2">
        <v>28</v>
      </c>
      <c r="F502">
        <v>898</v>
      </c>
      <c r="G502" t="s">
        <v>1004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1005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1">
        <v>42016</v>
      </c>
      <c r="U502" s="1">
        <v>42017</v>
      </c>
      <c r="V502" s="2">
        <v>-173.09520000000001</v>
      </c>
      <c r="W502">
        <v>6</v>
      </c>
      <c r="X502" s="2">
        <v>573.30999999999995</v>
      </c>
      <c r="Y502">
        <v>33635</v>
      </c>
      <c r="Z502">
        <f t="shared" si="7"/>
        <v>3439.8599999999997</v>
      </c>
    </row>
    <row r="503" spans="1:26" x14ac:dyDescent="0.25">
      <c r="A503">
        <v>4725</v>
      </c>
      <c r="B503" t="s">
        <v>25</v>
      </c>
      <c r="C503" s="2">
        <v>7.0000000000000007E-2</v>
      </c>
      <c r="D503" s="2">
        <v>20.34</v>
      </c>
      <c r="E503" s="2">
        <v>35</v>
      </c>
      <c r="F503">
        <v>898</v>
      </c>
      <c r="G503" t="s">
        <v>1004</v>
      </c>
      <c r="H503" t="s">
        <v>49</v>
      </c>
      <c r="I503" t="s">
        <v>58</v>
      </c>
      <c r="J503" t="s">
        <v>29</v>
      </c>
      <c r="K503" t="s">
        <v>139</v>
      </c>
      <c r="L503" t="s">
        <v>231</v>
      </c>
      <c r="M503" t="s">
        <v>369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1">
        <v>42016</v>
      </c>
      <c r="U503" s="1">
        <v>42017</v>
      </c>
      <c r="V503" s="2">
        <v>-96.16</v>
      </c>
      <c r="W503">
        <v>5</v>
      </c>
      <c r="X503" s="2">
        <v>140.22999999999999</v>
      </c>
      <c r="Y503">
        <v>33635</v>
      </c>
      <c r="Z503">
        <f t="shared" si="7"/>
        <v>701.15</v>
      </c>
    </row>
    <row r="504" spans="1:26" x14ac:dyDescent="0.25">
      <c r="A504">
        <v>1311</v>
      </c>
      <c r="B504" t="s">
        <v>37</v>
      </c>
      <c r="C504" s="2">
        <v>0.02</v>
      </c>
      <c r="D504" s="2">
        <v>12.53</v>
      </c>
      <c r="E504" s="2">
        <v>0.49</v>
      </c>
      <c r="F504">
        <v>898</v>
      </c>
      <c r="G504" t="s">
        <v>1004</v>
      </c>
      <c r="H504" t="s">
        <v>49</v>
      </c>
      <c r="I504" t="s">
        <v>58</v>
      </c>
      <c r="J504" t="s">
        <v>29</v>
      </c>
      <c r="K504" t="s">
        <v>133</v>
      </c>
      <c r="L504" t="s">
        <v>59</v>
      </c>
      <c r="M504" t="s">
        <v>1006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1">
        <v>42031</v>
      </c>
      <c r="U504" s="1">
        <v>42031</v>
      </c>
      <c r="V504" s="2">
        <v>263.39999999999998</v>
      </c>
      <c r="W504">
        <v>47</v>
      </c>
      <c r="X504" s="2">
        <v>594.44000000000005</v>
      </c>
      <c r="Y504">
        <v>9606</v>
      </c>
      <c r="Z504">
        <f t="shared" si="7"/>
        <v>27938.680000000004</v>
      </c>
    </row>
    <row r="505" spans="1:26" x14ac:dyDescent="0.25">
      <c r="A505">
        <v>1312</v>
      </c>
      <c r="B505" t="s">
        <v>37</v>
      </c>
      <c r="C505" s="2">
        <v>7.0000000000000007E-2</v>
      </c>
      <c r="D505" s="2">
        <v>5.18</v>
      </c>
      <c r="E505" s="2">
        <v>2.04</v>
      </c>
      <c r="F505">
        <v>898</v>
      </c>
      <c r="G505" t="s">
        <v>1004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165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1">
        <v>42031</v>
      </c>
      <c r="U505" s="1">
        <v>42033</v>
      </c>
      <c r="V505" s="2">
        <v>37.31</v>
      </c>
      <c r="W505">
        <v>44</v>
      </c>
      <c r="X505" s="2">
        <v>228.5</v>
      </c>
      <c r="Y505">
        <v>9606</v>
      </c>
      <c r="Z505">
        <f t="shared" si="7"/>
        <v>10054</v>
      </c>
    </row>
    <row r="506" spans="1:26" x14ac:dyDescent="0.25">
      <c r="A506">
        <v>22724</v>
      </c>
      <c r="B506" t="s">
        <v>25</v>
      </c>
      <c r="C506" s="2">
        <v>0.04</v>
      </c>
      <c r="D506" s="2">
        <v>90.97</v>
      </c>
      <c r="E506" s="2">
        <v>28</v>
      </c>
      <c r="F506">
        <v>899</v>
      </c>
      <c r="G506" t="s">
        <v>1007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1005</v>
      </c>
      <c r="N506">
        <v>0.38</v>
      </c>
      <c r="O506" t="s">
        <v>33</v>
      </c>
      <c r="P506" t="s">
        <v>53</v>
      </c>
      <c r="Q506" t="s">
        <v>229</v>
      </c>
      <c r="R506" t="s">
        <v>1008</v>
      </c>
      <c r="S506">
        <v>16602</v>
      </c>
      <c r="T506" s="1">
        <v>42016</v>
      </c>
      <c r="U506" s="1">
        <v>42017</v>
      </c>
      <c r="V506" s="2">
        <v>-173.09520000000001</v>
      </c>
      <c r="W506">
        <v>2</v>
      </c>
      <c r="X506" s="2">
        <v>191.1</v>
      </c>
      <c r="Y506">
        <v>86263</v>
      </c>
      <c r="Z506">
        <f t="shared" si="7"/>
        <v>382.2</v>
      </c>
    </row>
    <row r="507" spans="1:26" x14ac:dyDescent="0.25">
      <c r="A507">
        <v>22725</v>
      </c>
      <c r="B507" t="s">
        <v>25</v>
      </c>
      <c r="C507" s="2">
        <v>7.0000000000000007E-2</v>
      </c>
      <c r="D507" s="2">
        <v>20.34</v>
      </c>
      <c r="E507" s="2">
        <v>35</v>
      </c>
      <c r="F507">
        <v>899</v>
      </c>
      <c r="G507" t="s">
        <v>1007</v>
      </c>
      <c r="H507" t="s">
        <v>49</v>
      </c>
      <c r="I507" t="s">
        <v>58</v>
      </c>
      <c r="J507" t="s">
        <v>29</v>
      </c>
      <c r="K507" t="s">
        <v>139</v>
      </c>
      <c r="L507" t="s">
        <v>231</v>
      </c>
      <c r="M507" t="s">
        <v>369</v>
      </c>
      <c r="N507">
        <v>0.84</v>
      </c>
      <c r="O507" t="s">
        <v>33</v>
      </c>
      <c r="P507" t="s">
        <v>53</v>
      </c>
      <c r="Q507" t="s">
        <v>229</v>
      </c>
      <c r="R507" t="s">
        <v>1008</v>
      </c>
      <c r="S507">
        <v>16602</v>
      </c>
      <c r="T507" s="1">
        <v>42016</v>
      </c>
      <c r="U507" s="1">
        <v>42017</v>
      </c>
      <c r="V507" s="2">
        <v>-96.16</v>
      </c>
      <c r="W507">
        <v>1</v>
      </c>
      <c r="X507" s="2">
        <v>28.05</v>
      </c>
      <c r="Y507">
        <v>86263</v>
      </c>
      <c r="Z507">
        <f t="shared" si="7"/>
        <v>28.05</v>
      </c>
    </row>
    <row r="508" spans="1:26" x14ac:dyDescent="0.25">
      <c r="A508">
        <v>19311</v>
      </c>
      <c r="B508" t="s">
        <v>37</v>
      </c>
      <c r="C508" s="2">
        <v>0.02</v>
      </c>
      <c r="D508" s="2">
        <v>12.53</v>
      </c>
      <c r="E508" s="2">
        <v>0.49</v>
      </c>
      <c r="F508">
        <v>899</v>
      </c>
      <c r="G508" t="s">
        <v>1007</v>
      </c>
      <c r="H508" t="s">
        <v>49</v>
      </c>
      <c r="I508" t="s">
        <v>58</v>
      </c>
      <c r="J508" t="s">
        <v>29</v>
      </c>
      <c r="K508" t="s">
        <v>133</v>
      </c>
      <c r="L508" t="s">
        <v>59</v>
      </c>
      <c r="M508" t="s">
        <v>1006</v>
      </c>
      <c r="N508">
        <v>0.38</v>
      </c>
      <c r="O508" t="s">
        <v>33</v>
      </c>
      <c r="P508" t="s">
        <v>53</v>
      </c>
      <c r="Q508" t="s">
        <v>229</v>
      </c>
      <c r="R508" t="s">
        <v>1008</v>
      </c>
      <c r="S508">
        <v>16602</v>
      </c>
      <c r="T508" s="1">
        <v>42031</v>
      </c>
      <c r="U508" s="1">
        <v>42031</v>
      </c>
      <c r="V508" s="2">
        <v>104.7213</v>
      </c>
      <c r="W508">
        <v>12</v>
      </c>
      <c r="X508" s="2">
        <v>151.77000000000001</v>
      </c>
      <c r="Y508">
        <v>86264</v>
      </c>
      <c r="Z508">
        <f t="shared" si="7"/>
        <v>1821.2400000000002</v>
      </c>
    </row>
    <row r="509" spans="1:26" x14ac:dyDescent="0.25">
      <c r="A509">
        <v>19312</v>
      </c>
      <c r="B509" t="s">
        <v>37</v>
      </c>
      <c r="C509" s="2">
        <v>7.0000000000000007E-2</v>
      </c>
      <c r="D509" s="2">
        <v>5.18</v>
      </c>
      <c r="E509" s="2">
        <v>2.04</v>
      </c>
      <c r="F509">
        <v>899</v>
      </c>
      <c r="G509" t="s">
        <v>1007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165</v>
      </c>
      <c r="N509">
        <v>0.36</v>
      </c>
      <c r="O509" t="s">
        <v>33</v>
      </c>
      <c r="P509" t="s">
        <v>53</v>
      </c>
      <c r="Q509" t="s">
        <v>229</v>
      </c>
      <c r="R509" t="s">
        <v>1008</v>
      </c>
      <c r="S509">
        <v>16602</v>
      </c>
      <c r="T509" s="1">
        <v>42031</v>
      </c>
      <c r="U509" s="1">
        <v>42033</v>
      </c>
      <c r="V509" s="2">
        <v>37.31</v>
      </c>
      <c r="W509">
        <v>11</v>
      </c>
      <c r="X509" s="2">
        <v>57.13</v>
      </c>
      <c r="Y509">
        <v>86264</v>
      </c>
      <c r="Z509">
        <f t="shared" si="7"/>
        <v>628.43000000000006</v>
      </c>
    </row>
    <row r="510" spans="1:26" x14ac:dyDescent="0.25">
      <c r="A510">
        <v>24981</v>
      </c>
      <c r="B510" t="s">
        <v>37</v>
      </c>
      <c r="C510" s="2">
        <v>0</v>
      </c>
      <c r="D510" s="2">
        <v>5.98</v>
      </c>
      <c r="E510" s="2">
        <v>1.49</v>
      </c>
      <c r="F510">
        <v>903</v>
      </c>
      <c r="G510" t="s">
        <v>1009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1010</v>
      </c>
      <c r="N510">
        <v>0.39</v>
      </c>
      <c r="O510" t="s">
        <v>33</v>
      </c>
      <c r="P510" t="s">
        <v>53</v>
      </c>
      <c r="Q510" t="s">
        <v>189</v>
      </c>
      <c r="R510" t="s">
        <v>1011</v>
      </c>
      <c r="S510">
        <v>1887</v>
      </c>
      <c r="T510" s="1">
        <v>42075</v>
      </c>
      <c r="U510" s="1">
        <v>42077</v>
      </c>
      <c r="V510" s="2">
        <v>80.674800000000005</v>
      </c>
      <c r="W510">
        <v>18</v>
      </c>
      <c r="X510" s="2">
        <v>116.92</v>
      </c>
      <c r="Y510">
        <v>90806</v>
      </c>
      <c r="Z510">
        <f t="shared" si="7"/>
        <v>2104.56</v>
      </c>
    </row>
    <row r="511" spans="1:26" x14ac:dyDescent="0.25">
      <c r="A511">
        <v>22288</v>
      </c>
      <c r="B511" t="s">
        <v>47</v>
      </c>
      <c r="C511" s="2">
        <v>0.09</v>
      </c>
      <c r="D511" s="2">
        <v>35.99</v>
      </c>
      <c r="E511" s="2">
        <v>5.99</v>
      </c>
      <c r="F511">
        <v>907</v>
      </c>
      <c r="G511" t="s">
        <v>1012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972</v>
      </c>
      <c r="N511">
        <v>0.38</v>
      </c>
      <c r="O511" t="s">
        <v>33</v>
      </c>
      <c r="P511" t="s">
        <v>135</v>
      </c>
      <c r="Q511" t="s">
        <v>606</v>
      </c>
      <c r="R511" t="s">
        <v>667</v>
      </c>
      <c r="S511">
        <v>42420</v>
      </c>
      <c r="T511" s="1">
        <v>42061</v>
      </c>
      <c r="U511" s="1">
        <v>42062</v>
      </c>
      <c r="V511" s="2">
        <v>114.3165</v>
      </c>
      <c r="W511">
        <v>5</v>
      </c>
      <c r="X511" s="2">
        <v>151.6</v>
      </c>
      <c r="Y511">
        <v>86459</v>
      </c>
      <c r="Z511">
        <f t="shared" si="7"/>
        <v>758</v>
      </c>
    </row>
    <row r="512" spans="1:26" x14ac:dyDescent="0.25">
      <c r="A512">
        <v>21345</v>
      </c>
      <c r="B512" t="s">
        <v>56</v>
      </c>
      <c r="C512" s="2">
        <v>0.09</v>
      </c>
      <c r="D512" s="2">
        <v>2.6</v>
      </c>
      <c r="E512" s="2">
        <v>2.4</v>
      </c>
      <c r="F512">
        <v>907</v>
      </c>
      <c r="G512" t="s">
        <v>1012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1013</v>
      </c>
      <c r="N512">
        <v>0.57999999999999996</v>
      </c>
      <c r="O512" t="s">
        <v>33</v>
      </c>
      <c r="P512" t="s">
        <v>135</v>
      </c>
      <c r="Q512" t="s">
        <v>606</v>
      </c>
      <c r="R512" t="s">
        <v>667</v>
      </c>
      <c r="S512">
        <v>42420</v>
      </c>
      <c r="T512" s="1">
        <v>42172</v>
      </c>
      <c r="U512" s="1">
        <v>42174</v>
      </c>
      <c r="V512" s="2">
        <v>1107.4079999999999</v>
      </c>
      <c r="W512">
        <v>12</v>
      </c>
      <c r="X512" s="2">
        <v>31.73</v>
      </c>
      <c r="Y512">
        <v>86460</v>
      </c>
      <c r="Z512">
        <f t="shared" si="7"/>
        <v>380.76</v>
      </c>
    </row>
    <row r="513" spans="1:26" x14ac:dyDescent="0.25">
      <c r="A513">
        <v>19480</v>
      </c>
      <c r="B513" t="s">
        <v>47</v>
      </c>
      <c r="C513" s="2">
        <v>0</v>
      </c>
      <c r="D513" s="2">
        <v>5.28</v>
      </c>
      <c r="E513" s="2">
        <v>5.61</v>
      </c>
      <c r="F513">
        <v>910</v>
      </c>
      <c r="G513" t="s">
        <v>1014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827</v>
      </c>
      <c r="N513">
        <v>0.4</v>
      </c>
      <c r="O513" t="s">
        <v>33</v>
      </c>
      <c r="P513" t="s">
        <v>135</v>
      </c>
      <c r="Q513" t="s">
        <v>949</v>
      </c>
      <c r="R513" t="s">
        <v>950</v>
      </c>
      <c r="S513">
        <v>71854</v>
      </c>
      <c r="T513" s="1">
        <v>42138</v>
      </c>
      <c r="U513" s="1">
        <v>42138</v>
      </c>
      <c r="V513" s="2">
        <v>-149.21199999999999</v>
      </c>
      <c r="W513">
        <v>15</v>
      </c>
      <c r="X513" s="2">
        <v>85.26</v>
      </c>
      <c r="Y513">
        <v>90187</v>
      </c>
      <c r="Z513">
        <f t="shared" si="7"/>
        <v>1278.9000000000001</v>
      </c>
    </row>
    <row r="514" spans="1:26" x14ac:dyDescent="0.25">
      <c r="A514">
        <v>25356</v>
      </c>
      <c r="B514" t="s">
        <v>37</v>
      </c>
      <c r="C514" s="2">
        <v>0.05</v>
      </c>
      <c r="D514" s="2">
        <v>7.64</v>
      </c>
      <c r="E514" s="2">
        <v>5.83</v>
      </c>
      <c r="F514">
        <v>911</v>
      </c>
      <c r="G514" t="s">
        <v>1015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1016</v>
      </c>
      <c r="N514">
        <v>0.36</v>
      </c>
      <c r="O514" t="s">
        <v>33</v>
      </c>
      <c r="P514" t="s">
        <v>53</v>
      </c>
      <c r="Q514" t="s">
        <v>641</v>
      </c>
      <c r="R514" t="s">
        <v>1017</v>
      </c>
      <c r="S514">
        <v>26003</v>
      </c>
      <c r="T514" s="1">
        <v>42035</v>
      </c>
      <c r="U514" s="1">
        <v>42037</v>
      </c>
      <c r="V514" s="2">
        <v>-21.018000000000001</v>
      </c>
      <c r="W514">
        <v>2</v>
      </c>
      <c r="X514" s="2">
        <v>16.600000000000001</v>
      </c>
      <c r="Y514">
        <v>90185</v>
      </c>
      <c r="Z514">
        <f t="shared" si="7"/>
        <v>33.200000000000003</v>
      </c>
    </row>
    <row r="515" spans="1:26" x14ac:dyDescent="0.25">
      <c r="A515">
        <v>25357</v>
      </c>
      <c r="B515" t="s">
        <v>37</v>
      </c>
      <c r="C515" s="2">
        <v>0.04</v>
      </c>
      <c r="D515" s="2">
        <v>218.75</v>
      </c>
      <c r="E515" s="2">
        <v>69.64</v>
      </c>
      <c r="F515">
        <v>911</v>
      </c>
      <c r="G515" t="s">
        <v>1015</v>
      </c>
      <c r="H515" t="s">
        <v>39</v>
      </c>
      <c r="I515" t="s">
        <v>28</v>
      </c>
      <c r="J515" t="s">
        <v>41</v>
      </c>
      <c r="K515" t="s">
        <v>150</v>
      </c>
      <c r="L515" t="s">
        <v>120</v>
      </c>
      <c r="M515" t="s">
        <v>648</v>
      </c>
      <c r="N515">
        <v>0.72</v>
      </c>
      <c r="O515" t="s">
        <v>33</v>
      </c>
      <c r="P515" t="s">
        <v>53</v>
      </c>
      <c r="Q515" t="s">
        <v>641</v>
      </c>
      <c r="R515" t="s">
        <v>1017</v>
      </c>
      <c r="S515">
        <v>26003</v>
      </c>
      <c r="T515" s="1">
        <v>42035</v>
      </c>
      <c r="U515" s="1">
        <v>42036</v>
      </c>
      <c r="V515" s="2">
        <v>-655.52987499999995</v>
      </c>
      <c r="W515">
        <v>10</v>
      </c>
      <c r="X515" s="2">
        <v>2285.41</v>
      </c>
      <c r="Y515">
        <v>90185</v>
      </c>
      <c r="Z515">
        <f t="shared" ref="Z515:Z578" si="8">W515*X515</f>
        <v>22854.1</v>
      </c>
    </row>
    <row r="516" spans="1:26" x14ac:dyDescent="0.25">
      <c r="A516">
        <v>24028</v>
      </c>
      <c r="B516" t="s">
        <v>25</v>
      </c>
      <c r="C516" s="2">
        <v>0.01</v>
      </c>
      <c r="D516" s="2">
        <v>59.76</v>
      </c>
      <c r="E516" s="2">
        <v>9.7100000000000009</v>
      </c>
      <c r="F516">
        <v>911</v>
      </c>
      <c r="G516" t="s">
        <v>1015</v>
      </c>
      <c r="H516" t="s">
        <v>49</v>
      </c>
      <c r="I516" t="s">
        <v>28</v>
      </c>
      <c r="J516" t="s">
        <v>29</v>
      </c>
      <c r="K516" t="s">
        <v>139</v>
      </c>
      <c r="L516" t="s">
        <v>59</v>
      </c>
      <c r="M516" t="s">
        <v>1018</v>
      </c>
      <c r="N516">
        <v>0.56999999999999995</v>
      </c>
      <c r="O516" t="s">
        <v>33</v>
      </c>
      <c r="P516" t="s">
        <v>53</v>
      </c>
      <c r="Q516" t="s">
        <v>641</v>
      </c>
      <c r="R516" t="s">
        <v>1017</v>
      </c>
      <c r="S516">
        <v>26003</v>
      </c>
      <c r="T516" s="1">
        <v>42098</v>
      </c>
      <c r="U516" s="1">
        <v>42100</v>
      </c>
      <c r="V516" s="2">
        <v>354.3288</v>
      </c>
      <c r="W516">
        <v>8</v>
      </c>
      <c r="X516" s="2">
        <v>513.52</v>
      </c>
      <c r="Y516">
        <v>90186</v>
      </c>
      <c r="Z516">
        <f t="shared" si="8"/>
        <v>4108.16</v>
      </c>
    </row>
    <row r="517" spans="1:26" x14ac:dyDescent="0.25">
      <c r="A517">
        <v>24953</v>
      </c>
      <c r="B517" t="s">
        <v>25</v>
      </c>
      <c r="C517" s="2">
        <v>0.06</v>
      </c>
      <c r="D517" s="2">
        <v>350.98</v>
      </c>
      <c r="E517" s="2">
        <v>30</v>
      </c>
      <c r="F517">
        <v>915</v>
      </c>
      <c r="G517" t="s">
        <v>1019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853</v>
      </c>
      <c r="N517">
        <v>0.61</v>
      </c>
      <c r="O517" t="s">
        <v>33</v>
      </c>
      <c r="P517" t="s">
        <v>61</v>
      </c>
      <c r="Q517" t="s">
        <v>129</v>
      </c>
      <c r="R517" t="s">
        <v>1020</v>
      </c>
      <c r="S517">
        <v>77803</v>
      </c>
      <c r="T517" s="1">
        <v>42008</v>
      </c>
      <c r="U517" s="1">
        <v>42009</v>
      </c>
      <c r="V517" s="2">
        <v>-489.41559999999998</v>
      </c>
      <c r="W517">
        <v>1</v>
      </c>
      <c r="X517" s="2">
        <v>346.52</v>
      </c>
      <c r="Y517">
        <v>86356</v>
      </c>
      <c r="Z517">
        <f t="shared" si="8"/>
        <v>346.52</v>
      </c>
    </row>
    <row r="518" spans="1:26" x14ac:dyDescent="0.25">
      <c r="A518">
        <v>25833</v>
      </c>
      <c r="B518" t="s">
        <v>106</v>
      </c>
      <c r="C518" s="2">
        <v>0.05</v>
      </c>
      <c r="D518" s="2">
        <v>161.55000000000001</v>
      </c>
      <c r="E518" s="2">
        <v>19.989999999999998</v>
      </c>
      <c r="F518">
        <v>916</v>
      </c>
      <c r="G518" t="s">
        <v>1021</v>
      </c>
      <c r="H518" t="s">
        <v>49</v>
      </c>
      <c r="I518" t="s">
        <v>28</v>
      </c>
      <c r="J518" t="s">
        <v>29</v>
      </c>
      <c r="K518" t="s">
        <v>139</v>
      </c>
      <c r="L518" t="s">
        <v>59</v>
      </c>
      <c r="M518" t="s">
        <v>159</v>
      </c>
      <c r="N518">
        <v>0.66</v>
      </c>
      <c r="O518" t="s">
        <v>33</v>
      </c>
      <c r="P518" t="s">
        <v>61</v>
      </c>
      <c r="Q518" t="s">
        <v>129</v>
      </c>
      <c r="R518" t="s">
        <v>1022</v>
      </c>
      <c r="S518">
        <v>76028</v>
      </c>
      <c r="T518" s="1">
        <v>42008</v>
      </c>
      <c r="U518" s="1">
        <v>42015</v>
      </c>
      <c r="V518" s="2">
        <v>35.31</v>
      </c>
      <c r="W518">
        <v>3</v>
      </c>
      <c r="X518" s="2">
        <v>499.31</v>
      </c>
      <c r="Y518">
        <v>86357</v>
      </c>
      <c r="Z518">
        <f t="shared" si="8"/>
        <v>1497.93</v>
      </c>
    </row>
    <row r="519" spans="1:26" x14ac:dyDescent="0.25">
      <c r="A519">
        <v>25676</v>
      </c>
      <c r="B519" t="s">
        <v>25</v>
      </c>
      <c r="C519" s="2">
        <v>0.05</v>
      </c>
      <c r="D519" s="2">
        <v>35.51</v>
      </c>
      <c r="E519" s="2">
        <v>6.31</v>
      </c>
      <c r="F519">
        <v>918</v>
      </c>
      <c r="G519" t="s">
        <v>1023</v>
      </c>
      <c r="H519" t="s">
        <v>49</v>
      </c>
      <c r="I519" t="s">
        <v>114</v>
      </c>
      <c r="J519" t="s">
        <v>29</v>
      </c>
      <c r="K519" t="s">
        <v>139</v>
      </c>
      <c r="L519" t="s">
        <v>59</v>
      </c>
      <c r="M519" t="s">
        <v>1024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764</v>
      </c>
      <c r="S519">
        <v>91730</v>
      </c>
      <c r="T519" s="1">
        <v>42106</v>
      </c>
      <c r="U519" s="1">
        <v>42108</v>
      </c>
      <c r="V519" s="2">
        <v>6.11</v>
      </c>
      <c r="W519">
        <v>2</v>
      </c>
      <c r="X519" s="2">
        <v>73.099999999999994</v>
      </c>
      <c r="Y519">
        <v>90492</v>
      </c>
      <c r="Z519">
        <f t="shared" si="8"/>
        <v>146.19999999999999</v>
      </c>
    </row>
    <row r="520" spans="1:26" x14ac:dyDescent="0.25">
      <c r="A520">
        <v>19772</v>
      </c>
      <c r="B520" t="s">
        <v>47</v>
      </c>
      <c r="C520" s="2">
        <v>0.09</v>
      </c>
      <c r="D520" s="2">
        <v>58.14</v>
      </c>
      <c r="E520" s="2">
        <v>36.61</v>
      </c>
      <c r="F520">
        <v>918</v>
      </c>
      <c r="G520" t="s">
        <v>1023</v>
      </c>
      <c r="H520" t="s">
        <v>39</v>
      </c>
      <c r="I520" t="s">
        <v>28</v>
      </c>
      <c r="J520" t="s">
        <v>41</v>
      </c>
      <c r="K520" t="s">
        <v>187</v>
      </c>
      <c r="L520" t="s">
        <v>120</v>
      </c>
      <c r="M520" t="s">
        <v>1025</v>
      </c>
      <c r="N520">
        <v>0.61</v>
      </c>
      <c r="O520" t="s">
        <v>33</v>
      </c>
      <c r="P520" t="s">
        <v>34</v>
      </c>
      <c r="Q520" t="s">
        <v>45</v>
      </c>
      <c r="R520" t="s">
        <v>764</v>
      </c>
      <c r="S520">
        <v>91730</v>
      </c>
      <c r="T520" s="1">
        <v>42144</v>
      </c>
      <c r="U520" s="1">
        <v>42145</v>
      </c>
      <c r="V520" s="2">
        <v>187.41200000000001</v>
      </c>
      <c r="W520">
        <v>39</v>
      </c>
      <c r="X520" s="2">
        <v>2115.06</v>
      </c>
      <c r="Y520">
        <v>90493</v>
      </c>
      <c r="Z520">
        <f t="shared" si="8"/>
        <v>82487.34</v>
      </c>
    </row>
    <row r="521" spans="1:26" x14ac:dyDescent="0.25">
      <c r="A521">
        <v>25677</v>
      </c>
      <c r="B521" t="s">
        <v>25</v>
      </c>
      <c r="C521" s="2">
        <v>0.1</v>
      </c>
      <c r="D521" s="2">
        <v>8.34</v>
      </c>
      <c r="E521" s="2">
        <v>2.64</v>
      </c>
      <c r="F521">
        <v>919</v>
      </c>
      <c r="G521" t="s">
        <v>1026</v>
      </c>
      <c r="H521" t="s">
        <v>49</v>
      </c>
      <c r="I521" t="s">
        <v>114</v>
      </c>
      <c r="J521" t="s">
        <v>29</v>
      </c>
      <c r="K521" t="s">
        <v>171</v>
      </c>
      <c r="L521" t="s">
        <v>51</v>
      </c>
      <c r="M521" t="s">
        <v>352</v>
      </c>
      <c r="N521">
        <v>0.59</v>
      </c>
      <c r="O521" t="s">
        <v>33</v>
      </c>
      <c r="P521" t="s">
        <v>34</v>
      </c>
      <c r="Q521" t="s">
        <v>45</v>
      </c>
      <c r="R521" t="s">
        <v>1027</v>
      </c>
      <c r="S521">
        <v>96003</v>
      </c>
      <c r="T521" s="1">
        <v>42106</v>
      </c>
      <c r="U521" s="1">
        <v>42106</v>
      </c>
      <c r="V521" s="2">
        <v>-6.34</v>
      </c>
      <c r="W521">
        <v>6</v>
      </c>
      <c r="X521" s="2">
        <v>47.95</v>
      </c>
      <c r="Y521">
        <v>90492</v>
      </c>
      <c r="Z521">
        <f t="shared" si="8"/>
        <v>287.70000000000005</v>
      </c>
    </row>
    <row r="522" spans="1:26" x14ac:dyDescent="0.25">
      <c r="A522">
        <v>21970</v>
      </c>
      <c r="B522" t="s">
        <v>106</v>
      </c>
      <c r="C522" s="2">
        <v>0.1</v>
      </c>
      <c r="D522" s="2">
        <v>15.98</v>
      </c>
      <c r="E522" s="2">
        <v>4</v>
      </c>
      <c r="F522">
        <v>920</v>
      </c>
      <c r="G522" t="s">
        <v>1028</v>
      </c>
      <c r="H522" t="s">
        <v>49</v>
      </c>
      <c r="I522" t="s">
        <v>28</v>
      </c>
      <c r="J522" t="s">
        <v>77</v>
      </c>
      <c r="K522" t="s">
        <v>177</v>
      </c>
      <c r="L522" t="s">
        <v>59</v>
      </c>
      <c r="M522" t="s">
        <v>506</v>
      </c>
      <c r="N522">
        <v>0.37</v>
      </c>
      <c r="O522" t="s">
        <v>33</v>
      </c>
      <c r="P522" t="s">
        <v>34</v>
      </c>
      <c r="Q522" t="s">
        <v>45</v>
      </c>
      <c r="R522" t="s">
        <v>1029</v>
      </c>
      <c r="S522">
        <v>92374</v>
      </c>
      <c r="T522" s="1">
        <v>42090</v>
      </c>
      <c r="U522" s="1">
        <v>42095</v>
      </c>
      <c r="V522" s="2">
        <v>92.722200000000001</v>
      </c>
      <c r="W522">
        <v>9</v>
      </c>
      <c r="X522" s="2">
        <v>134.38</v>
      </c>
      <c r="Y522">
        <v>90491</v>
      </c>
      <c r="Z522">
        <f t="shared" si="8"/>
        <v>1209.42</v>
      </c>
    </row>
    <row r="523" spans="1:26" x14ac:dyDescent="0.25">
      <c r="A523">
        <v>25678</v>
      </c>
      <c r="B523" t="s">
        <v>25</v>
      </c>
      <c r="C523" s="2">
        <v>0.03</v>
      </c>
      <c r="D523" s="2">
        <v>8.0399999999999991</v>
      </c>
      <c r="E523" s="2">
        <v>8.94</v>
      </c>
      <c r="F523">
        <v>920</v>
      </c>
      <c r="G523" t="s">
        <v>1028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1030</v>
      </c>
      <c r="N523">
        <v>0.4</v>
      </c>
      <c r="O523" t="s">
        <v>33</v>
      </c>
      <c r="P523" t="s">
        <v>34</v>
      </c>
      <c r="Q523" t="s">
        <v>45</v>
      </c>
      <c r="R523" t="s">
        <v>1029</v>
      </c>
      <c r="S523">
        <v>92374</v>
      </c>
      <c r="T523" s="1">
        <v>42106</v>
      </c>
      <c r="U523" s="1">
        <v>42108</v>
      </c>
      <c r="V523" s="2">
        <v>-160.27549999999999</v>
      </c>
      <c r="W523">
        <v>9</v>
      </c>
      <c r="X523" s="2">
        <v>76.77</v>
      </c>
      <c r="Y523">
        <v>90492</v>
      </c>
      <c r="Z523">
        <f t="shared" si="8"/>
        <v>690.93</v>
      </c>
    </row>
    <row r="524" spans="1:26" x14ac:dyDescent="0.25">
      <c r="A524">
        <v>18395</v>
      </c>
      <c r="B524" t="s">
        <v>37</v>
      </c>
      <c r="C524" s="2">
        <v>0.01</v>
      </c>
      <c r="D524" s="2">
        <v>65.989999999999995</v>
      </c>
      <c r="E524" s="2">
        <v>8.99</v>
      </c>
      <c r="F524">
        <v>922</v>
      </c>
      <c r="G524" t="s">
        <v>1031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>
        <v>5180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764</v>
      </c>
      <c r="S524">
        <v>91730</v>
      </c>
      <c r="T524" s="1">
        <v>42144</v>
      </c>
      <c r="U524" s="1">
        <v>42145</v>
      </c>
      <c r="V524" s="2">
        <v>396.97199999999998</v>
      </c>
      <c r="W524">
        <v>14</v>
      </c>
      <c r="X524" s="2">
        <v>782</v>
      </c>
      <c r="Y524">
        <v>87135</v>
      </c>
      <c r="Z524">
        <f t="shared" si="8"/>
        <v>10948</v>
      </c>
    </row>
    <row r="525" spans="1:26" x14ac:dyDescent="0.25">
      <c r="A525">
        <v>19973</v>
      </c>
      <c r="B525" t="s">
        <v>47</v>
      </c>
      <c r="C525" s="2">
        <v>0.03</v>
      </c>
      <c r="D525" s="2">
        <v>2.1800000000000002</v>
      </c>
      <c r="E525" s="2">
        <v>1.38</v>
      </c>
      <c r="F525">
        <v>925</v>
      </c>
      <c r="G525" t="s">
        <v>1032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1033</v>
      </c>
      <c r="N525">
        <v>0.44</v>
      </c>
      <c r="O525" t="s">
        <v>33</v>
      </c>
      <c r="P525" t="s">
        <v>53</v>
      </c>
      <c r="Q525" t="s">
        <v>184</v>
      </c>
      <c r="R525" t="s">
        <v>1034</v>
      </c>
      <c r="S525">
        <v>4330</v>
      </c>
      <c r="T525" s="1">
        <v>42100</v>
      </c>
      <c r="U525" s="1">
        <v>42100</v>
      </c>
      <c r="V525" s="2">
        <v>-7.04</v>
      </c>
      <c r="W525">
        <v>7</v>
      </c>
      <c r="X525" s="2">
        <v>15.73</v>
      </c>
      <c r="Y525">
        <v>87134</v>
      </c>
      <c r="Z525">
        <f t="shared" si="8"/>
        <v>110.11</v>
      </c>
    </row>
    <row r="526" spans="1:26" x14ac:dyDescent="0.25">
      <c r="A526">
        <v>19974</v>
      </c>
      <c r="B526" t="s">
        <v>47</v>
      </c>
      <c r="C526" s="2">
        <v>0.01</v>
      </c>
      <c r="D526" s="2">
        <v>170.98</v>
      </c>
      <c r="E526" s="2">
        <v>35.89</v>
      </c>
      <c r="F526">
        <v>929</v>
      </c>
      <c r="G526" t="s">
        <v>1035</v>
      </c>
      <c r="H526" t="s">
        <v>39</v>
      </c>
      <c r="I526" t="s">
        <v>58</v>
      </c>
      <c r="J526" t="s">
        <v>41</v>
      </c>
      <c r="K526" t="s">
        <v>187</v>
      </c>
      <c r="L526" t="s">
        <v>120</v>
      </c>
      <c r="M526" t="s">
        <v>1036</v>
      </c>
      <c r="N526">
        <v>0.66</v>
      </c>
      <c r="O526" t="s">
        <v>33</v>
      </c>
      <c r="P526" t="s">
        <v>53</v>
      </c>
      <c r="Q526" t="s">
        <v>54</v>
      </c>
      <c r="R526" t="s">
        <v>1037</v>
      </c>
      <c r="S526">
        <v>8857</v>
      </c>
      <c r="T526" s="1">
        <v>42100</v>
      </c>
      <c r="U526" s="1">
        <v>42102</v>
      </c>
      <c r="V526" s="2">
        <v>538.52</v>
      </c>
      <c r="W526">
        <v>10</v>
      </c>
      <c r="X526" s="2">
        <v>1719.07</v>
      </c>
      <c r="Y526">
        <v>87134</v>
      </c>
      <c r="Z526">
        <f t="shared" si="8"/>
        <v>17190.7</v>
      </c>
    </row>
    <row r="527" spans="1:26" x14ac:dyDescent="0.25">
      <c r="A527">
        <v>21077</v>
      </c>
      <c r="B527" t="s">
        <v>47</v>
      </c>
      <c r="C527" s="2">
        <v>0.05</v>
      </c>
      <c r="D527" s="2">
        <v>6.04</v>
      </c>
      <c r="E527" s="2">
        <v>2.14</v>
      </c>
      <c r="F527">
        <v>936</v>
      </c>
      <c r="G527" t="s">
        <v>1038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1039</v>
      </c>
      <c r="N527">
        <v>0.38</v>
      </c>
      <c r="O527" t="s">
        <v>33</v>
      </c>
      <c r="P527" t="s">
        <v>34</v>
      </c>
      <c r="Q527" t="s">
        <v>45</v>
      </c>
      <c r="R527" t="s">
        <v>1029</v>
      </c>
      <c r="S527">
        <v>92374</v>
      </c>
      <c r="T527" s="1">
        <v>42052</v>
      </c>
      <c r="U527" s="1">
        <v>42054</v>
      </c>
      <c r="V527" s="2">
        <v>-4.1399999999999997</v>
      </c>
      <c r="W527">
        <v>1</v>
      </c>
      <c r="X527" s="2">
        <v>8.41</v>
      </c>
      <c r="Y527">
        <v>90588</v>
      </c>
      <c r="Z527">
        <f t="shared" si="8"/>
        <v>8.41</v>
      </c>
    </row>
    <row r="528" spans="1:26" x14ac:dyDescent="0.25">
      <c r="A528">
        <v>23716</v>
      </c>
      <c r="B528" t="s">
        <v>37</v>
      </c>
      <c r="C528" s="2">
        <v>0.05</v>
      </c>
      <c r="D528" s="2">
        <v>5.98</v>
      </c>
      <c r="E528" s="2">
        <v>5.46</v>
      </c>
      <c r="F528">
        <v>936</v>
      </c>
      <c r="G528" t="s">
        <v>1038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1040</v>
      </c>
      <c r="N528">
        <v>0.36</v>
      </c>
      <c r="O528" t="s">
        <v>33</v>
      </c>
      <c r="P528" t="s">
        <v>34</v>
      </c>
      <c r="Q528" t="s">
        <v>45</v>
      </c>
      <c r="R528" t="s">
        <v>1029</v>
      </c>
      <c r="S528">
        <v>92374</v>
      </c>
      <c r="T528" s="1">
        <v>42182</v>
      </c>
      <c r="U528" s="1">
        <v>42182</v>
      </c>
      <c r="V528" s="2">
        <v>-31.885000000000002</v>
      </c>
      <c r="W528">
        <v>17</v>
      </c>
      <c r="X528" s="2">
        <v>104.95</v>
      </c>
      <c r="Y528">
        <v>90589</v>
      </c>
      <c r="Z528">
        <f t="shared" si="8"/>
        <v>1784.15</v>
      </c>
    </row>
    <row r="529" spans="1:26" x14ac:dyDescent="0.25">
      <c r="A529">
        <v>23717</v>
      </c>
      <c r="B529" t="s">
        <v>37</v>
      </c>
      <c r="C529" s="2">
        <v>0.01</v>
      </c>
      <c r="D529" s="2">
        <v>65.989999999999995</v>
      </c>
      <c r="E529" s="2">
        <v>3.99</v>
      </c>
      <c r="F529">
        <v>937</v>
      </c>
      <c r="G529" t="s">
        <v>1041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1042</v>
      </c>
      <c r="N529">
        <v>0.59</v>
      </c>
      <c r="O529" t="s">
        <v>33</v>
      </c>
      <c r="P529" t="s">
        <v>34</v>
      </c>
      <c r="Q529" t="s">
        <v>45</v>
      </c>
      <c r="R529" t="s">
        <v>1043</v>
      </c>
      <c r="S529">
        <v>90278</v>
      </c>
      <c r="T529" s="1">
        <v>42182</v>
      </c>
      <c r="U529" s="1">
        <v>42183</v>
      </c>
      <c r="V529" s="2">
        <v>-95.210499999999996</v>
      </c>
      <c r="W529">
        <v>3</v>
      </c>
      <c r="X529" s="2">
        <v>166.59</v>
      </c>
      <c r="Y529">
        <v>90589</v>
      </c>
      <c r="Z529">
        <f t="shared" si="8"/>
        <v>499.77</v>
      </c>
    </row>
    <row r="530" spans="1:26" x14ac:dyDescent="0.25">
      <c r="A530">
        <v>22638</v>
      </c>
      <c r="B530" t="s">
        <v>106</v>
      </c>
      <c r="C530" s="2">
        <v>0.09</v>
      </c>
      <c r="D530" s="2">
        <v>100.98</v>
      </c>
      <c r="E530" s="2">
        <v>35.840000000000003</v>
      </c>
      <c r="F530">
        <v>940</v>
      </c>
      <c r="G530" t="s">
        <v>1044</v>
      </c>
      <c r="H530" t="s">
        <v>39</v>
      </c>
      <c r="I530" t="s">
        <v>40</v>
      </c>
      <c r="J530" t="s">
        <v>41</v>
      </c>
      <c r="K530" t="s">
        <v>187</v>
      </c>
      <c r="L530" t="s">
        <v>120</v>
      </c>
      <c r="M530" t="s">
        <v>255</v>
      </c>
      <c r="N530">
        <v>0.62</v>
      </c>
      <c r="O530" t="s">
        <v>33</v>
      </c>
      <c r="P530" t="s">
        <v>53</v>
      </c>
      <c r="Q530" t="s">
        <v>223</v>
      </c>
      <c r="R530" t="s">
        <v>1045</v>
      </c>
      <c r="S530">
        <v>6776</v>
      </c>
      <c r="T530" s="1">
        <v>42108</v>
      </c>
      <c r="U530" s="1">
        <v>42113</v>
      </c>
      <c r="V530" s="2">
        <v>-193.58</v>
      </c>
      <c r="W530">
        <v>4</v>
      </c>
      <c r="X530" s="2">
        <v>396.19</v>
      </c>
      <c r="Y530">
        <v>90844</v>
      </c>
      <c r="Z530">
        <f t="shared" si="8"/>
        <v>1584.76</v>
      </c>
    </row>
    <row r="531" spans="1:26" x14ac:dyDescent="0.25">
      <c r="A531">
        <v>23479</v>
      </c>
      <c r="B531" t="s">
        <v>37</v>
      </c>
      <c r="C531" s="2">
        <v>0.03</v>
      </c>
      <c r="D531" s="2">
        <v>31.74</v>
      </c>
      <c r="E531" s="2">
        <v>12.62</v>
      </c>
      <c r="F531">
        <v>945</v>
      </c>
      <c r="G531" t="s">
        <v>1046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1047</v>
      </c>
      <c r="N531">
        <v>0.37</v>
      </c>
      <c r="O531" t="s">
        <v>33</v>
      </c>
      <c r="P531" t="s">
        <v>34</v>
      </c>
      <c r="Q531" t="s">
        <v>45</v>
      </c>
      <c r="R531" t="s">
        <v>1048</v>
      </c>
      <c r="S531">
        <v>95070</v>
      </c>
      <c r="T531" s="1">
        <v>42069</v>
      </c>
      <c r="U531" s="1">
        <v>42069</v>
      </c>
      <c r="V531" s="2">
        <v>-4.3010000000000002</v>
      </c>
      <c r="W531">
        <v>3</v>
      </c>
      <c r="X531" s="2">
        <v>98.7</v>
      </c>
      <c r="Y531">
        <v>86567</v>
      </c>
      <c r="Z531">
        <f t="shared" si="8"/>
        <v>296.10000000000002</v>
      </c>
    </row>
    <row r="532" spans="1:26" x14ac:dyDescent="0.25">
      <c r="A532">
        <v>24459</v>
      </c>
      <c r="B532" t="s">
        <v>47</v>
      </c>
      <c r="C532" s="2">
        <v>0.09</v>
      </c>
      <c r="D532" s="2">
        <v>90.98</v>
      </c>
      <c r="E532" s="2">
        <v>56.2</v>
      </c>
      <c r="F532">
        <v>946</v>
      </c>
      <c r="G532" t="s">
        <v>1049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1050</v>
      </c>
      <c r="N532">
        <v>0.74</v>
      </c>
      <c r="O532" t="s">
        <v>33</v>
      </c>
      <c r="P532" t="s">
        <v>53</v>
      </c>
      <c r="Q532" t="s">
        <v>184</v>
      </c>
      <c r="R532" t="s">
        <v>504</v>
      </c>
      <c r="S532">
        <v>4210</v>
      </c>
      <c r="T532" s="1">
        <v>42064</v>
      </c>
      <c r="U532" s="1">
        <v>42065</v>
      </c>
      <c r="V532" s="2">
        <v>-1570.32</v>
      </c>
      <c r="W532">
        <v>20</v>
      </c>
      <c r="X532" s="2">
        <v>1782.44</v>
      </c>
      <c r="Y532">
        <v>86566</v>
      </c>
      <c r="Z532">
        <f t="shared" si="8"/>
        <v>35648.800000000003</v>
      </c>
    </row>
    <row r="533" spans="1:26" x14ac:dyDescent="0.25">
      <c r="A533">
        <v>24693</v>
      </c>
      <c r="B533" t="s">
        <v>47</v>
      </c>
      <c r="C533" s="2">
        <v>0.08</v>
      </c>
      <c r="D533" s="2">
        <v>14.2</v>
      </c>
      <c r="E533" s="2">
        <v>5.3</v>
      </c>
      <c r="F533">
        <v>947</v>
      </c>
      <c r="G533" t="s">
        <v>1051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722</v>
      </c>
      <c r="N533">
        <v>0.46</v>
      </c>
      <c r="O533" t="s">
        <v>33</v>
      </c>
      <c r="P533" t="s">
        <v>53</v>
      </c>
      <c r="Q533" t="s">
        <v>54</v>
      </c>
      <c r="R533" t="s">
        <v>1052</v>
      </c>
      <c r="S533">
        <v>7002</v>
      </c>
      <c r="T533" s="1">
        <v>42015</v>
      </c>
      <c r="U533" s="1">
        <v>42017</v>
      </c>
      <c r="V533" s="2">
        <v>27.23</v>
      </c>
      <c r="W533">
        <v>5</v>
      </c>
      <c r="X533" s="2">
        <v>72.11</v>
      </c>
      <c r="Y533">
        <v>86565</v>
      </c>
      <c r="Z533">
        <f t="shared" si="8"/>
        <v>360.55</v>
      </c>
    </row>
    <row r="534" spans="1:26" x14ac:dyDescent="0.25">
      <c r="A534">
        <v>1279</v>
      </c>
      <c r="B534" t="s">
        <v>1053</v>
      </c>
      <c r="C534" s="2">
        <v>0.06</v>
      </c>
      <c r="D534" s="2">
        <v>40.98</v>
      </c>
      <c r="E534" s="2">
        <v>2.99</v>
      </c>
      <c r="F534">
        <v>949</v>
      </c>
      <c r="G534" t="s">
        <v>1054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1055</v>
      </c>
      <c r="N534">
        <v>0.36</v>
      </c>
      <c r="O534" t="s">
        <v>33</v>
      </c>
      <c r="P534" t="s">
        <v>34</v>
      </c>
      <c r="Q534" t="s">
        <v>45</v>
      </c>
      <c r="R534" t="s">
        <v>655</v>
      </c>
      <c r="S534">
        <v>90049</v>
      </c>
      <c r="T534" s="1">
        <v>42006</v>
      </c>
      <c r="U534" s="1">
        <v>42008</v>
      </c>
      <c r="V534" s="2">
        <v>-19.0992</v>
      </c>
      <c r="W534">
        <v>3</v>
      </c>
      <c r="X534" s="2">
        <v>124.81</v>
      </c>
      <c r="Y534">
        <v>9285</v>
      </c>
      <c r="Z534">
        <f t="shared" si="8"/>
        <v>374.43</v>
      </c>
    </row>
    <row r="535" spans="1:26" x14ac:dyDescent="0.25">
      <c r="A535">
        <v>1128</v>
      </c>
      <c r="B535" t="s">
        <v>106</v>
      </c>
      <c r="C535" s="2">
        <v>0.02</v>
      </c>
      <c r="D535" s="2">
        <v>48.04</v>
      </c>
      <c r="E535" s="2">
        <v>5.09</v>
      </c>
      <c r="F535">
        <v>949</v>
      </c>
      <c r="G535" t="s">
        <v>1054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614</v>
      </c>
      <c r="N535">
        <v>0.37</v>
      </c>
      <c r="O535" t="s">
        <v>33</v>
      </c>
      <c r="P535" t="s">
        <v>34</v>
      </c>
      <c r="Q535" t="s">
        <v>45</v>
      </c>
      <c r="R535" t="s">
        <v>655</v>
      </c>
      <c r="S535">
        <v>90049</v>
      </c>
      <c r="T535" s="1">
        <v>42085</v>
      </c>
      <c r="U535" s="1">
        <v>42089</v>
      </c>
      <c r="V535" s="2">
        <v>373.67</v>
      </c>
      <c r="W535">
        <v>18</v>
      </c>
      <c r="X535" s="2">
        <v>881.32</v>
      </c>
      <c r="Y535">
        <v>8257</v>
      </c>
      <c r="Z535">
        <f t="shared" si="8"/>
        <v>15863.76</v>
      </c>
    </row>
    <row r="536" spans="1:26" x14ac:dyDescent="0.25">
      <c r="A536">
        <v>19279</v>
      </c>
      <c r="B536" t="s">
        <v>47</v>
      </c>
      <c r="C536" s="2">
        <v>0.06</v>
      </c>
      <c r="D536" s="2">
        <v>40.98</v>
      </c>
      <c r="E536" s="2">
        <v>2.99</v>
      </c>
      <c r="F536">
        <v>950</v>
      </c>
      <c r="G536" t="s">
        <v>1056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1055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1">
        <v>42006</v>
      </c>
      <c r="U536" s="1">
        <v>42008</v>
      </c>
      <c r="V536" s="2">
        <v>-14.801880000000001</v>
      </c>
      <c r="W536">
        <v>1</v>
      </c>
      <c r="X536" s="2">
        <v>41.6</v>
      </c>
      <c r="Y536">
        <v>89083</v>
      </c>
      <c r="Z536">
        <f t="shared" si="8"/>
        <v>41.6</v>
      </c>
    </row>
    <row r="537" spans="1:26" x14ac:dyDescent="0.25">
      <c r="A537">
        <v>19127</v>
      </c>
      <c r="B537" t="s">
        <v>106</v>
      </c>
      <c r="C537" s="2">
        <v>0.05</v>
      </c>
      <c r="D537" s="2">
        <v>1500.97</v>
      </c>
      <c r="E537" s="2">
        <v>29.7</v>
      </c>
      <c r="F537">
        <v>950</v>
      </c>
      <c r="G537" t="s">
        <v>1056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1057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1">
        <v>42085</v>
      </c>
      <c r="U537" s="1">
        <v>42085</v>
      </c>
      <c r="V537" s="2">
        <v>-2561.3235</v>
      </c>
      <c r="W537">
        <v>1</v>
      </c>
      <c r="X537" s="2">
        <v>1497.22</v>
      </c>
      <c r="Y537">
        <v>89084</v>
      </c>
      <c r="Z537">
        <f t="shared" si="8"/>
        <v>1497.22</v>
      </c>
    </row>
    <row r="538" spans="1:26" x14ac:dyDescent="0.25">
      <c r="A538">
        <v>19128</v>
      </c>
      <c r="B538" t="s">
        <v>106</v>
      </c>
      <c r="C538" s="2">
        <v>0.02</v>
      </c>
      <c r="D538" s="2">
        <v>48.04</v>
      </c>
      <c r="E538" s="2">
        <v>5.09</v>
      </c>
      <c r="F538">
        <v>950</v>
      </c>
      <c r="G538" t="s">
        <v>1056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614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1">
        <v>42085</v>
      </c>
      <c r="U538" s="1">
        <v>42089</v>
      </c>
      <c r="V538" s="2">
        <v>168.91890000000001</v>
      </c>
      <c r="W538">
        <v>5</v>
      </c>
      <c r="X538" s="2">
        <v>244.81</v>
      </c>
      <c r="Y538">
        <v>89084</v>
      </c>
      <c r="Z538">
        <f t="shared" si="8"/>
        <v>1224.05</v>
      </c>
    </row>
    <row r="539" spans="1:26" x14ac:dyDescent="0.25">
      <c r="A539">
        <v>19129</v>
      </c>
      <c r="B539" t="s">
        <v>106</v>
      </c>
      <c r="C539" s="2">
        <v>0.03</v>
      </c>
      <c r="D539" s="2">
        <v>4.28</v>
      </c>
      <c r="E539" s="2">
        <v>1.6</v>
      </c>
      <c r="F539">
        <v>950</v>
      </c>
      <c r="G539" t="s">
        <v>1056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1058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1">
        <v>42085</v>
      </c>
      <c r="U539" s="1">
        <v>42092</v>
      </c>
      <c r="V539" s="2">
        <v>-6.2</v>
      </c>
      <c r="W539">
        <v>1</v>
      </c>
      <c r="X539" s="2">
        <v>4.55</v>
      </c>
      <c r="Y539">
        <v>89084</v>
      </c>
      <c r="Z539">
        <f t="shared" si="8"/>
        <v>4.55</v>
      </c>
    </row>
    <row r="540" spans="1:26" x14ac:dyDescent="0.25">
      <c r="A540">
        <v>20073</v>
      </c>
      <c r="B540" t="s">
        <v>106</v>
      </c>
      <c r="C540" s="2">
        <v>0.1</v>
      </c>
      <c r="D540" s="2">
        <v>7.31</v>
      </c>
      <c r="E540" s="2">
        <v>0.49</v>
      </c>
      <c r="F540">
        <v>954</v>
      </c>
      <c r="G540" t="s">
        <v>1059</v>
      </c>
      <c r="H540" t="s">
        <v>49</v>
      </c>
      <c r="I540" t="s">
        <v>58</v>
      </c>
      <c r="J540" t="s">
        <v>29</v>
      </c>
      <c r="K540" t="s">
        <v>133</v>
      </c>
      <c r="L540" t="s">
        <v>59</v>
      </c>
      <c r="M540" t="s">
        <v>1060</v>
      </c>
      <c r="N540">
        <v>0.38</v>
      </c>
      <c r="O540" t="s">
        <v>33</v>
      </c>
      <c r="P540" t="s">
        <v>61</v>
      </c>
      <c r="Q540" t="s">
        <v>129</v>
      </c>
      <c r="R540" t="s">
        <v>1061</v>
      </c>
      <c r="S540">
        <v>75067</v>
      </c>
      <c r="T540" s="1">
        <v>42047</v>
      </c>
      <c r="U540" s="1">
        <v>42056</v>
      </c>
      <c r="V540" s="2">
        <v>19.064699999999998</v>
      </c>
      <c r="W540">
        <v>4</v>
      </c>
      <c r="X540" s="2">
        <v>27.63</v>
      </c>
      <c r="Y540">
        <v>90771</v>
      </c>
      <c r="Z540">
        <f t="shared" si="8"/>
        <v>110.52</v>
      </c>
    </row>
    <row r="541" spans="1:26" x14ac:dyDescent="0.25">
      <c r="A541">
        <v>20074</v>
      </c>
      <c r="B541" t="s">
        <v>106</v>
      </c>
      <c r="C541" s="2">
        <v>0.08</v>
      </c>
      <c r="D541" s="2">
        <v>6.7</v>
      </c>
      <c r="E541" s="2">
        <v>1.56</v>
      </c>
      <c r="F541">
        <v>954</v>
      </c>
      <c r="G541" t="s">
        <v>1059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1062</v>
      </c>
      <c r="N541">
        <v>0.52</v>
      </c>
      <c r="O541" t="s">
        <v>33</v>
      </c>
      <c r="P541" t="s">
        <v>61</v>
      </c>
      <c r="Q541" t="s">
        <v>129</v>
      </c>
      <c r="R541" t="s">
        <v>1061</v>
      </c>
      <c r="S541">
        <v>75067</v>
      </c>
      <c r="T541" s="1">
        <v>42047</v>
      </c>
      <c r="U541" s="1">
        <v>42047</v>
      </c>
      <c r="V541" s="2">
        <v>10.56</v>
      </c>
      <c r="W541">
        <v>5</v>
      </c>
      <c r="X541" s="2">
        <v>31.21</v>
      </c>
      <c r="Y541">
        <v>90771</v>
      </c>
      <c r="Z541">
        <f t="shared" si="8"/>
        <v>156.05000000000001</v>
      </c>
    </row>
    <row r="542" spans="1:26" x14ac:dyDescent="0.25">
      <c r="A542">
        <v>25795</v>
      </c>
      <c r="B542" t="s">
        <v>37</v>
      </c>
      <c r="C542" s="2">
        <v>0.01</v>
      </c>
      <c r="D542" s="2">
        <v>145.44999999999999</v>
      </c>
      <c r="E542" s="2">
        <v>17.850000000000001</v>
      </c>
      <c r="F542">
        <v>959</v>
      </c>
      <c r="G542" t="s">
        <v>1063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1064</v>
      </c>
      <c r="N542">
        <v>0.56000000000000005</v>
      </c>
      <c r="O542" t="s">
        <v>33</v>
      </c>
      <c r="P542" t="s">
        <v>61</v>
      </c>
      <c r="Q542" t="s">
        <v>129</v>
      </c>
      <c r="R542" t="s">
        <v>1022</v>
      </c>
      <c r="S542">
        <v>76028</v>
      </c>
      <c r="T542" s="1">
        <v>42085</v>
      </c>
      <c r="U542" s="1">
        <v>42086</v>
      </c>
      <c r="V542" s="2">
        <v>837.6807</v>
      </c>
      <c r="W542">
        <v>8</v>
      </c>
      <c r="X542" s="2">
        <v>1214.03</v>
      </c>
      <c r="Y542">
        <v>91581</v>
      </c>
      <c r="Z542">
        <f t="shared" si="8"/>
        <v>9712.24</v>
      </c>
    </row>
    <row r="543" spans="1:26" x14ac:dyDescent="0.25">
      <c r="A543">
        <v>20428</v>
      </c>
      <c r="B543" t="s">
        <v>106</v>
      </c>
      <c r="C543" s="2">
        <v>0.03</v>
      </c>
      <c r="D543" s="2">
        <v>2.94</v>
      </c>
      <c r="E543" s="2">
        <v>0.96</v>
      </c>
      <c r="F543">
        <v>960</v>
      </c>
      <c r="G543" t="s">
        <v>1065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592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1043</v>
      </c>
      <c r="S543">
        <v>90278</v>
      </c>
      <c r="T543" s="1">
        <v>42039</v>
      </c>
      <c r="U543" s="1">
        <v>42043</v>
      </c>
      <c r="V543" s="2">
        <v>-4.2</v>
      </c>
      <c r="W543">
        <v>1</v>
      </c>
      <c r="X543" s="2">
        <v>3.51</v>
      </c>
      <c r="Y543">
        <v>89401</v>
      </c>
      <c r="Z543">
        <f t="shared" si="8"/>
        <v>3.51</v>
      </c>
    </row>
    <row r="544" spans="1:26" x14ac:dyDescent="0.25">
      <c r="A544">
        <v>20685</v>
      </c>
      <c r="B544" t="s">
        <v>37</v>
      </c>
      <c r="C544" s="2">
        <v>0.05</v>
      </c>
      <c r="D544" s="2">
        <v>124.49</v>
      </c>
      <c r="E544" s="2">
        <v>51.94</v>
      </c>
      <c r="F544">
        <v>961</v>
      </c>
      <c r="G544" t="s">
        <v>1066</v>
      </c>
      <c r="H544" t="s">
        <v>39</v>
      </c>
      <c r="I544" t="s">
        <v>40</v>
      </c>
      <c r="J544" t="s">
        <v>41</v>
      </c>
      <c r="K544" t="s">
        <v>150</v>
      </c>
      <c r="L544" t="s">
        <v>120</v>
      </c>
      <c r="M544" t="s">
        <v>456</v>
      </c>
      <c r="N544">
        <v>0.63</v>
      </c>
      <c r="O544" t="s">
        <v>33</v>
      </c>
      <c r="P544" t="s">
        <v>34</v>
      </c>
      <c r="Q544" t="s">
        <v>45</v>
      </c>
      <c r="R544" t="s">
        <v>1067</v>
      </c>
      <c r="S544">
        <v>94061</v>
      </c>
      <c r="T544" s="1">
        <v>42059</v>
      </c>
      <c r="U544" s="1">
        <v>42059</v>
      </c>
      <c r="V544" s="2">
        <v>-44.163600000000002</v>
      </c>
      <c r="W544">
        <v>1</v>
      </c>
      <c r="X544" s="2">
        <v>120.12</v>
      </c>
      <c r="Y544">
        <v>89402</v>
      </c>
      <c r="Z544">
        <f t="shared" si="8"/>
        <v>120.12</v>
      </c>
    </row>
    <row r="545" spans="1:26" x14ac:dyDescent="0.25">
      <c r="A545">
        <v>2428</v>
      </c>
      <c r="B545" t="s">
        <v>106</v>
      </c>
      <c r="C545" s="2">
        <v>0.03</v>
      </c>
      <c r="D545" s="2">
        <v>2.94</v>
      </c>
      <c r="E545" s="2">
        <v>0.96</v>
      </c>
      <c r="F545">
        <v>962</v>
      </c>
      <c r="G545" t="s">
        <v>1068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592</v>
      </c>
      <c r="N545">
        <v>0.57999999999999996</v>
      </c>
      <c r="O545" t="s">
        <v>33</v>
      </c>
      <c r="P545" t="s">
        <v>61</v>
      </c>
      <c r="Q545" t="s">
        <v>175</v>
      </c>
      <c r="R545" t="s">
        <v>176</v>
      </c>
      <c r="S545">
        <v>60610</v>
      </c>
      <c r="T545" s="1">
        <v>42039</v>
      </c>
      <c r="U545" s="1">
        <v>42043</v>
      </c>
      <c r="V545" s="2">
        <v>-4.2</v>
      </c>
      <c r="W545">
        <v>2</v>
      </c>
      <c r="X545" s="2">
        <v>7.01</v>
      </c>
      <c r="Y545">
        <v>17636</v>
      </c>
      <c r="Z545">
        <f t="shared" si="8"/>
        <v>14.02</v>
      </c>
    </row>
    <row r="546" spans="1:26" x14ac:dyDescent="0.25">
      <c r="A546">
        <v>25093</v>
      </c>
      <c r="B546" t="s">
        <v>56</v>
      </c>
      <c r="C546" s="2">
        <v>0</v>
      </c>
      <c r="D546" s="2">
        <v>170.98</v>
      </c>
      <c r="E546" s="2">
        <v>35.89</v>
      </c>
      <c r="F546">
        <v>970</v>
      </c>
      <c r="G546" t="s">
        <v>1069</v>
      </c>
      <c r="H546" t="s">
        <v>39</v>
      </c>
      <c r="I546" t="s">
        <v>114</v>
      </c>
      <c r="J546" t="s">
        <v>41</v>
      </c>
      <c r="K546" t="s">
        <v>187</v>
      </c>
      <c r="L546" t="s">
        <v>120</v>
      </c>
      <c r="M546" t="s">
        <v>1036</v>
      </c>
      <c r="N546">
        <v>0.66</v>
      </c>
      <c r="O546" t="s">
        <v>33</v>
      </c>
      <c r="P546" t="s">
        <v>135</v>
      </c>
      <c r="Q546" t="s">
        <v>136</v>
      </c>
      <c r="R546" t="s">
        <v>790</v>
      </c>
      <c r="S546">
        <v>24281</v>
      </c>
      <c r="T546" s="1">
        <v>42114</v>
      </c>
      <c r="U546" s="1">
        <v>42115</v>
      </c>
      <c r="V546" s="2">
        <v>-102.66200000000001</v>
      </c>
      <c r="W546">
        <v>8</v>
      </c>
      <c r="X546" s="2">
        <v>1452.18</v>
      </c>
      <c r="Y546">
        <v>86173</v>
      </c>
      <c r="Z546">
        <f t="shared" si="8"/>
        <v>11617.44</v>
      </c>
    </row>
    <row r="547" spans="1:26" x14ac:dyDescent="0.25">
      <c r="A547">
        <v>20536</v>
      </c>
      <c r="B547" t="s">
        <v>106</v>
      </c>
      <c r="C547" s="2">
        <v>0.03</v>
      </c>
      <c r="D547" s="2">
        <v>284.98</v>
      </c>
      <c r="E547" s="2">
        <v>69.55</v>
      </c>
      <c r="F547">
        <v>972</v>
      </c>
      <c r="G547" t="s">
        <v>1070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1071</v>
      </c>
      <c r="N547">
        <v>0.6</v>
      </c>
      <c r="O547" t="s">
        <v>33</v>
      </c>
      <c r="P547" t="s">
        <v>34</v>
      </c>
      <c r="Q547" t="s">
        <v>45</v>
      </c>
      <c r="R547" t="s">
        <v>1072</v>
      </c>
      <c r="S547">
        <v>92503</v>
      </c>
      <c r="T547" s="1">
        <v>42063</v>
      </c>
      <c r="U547" s="1">
        <v>42068</v>
      </c>
      <c r="V547" s="2">
        <v>-116.584</v>
      </c>
      <c r="W547">
        <v>2</v>
      </c>
      <c r="X547" s="2">
        <v>619.38</v>
      </c>
      <c r="Y547">
        <v>87259</v>
      </c>
      <c r="Z547">
        <f t="shared" si="8"/>
        <v>1238.76</v>
      </c>
    </row>
    <row r="548" spans="1:26" x14ac:dyDescent="0.25">
      <c r="A548">
        <v>20537</v>
      </c>
      <c r="B548" t="s">
        <v>106</v>
      </c>
      <c r="C548" s="2">
        <v>0</v>
      </c>
      <c r="D548" s="2">
        <v>12.99</v>
      </c>
      <c r="E548" s="2">
        <v>14.37</v>
      </c>
      <c r="F548">
        <v>972</v>
      </c>
      <c r="G548" t="s">
        <v>1070</v>
      </c>
      <c r="H548" t="s">
        <v>49</v>
      </c>
      <c r="I548" t="s">
        <v>28</v>
      </c>
      <c r="J548" t="s">
        <v>41</v>
      </c>
      <c r="K548" t="s">
        <v>50</v>
      </c>
      <c r="L548" t="s">
        <v>231</v>
      </c>
      <c r="M548" t="s">
        <v>561</v>
      </c>
      <c r="N548">
        <v>0.73</v>
      </c>
      <c r="O548" t="s">
        <v>33</v>
      </c>
      <c r="P548" t="s">
        <v>34</v>
      </c>
      <c r="Q548" t="s">
        <v>45</v>
      </c>
      <c r="R548" t="s">
        <v>1072</v>
      </c>
      <c r="S548">
        <v>92503</v>
      </c>
      <c r="T548" s="1">
        <v>42063</v>
      </c>
      <c r="U548" s="1">
        <v>42063</v>
      </c>
      <c r="V548" s="2">
        <v>12.896100000000001</v>
      </c>
      <c r="W548">
        <v>1</v>
      </c>
      <c r="X548" s="2">
        <v>18.690000000000001</v>
      </c>
      <c r="Y548">
        <v>87259</v>
      </c>
      <c r="Z548">
        <f t="shared" si="8"/>
        <v>18.690000000000001</v>
      </c>
    </row>
    <row r="549" spans="1:26" x14ac:dyDescent="0.25">
      <c r="A549">
        <v>24298</v>
      </c>
      <c r="B549" t="s">
        <v>106</v>
      </c>
      <c r="C549" s="2">
        <v>0.1</v>
      </c>
      <c r="D549" s="2">
        <v>2.2200000000000002</v>
      </c>
      <c r="E549" s="2">
        <v>5</v>
      </c>
      <c r="F549">
        <v>975</v>
      </c>
      <c r="G549" t="s">
        <v>1073</v>
      </c>
      <c r="H549" t="s">
        <v>49</v>
      </c>
      <c r="I549" t="s">
        <v>28</v>
      </c>
      <c r="J549" t="s">
        <v>29</v>
      </c>
      <c r="K549" t="s">
        <v>252</v>
      </c>
      <c r="L549" t="s">
        <v>59</v>
      </c>
      <c r="M549" t="s">
        <v>1074</v>
      </c>
      <c r="N549">
        <v>0.55000000000000004</v>
      </c>
      <c r="O549" t="s">
        <v>33</v>
      </c>
      <c r="P549" t="s">
        <v>53</v>
      </c>
      <c r="Q549" t="s">
        <v>189</v>
      </c>
      <c r="R549" t="s">
        <v>190</v>
      </c>
      <c r="S549">
        <v>2108</v>
      </c>
      <c r="T549" s="1">
        <v>42098</v>
      </c>
      <c r="U549" s="1">
        <v>42103</v>
      </c>
      <c r="V549" s="2">
        <v>-21.319199999999999</v>
      </c>
      <c r="W549">
        <v>3</v>
      </c>
      <c r="X549" s="2">
        <v>8.8000000000000007</v>
      </c>
      <c r="Y549">
        <v>87260</v>
      </c>
      <c r="Z549">
        <f t="shared" si="8"/>
        <v>26.400000000000002</v>
      </c>
    </row>
    <row r="550" spans="1:26" x14ac:dyDescent="0.25">
      <c r="A550">
        <v>22646</v>
      </c>
      <c r="B550" t="s">
        <v>56</v>
      </c>
      <c r="C550" s="2">
        <v>0</v>
      </c>
      <c r="D550" s="2">
        <v>37.76</v>
      </c>
      <c r="E550" s="2">
        <v>12.9</v>
      </c>
      <c r="F550">
        <v>980</v>
      </c>
      <c r="G550" t="s">
        <v>1075</v>
      </c>
      <c r="H550" t="s">
        <v>49</v>
      </c>
      <c r="I550" t="s">
        <v>28</v>
      </c>
      <c r="J550" t="s">
        <v>29</v>
      </c>
      <c r="K550" t="s">
        <v>139</v>
      </c>
      <c r="L550" t="s">
        <v>59</v>
      </c>
      <c r="M550" t="s">
        <v>1076</v>
      </c>
      <c r="N550">
        <v>0.56999999999999995</v>
      </c>
      <c r="O550" t="s">
        <v>33</v>
      </c>
      <c r="P550" t="s">
        <v>53</v>
      </c>
      <c r="Q550" t="s">
        <v>147</v>
      </c>
      <c r="R550" t="s">
        <v>769</v>
      </c>
      <c r="S550">
        <v>5403</v>
      </c>
      <c r="T550" s="1">
        <v>42040</v>
      </c>
      <c r="U550" s="1">
        <v>42041</v>
      </c>
      <c r="V550" s="2">
        <v>93.846800000000002</v>
      </c>
      <c r="W550">
        <v>12</v>
      </c>
      <c r="X550" s="2">
        <v>477.2</v>
      </c>
      <c r="Y550">
        <v>87258</v>
      </c>
      <c r="Z550">
        <f t="shared" si="8"/>
        <v>5726.4</v>
      </c>
    </row>
    <row r="551" spans="1:26" x14ac:dyDescent="0.25">
      <c r="A551">
        <v>20010</v>
      </c>
      <c r="B551" t="s">
        <v>106</v>
      </c>
      <c r="C551" s="2">
        <v>0.09</v>
      </c>
      <c r="D551" s="2">
        <v>300.97000000000003</v>
      </c>
      <c r="E551" s="2">
        <v>7.18</v>
      </c>
      <c r="F551">
        <v>983</v>
      </c>
      <c r="G551" t="s">
        <v>1077</v>
      </c>
      <c r="H551" t="s">
        <v>49</v>
      </c>
      <c r="I551" t="s">
        <v>28</v>
      </c>
      <c r="J551" t="s">
        <v>77</v>
      </c>
      <c r="K551" t="s">
        <v>177</v>
      </c>
      <c r="L551" t="s">
        <v>59</v>
      </c>
      <c r="M551" t="s">
        <v>1078</v>
      </c>
      <c r="N551">
        <v>0.48</v>
      </c>
      <c r="O551" t="s">
        <v>33</v>
      </c>
      <c r="P551" t="s">
        <v>135</v>
      </c>
      <c r="Q551" t="s">
        <v>949</v>
      </c>
      <c r="R551" t="s">
        <v>1079</v>
      </c>
      <c r="S551">
        <v>72143</v>
      </c>
      <c r="T551" s="1">
        <v>42121</v>
      </c>
      <c r="U551" s="1">
        <v>42121</v>
      </c>
      <c r="V551" s="2">
        <v>17.771999999999998</v>
      </c>
      <c r="W551">
        <v>10</v>
      </c>
      <c r="X551" s="2">
        <v>2848.38</v>
      </c>
      <c r="Y551">
        <v>90201</v>
      </c>
      <c r="Z551">
        <f t="shared" si="8"/>
        <v>28483.800000000003</v>
      </c>
    </row>
    <row r="552" spans="1:26" x14ac:dyDescent="0.25">
      <c r="A552">
        <v>25895</v>
      </c>
      <c r="B552" t="s">
        <v>25</v>
      </c>
      <c r="C552" s="2">
        <v>0.05</v>
      </c>
      <c r="D552" s="2">
        <v>4.28</v>
      </c>
      <c r="E552" s="2">
        <v>5.17</v>
      </c>
      <c r="F552">
        <v>993</v>
      </c>
      <c r="G552" t="s">
        <v>1080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475</v>
      </c>
      <c r="N552">
        <v>0.4</v>
      </c>
      <c r="O552" t="s">
        <v>33</v>
      </c>
      <c r="P552" t="s">
        <v>34</v>
      </c>
      <c r="Q552" t="s">
        <v>45</v>
      </c>
      <c r="R552" t="s">
        <v>1081</v>
      </c>
      <c r="S552">
        <v>93030</v>
      </c>
      <c r="T552" s="1">
        <v>42054</v>
      </c>
      <c r="U552" s="1">
        <v>42054</v>
      </c>
      <c r="V552" s="2">
        <v>-104.57</v>
      </c>
      <c r="W552">
        <v>9</v>
      </c>
      <c r="X552" s="2">
        <v>38.58</v>
      </c>
      <c r="Y552">
        <v>89432</v>
      </c>
      <c r="Z552">
        <f t="shared" si="8"/>
        <v>347.21999999999997</v>
      </c>
    </row>
    <row r="553" spans="1:26" x14ac:dyDescent="0.25">
      <c r="A553">
        <v>19004</v>
      </c>
      <c r="B553" t="s">
        <v>25</v>
      </c>
      <c r="C553" s="2">
        <v>0.1</v>
      </c>
      <c r="D553" s="2">
        <v>400.98</v>
      </c>
      <c r="E553" s="2">
        <v>76.37</v>
      </c>
      <c r="F553">
        <v>994</v>
      </c>
      <c r="G553" t="s">
        <v>1082</v>
      </c>
      <c r="H553" t="s">
        <v>39</v>
      </c>
      <c r="I553" t="s">
        <v>58</v>
      </c>
      <c r="J553" t="s">
        <v>41</v>
      </c>
      <c r="K553" t="s">
        <v>150</v>
      </c>
      <c r="L553" t="s">
        <v>120</v>
      </c>
      <c r="M553" t="s">
        <v>1083</v>
      </c>
      <c r="N553">
        <v>0.6</v>
      </c>
      <c r="O553" t="s">
        <v>33</v>
      </c>
      <c r="P553" t="s">
        <v>53</v>
      </c>
      <c r="Q553" t="s">
        <v>184</v>
      </c>
      <c r="R553" t="s">
        <v>427</v>
      </c>
      <c r="S553">
        <v>4073</v>
      </c>
      <c r="T553" s="1">
        <v>42077</v>
      </c>
      <c r="U553" s="1">
        <v>42078</v>
      </c>
      <c r="V553" s="2">
        <v>-969.04836599999999</v>
      </c>
      <c r="W553">
        <v>2</v>
      </c>
      <c r="X553" s="2">
        <v>810.47</v>
      </c>
      <c r="Y553">
        <v>89433</v>
      </c>
      <c r="Z553">
        <f t="shared" si="8"/>
        <v>1620.94</v>
      </c>
    </row>
    <row r="554" spans="1:26" x14ac:dyDescent="0.25">
      <c r="A554">
        <v>23840</v>
      </c>
      <c r="B554" t="s">
        <v>106</v>
      </c>
      <c r="C554" s="2">
        <v>0.09</v>
      </c>
      <c r="D554" s="2">
        <v>7.64</v>
      </c>
      <c r="E554" s="2">
        <v>5.83</v>
      </c>
      <c r="F554">
        <v>995</v>
      </c>
      <c r="G554" t="s">
        <v>1084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1016</v>
      </c>
      <c r="N554">
        <v>0.36</v>
      </c>
      <c r="O554" t="s">
        <v>33</v>
      </c>
      <c r="P554" t="s">
        <v>53</v>
      </c>
      <c r="Q554" t="s">
        <v>184</v>
      </c>
      <c r="R554" t="s">
        <v>1085</v>
      </c>
      <c r="S554">
        <v>4070</v>
      </c>
      <c r="T554" s="1">
        <v>42134</v>
      </c>
      <c r="U554" s="1">
        <v>42139</v>
      </c>
      <c r="V554" s="2">
        <v>4.032</v>
      </c>
      <c r="W554">
        <v>9</v>
      </c>
      <c r="X554" s="2">
        <v>72.83</v>
      </c>
      <c r="Y554">
        <v>89434</v>
      </c>
      <c r="Z554">
        <f t="shared" si="8"/>
        <v>655.47</v>
      </c>
    </row>
    <row r="555" spans="1:26" x14ac:dyDescent="0.25">
      <c r="A555">
        <v>22639</v>
      </c>
      <c r="B555" t="s">
        <v>106</v>
      </c>
      <c r="C555" s="2">
        <v>0.08</v>
      </c>
      <c r="D555" s="2">
        <v>67.84</v>
      </c>
      <c r="E555" s="2">
        <v>0.99</v>
      </c>
      <c r="F555">
        <v>997</v>
      </c>
      <c r="G555" t="s">
        <v>1086</v>
      </c>
      <c r="H555" t="s">
        <v>49</v>
      </c>
      <c r="I555" t="s">
        <v>58</v>
      </c>
      <c r="J555" t="s">
        <v>29</v>
      </c>
      <c r="K555" t="s">
        <v>252</v>
      </c>
      <c r="L555" t="s">
        <v>59</v>
      </c>
      <c r="M555" t="s">
        <v>1087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1052</v>
      </c>
      <c r="S555">
        <v>7002</v>
      </c>
      <c r="T555" s="1">
        <v>42028</v>
      </c>
      <c r="U555" s="1">
        <v>42033</v>
      </c>
      <c r="V555" s="2">
        <v>-23.634399999999999</v>
      </c>
      <c r="W555">
        <v>1</v>
      </c>
      <c r="X555" s="2">
        <v>63.66</v>
      </c>
      <c r="Y555">
        <v>89431</v>
      </c>
      <c r="Z555">
        <f t="shared" si="8"/>
        <v>63.66</v>
      </c>
    </row>
    <row r="556" spans="1:26" x14ac:dyDescent="0.25">
      <c r="A556">
        <v>19003</v>
      </c>
      <c r="B556" t="s">
        <v>25</v>
      </c>
      <c r="C556" s="2">
        <v>0.08</v>
      </c>
      <c r="D556" s="2">
        <v>45.19</v>
      </c>
      <c r="E556" s="2">
        <v>1.99</v>
      </c>
      <c r="F556">
        <v>999</v>
      </c>
      <c r="G556" t="s">
        <v>1088</v>
      </c>
      <c r="H556" t="s">
        <v>49</v>
      </c>
      <c r="I556" t="s">
        <v>58</v>
      </c>
      <c r="J556" t="s">
        <v>77</v>
      </c>
      <c r="K556" t="s">
        <v>177</v>
      </c>
      <c r="L556" t="s">
        <v>51</v>
      </c>
      <c r="M556" t="s">
        <v>1089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1090</v>
      </c>
      <c r="S556">
        <v>7450</v>
      </c>
      <c r="T556" s="1">
        <v>42077</v>
      </c>
      <c r="U556" s="1">
        <v>42078</v>
      </c>
      <c r="V556" s="2">
        <v>-71.83</v>
      </c>
      <c r="W556">
        <v>3</v>
      </c>
      <c r="X556" s="2">
        <v>127.22</v>
      </c>
      <c r="Y556">
        <v>89433</v>
      </c>
      <c r="Z556">
        <f t="shared" si="8"/>
        <v>381.65999999999997</v>
      </c>
    </row>
    <row r="557" spans="1:26" x14ac:dyDescent="0.25">
      <c r="A557">
        <v>19002</v>
      </c>
      <c r="B557" t="s">
        <v>25</v>
      </c>
      <c r="C557" s="2">
        <v>0.03</v>
      </c>
      <c r="D557" s="2">
        <v>33.979999999999997</v>
      </c>
      <c r="E557" s="2">
        <v>19.989999999999998</v>
      </c>
      <c r="F557">
        <v>1000</v>
      </c>
      <c r="G557" t="s">
        <v>1091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1092</v>
      </c>
      <c r="N557">
        <v>0.55000000000000004</v>
      </c>
      <c r="O557" t="s">
        <v>33</v>
      </c>
      <c r="P557" t="s">
        <v>53</v>
      </c>
      <c r="Q557" t="s">
        <v>147</v>
      </c>
      <c r="R557" t="s">
        <v>1093</v>
      </c>
      <c r="S557">
        <v>5201</v>
      </c>
      <c r="T557" s="1">
        <v>42077</v>
      </c>
      <c r="U557" s="1">
        <v>42078</v>
      </c>
      <c r="V557" s="2">
        <v>-0.74</v>
      </c>
      <c r="W557">
        <v>12</v>
      </c>
      <c r="X557" s="2">
        <v>432.44</v>
      </c>
      <c r="Y557">
        <v>89433</v>
      </c>
      <c r="Z557">
        <f t="shared" si="8"/>
        <v>5189.28</v>
      </c>
    </row>
    <row r="558" spans="1:26" x14ac:dyDescent="0.25">
      <c r="A558">
        <v>19380</v>
      </c>
      <c r="B558" t="s">
        <v>106</v>
      </c>
      <c r="C558" s="2">
        <v>0.06</v>
      </c>
      <c r="D558" s="2">
        <v>10.14</v>
      </c>
      <c r="E558" s="2">
        <v>2.27</v>
      </c>
      <c r="F558">
        <v>1005</v>
      </c>
      <c r="G558" t="s">
        <v>1094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265</v>
      </c>
      <c r="N558">
        <v>0.36</v>
      </c>
      <c r="O558" t="s">
        <v>33</v>
      </c>
      <c r="P558" t="s">
        <v>61</v>
      </c>
      <c r="Q558" t="s">
        <v>175</v>
      </c>
      <c r="R558" t="s">
        <v>757</v>
      </c>
      <c r="S558">
        <v>60089</v>
      </c>
      <c r="T558" s="1">
        <v>42067</v>
      </c>
      <c r="U558" s="1">
        <v>42067</v>
      </c>
      <c r="V558" s="2">
        <v>-3.88</v>
      </c>
      <c r="W558">
        <v>1</v>
      </c>
      <c r="X558" s="2">
        <v>12.18</v>
      </c>
      <c r="Y558">
        <v>90043</v>
      </c>
      <c r="Z558">
        <f t="shared" si="8"/>
        <v>12.18</v>
      </c>
    </row>
    <row r="559" spans="1:26" x14ac:dyDescent="0.25">
      <c r="A559">
        <v>20167</v>
      </c>
      <c r="B559" t="s">
        <v>25</v>
      </c>
      <c r="C559" s="2">
        <v>0.02</v>
      </c>
      <c r="D559" s="2">
        <v>40.99</v>
      </c>
      <c r="E559" s="2">
        <v>17.48</v>
      </c>
      <c r="F559">
        <v>1005</v>
      </c>
      <c r="G559" t="s">
        <v>1094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1095</v>
      </c>
      <c r="N559">
        <v>0.36</v>
      </c>
      <c r="O559" t="s">
        <v>33</v>
      </c>
      <c r="P559" t="s">
        <v>61</v>
      </c>
      <c r="Q559" t="s">
        <v>175</v>
      </c>
      <c r="R559" t="s">
        <v>757</v>
      </c>
      <c r="S559">
        <v>60089</v>
      </c>
      <c r="T559" s="1">
        <v>42062</v>
      </c>
      <c r="U559" s="1">
        <v>42063</v>
      </c>
      <c r="V559" s="2">
        <v>551.09280000000001</v>
      </c>
      <c r="W559">
        <v>23</v>
      </c>
      <c r="X559" s="2">
        <v>950.43</v>
      </c>
      <c r="Y559">
        <v>90044</v>
      </c>
      <c r="Z559">
        <f t="shared" si="8"/>
        <v>21859.89</v>
      </c>
    </row>
    <row r="560" spans="1:26" x14ac:dyDescent="0.25">
      <c r="A560">
        <v>18529</v>
      </c>
      <c r="B560" t="s">
        <v>25</v>
      </c>
      <c r="C560" s="2">
        <v>0.01</v>
      </c>
      <c r="D560" s="2">
        <v>3.15</v>
      </c>
      <c r="E560" s="2">
        <v>0.49</v>
      </c>
      <c r="F560">
        <v>1008</v>
      </c>
      <c r="G560" t="s">
        <v>1096</v>
      </c>
      <c r="H560" t="s">
        <v>49</v>
      </c>
      <c r="I560" t="s">
        <v>40</v>
      </c>
      <c r="J560" t="s">
        <v>29</v>
      </c>
      <c r="K560" t="s">
        <v>133</v>
      </c>
      <c r="L560" t="s">
        <v>59</v>
      </c>
      <c r="M560" t="s">
        <v>1097</v>
      </c>
      <c r="N560">
        <v>0.37</v>
      </c>
      <c r="O560" t="s">
        <v>33</v>
      </c>
      <c r="P560" t="s">
        <v>53</v>
      </c>
      <c r="Q560" t="s">
        <v>184</v>
      </c>
      <c r="R560" t="s">
        <v>1098</v>
      </c>
      <c r="S560">
        <v>4038</v>
      </c>
      <c r="T560" s="1">
        <v>42149</v>
      </c>
      <c r="U560" s="1">
        <v>42151</v>
      </c>
      <c r="V560" s="2">
        <v>17.505299999999998</v>
      </c>
      <c r="W560">
        <v>8</v>
      </c>
      <c r="X560" s="2">
        <v>25.37</v>
      </c>
      <c r="Y560">
        <v>88371</v>
      </c>
      <c r="Z560">
        <f t="shared" si="8"/>
        <v>202.96</v>
      </c>
    </row>
    <row r="561" spans="1:26" x14ac:dyDescent="0.25">
      <c r="A561">
        <v>18886</v>
      </c>
      <c r="B561" t="s">
        <v>25</v>
      </c>
      <c r="C561" s="2">
        <v>0.1</v>
      </c>
      <c r="D561" s="2">
        <v>550.98</v>
      </c>
      <c r="E561" s="2">
        <v>45.7</v>
      </c>
      <c r="F561">
        <v>1009</v>
      </c>
      <c r="G561" t="s">
        <v>1099</v>
      </c>
      <c r="H561" t="s">
        <v>39</v>
      </c>
      <c r="I561" t="s">
        <v>28</v>
      </c>
      <c r="J561" t="s">
        <v>41</v>
      </c>
      <c r="K561" t="s">
        <v>150</v>
      </c>
      <c r="L561" t="s">
        <v>120</v>
      </c>
      <c r="M561" t="s">
        <v>1100</v>
      </c>
      <c r="N561">
        <v>0.71</v>
      </c>
      <c r="O561" t="s">
        <v>33</v>
      </c>
      <c r="P561" t="s">
        <v>53</v>
      </c>
      <c r="Q561" t="s">
        <v>184</v>
      </c>
      <c r="R561" t="s">
        <v>1101</v>
      </c>
      <c r="S561">
        <v>4072</v>
      </c>
      <c r="T561" s="1">
        <v>42174</v>
      </c>
      <c r="U561" s="1">
        <v>42176</v>
      </c>
      <c r="V561" s="2">
        <v>818.54617499999995</v>
      </c>
      <c r="W561">
        <v>14</v>
      </c>
      <c r="X561" s="2">
        <v>6963.67</v>
      </c>
      <c r="Y561">
        <v>88372</v>
      </c>
      <c r="Z561">
        <f t="shared" si="8"/>
        <v>97491.38</v>
      </c>
    </row>
    <row r="562" spans="1:26" x14ac:dyDescent="0.25">
      <c r="A562">
        <v>21184</v>
      </c>
      <c r="B562" t="s">
        <v>47</v>
      </c>
      <c r="C562" s="2">
        <v>0.09</v>
      </c>
      <c r="D562" s="2">
        <v>28.48</v>
      </c>
      <c r="E562" s="2">
        <v>1.99</v>
      </c>
      <c r="F562">
        <v>1014</v>
      </c>
      <c r="G562" t="s">
        <v>1102</v>
      </c>
      <c r="H562" t="s">
        <v>49</v>
      </c>
      <c r="I562" t="s">
        <v>40</v>
      </c>
      <c r="J562" t="s">
        <v>77</v>
      </c>
      <c r="K562" t="s">
        <v>177</v>
      </c>
      <c r="L562" t="s">
        <v>51</v>
      </c>
      <c r="M562" t="s">
        <v>401</v>
      </c>
      <c r="N562">
        <v>0.4</v>
      </c>
      <c r="O562" t="s">
        <v>33</v>
      </c>
      <c r="P562" t="s">
        <v>135</v>
      </c>
      <c r="Q562" t="s">
        <v>949</v>
      </c>
      <c r="R562" t="s">
        <v>1103</v>
      </c>
      <c r="S562">
        <v>72022</v>
      </c>
      <c r="T562" s="1">
        <v>42064</v>
      </c>
      <c r="U562" s="1">
        <v>42065</v>
      </c>
      <c r="V562" s="2">
        <v>-17.149999999999999</v>
      </c>
      <c r="W562">
        <v>6</v>
      </c>
      <c r="X562" s="2">
        <v>160.16999999999999</v>
      </c>
      <c r="Y562">
        <v>88387</v>
      </c>
      <c r="Z562">
        <f t="shared" si="8"/>
        <v>961.02</v>
      </c>
    </row>
    <row r="563" spans="1:26" x14ac:dyDescent="0.25">
      <c r="A563">
        <v>21185</v>
      </c>
      <c r="B563" t="s">
        <v>47</v>
      </c>
      <c r="C563" s="2">
        <v>0</v>
      </c>
      <c r="D563" s="2">
        <v>2.08</v>
      </c>
      <c r="E563" s="2">
        <v>5.33</v>
      </c>
      <c r="F563">
        <v>1014</v>
      </c>
      <c r="G563" t="s">
        <v>1102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736</v>
      </c>
      <c r="N563">
        <v>0.43</v>
      </c>
      <c r="O563" t="s">
        <v>33</v>
      </c>
      <c r="P563" t="s">
        <v>135</v>
      </c>
      <c r="Q563" t="s">
        <v>949</v>
      </c>
      <c r="R563" t="s">
        <v>1103</v>
      </c>
      <c r="S563">
        <v>72022</v>
      </c>
      <c r="T563" s="1">
        <v>42064</v>
      </c>
      <c r="U563" s="1">
        <v>42066</v>
      </c>
      <c r="V563" s="2">
        <v>-29.54</v>
      </c>
      <c r="W563">
        <v>3</v>
      </c>
      <c r="X563" s="2">
        <v>7.47</v>
      </c>
      <c r="Y563">
        <v>88387</v>
      </c>
      <c r="Z563">
        <f t="shared" si="8"/>
        <v>22.41</v>
      </c>
    </row>
    <row r="564" spans="1:26" x14ac:dyDescent="0.25">
      <c r="A564">
        <v>21186</v>
      </c>
      <c r="B564" t="s">
        <v>47</v>
      </c>
      <c r="C564" s="2">
        <v>0.06</v>
      </c>
      <c r="D564" s="2">
        <v>45.99</v>
      </c>
      <c r="E564" s="2">
        <v>4.99</v>
      </c>
      <c r="F564">
        <v>1014</v>
      </c>
      <c r="G564" t="s">
        <v>1102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1104</v>
      </c>
      <c r="N564">
        <v>0.56000000000000005</v>
      </c>
      <c r="O564" t="s">
        <v>33</v>
      </c>
      <c r="P564" t="s">
        <v>135</v>
      </c>
      <c r="Q564" t="s">
        <v>949</v>
      </c>
      <c r="R564" t="s">
        <v>1103</v>
      </c>
      <c r="S564">
        <v>72022</v>
      </c>
      <c r="T564" s="1">
        <v>42064</v>
      </c>
      <c r="U564" s="1">
        <v>42065</v>
      </c>
      <c r="V564" s="2">
        <v>-329.78399999999999</v>
      </c>
      <c r="W564">
        <v>10</v>
      </c>
      <c r="X564" s="2">
        <v>370.81</v>
      </c>
      <c r="Y564">
        <v>88387</v>
      </c>
      <c r="Z564">
        <f t="shared" si="8"/>
        <v>3708.1</v>
      </c>
    </row>
    <row r="565" spans="1:26" x14ac:dyDescent="0.25">
      <c r="A565">
        <v>20880</v>
      </c>
      <c r="B565" t="s">
        <v>37</v>
      </c>
      <c r="C565" s="2">
        <v>0.08</v>
      </c>
      <c r="D565" s="2">
        <v>10.91</v>
      </c>
      <c r="E565" s="2">
        <v>2.99</v>
      </c>
      <c r="F565">
        <v>1014</v>
      </c>
      <c r="G565" t="s">
        <v>1102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1105</v>
      </c>
      <c r="N565">
        <v>0.38</v>
      </c>
      <c r="O565" t="s">
        <v>33</v>
      </c>
      <c r="P565" t="s">
        <v>135</v>
      </c>
      <c r="Q565" t="s">
        <v>949</v>
      </c>
      <c r="R565" t="s">
        <v>1103</v>
      </c>
      <c r="S565">
        <v>72022</v>
      </c>
      <c r="T565" s="1">
        <v>42068</v>
      </c>
      <c r="U565" s="1">
        <v>42069</v>
      </c>
      <c r="V565" s="2">
        <v>-2.1</v>
      </c>
      <c r="W565">
        <v>11</v>
      </c>
      <c r="X565" s="2">
        <v>119.99</v>
      </c>
      <c r="Y565">
        <v>88388</v>
      </c>
      <c r="Z565">
        <f t="shared" si="8"/>
        <v>1319.8899999999999</v>
      </c>
    </row>
    <row r="566" spans="1:26" x14ac:dyDescent="0.25">
      <c r="A566">
        <v>20531</v>
      </c>
      <c r="B566" t="s">
        <v>56</v>
      </c>
      <c r="C566" s="2">
        <v>0</v>
      </c>
      <c r="D566" s="2">
        <v>43.98</v>
      </c>
      <c r="E566" s="2">
        <v>8.99</v>
      </c>
      <c r="F566">
        <v>1015</v>
      </c>
      <c r="G566" t="s">
        <v>1106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1107</v>
      </c>
      <c r="N566">
        <v>0.57999999999999996</v>
      </c>
      <c r="O566" t="s">
        <v>33</v>
      </c>
      <c r="P566" t="s">
        <v>135</v>
      </c>
      <c r="Q566" t="s">
        <v>316</v>
      </c>
      <c r="R566" t="s">
        <v>1108</v>
      </c>
      <c r="S566">
        <v>27502</v>
      </c>
      <c r="T566" s="1">
        <v>42081</v>
      </c>
      <c r="U566" s="1">
        <v>42081</v>
      </c>
      <c r="V566" s="2">
        <v>829.46699999999998</v>
      </c>
      <c r="W566">
        <v>14</v>
      </c>
      <c r="X566" s="2">
        <v>650.70000000000005</v>
      </c>
      <c r="Y566">
        <v>88390</v>
      </c>
      <c r="Z566">
        <f t="shared" si="8"/>
        <v>9109.8000000000011</v>
      </c>
    </row>
    <row r="567" spans="1:26" x14ac:dyDescent="0.25">
      <c r="A567">
        <v>24752</v>
      </c>
      <c r="B567" t="s">
        <v>25</v>
      </c>
      <c r="C567" s="2">
        <v>0.02</v>
      </c>
      <c r="D567" s="2">
        <v>6.48</v>
      </c>
      <c r="E567" s="2">
        <v>7.86</v>
      </c>
      <c r="F567">
        <v>1016</v>
      </c>
      <c r="G567" t="s">
        <v>1109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1110</v>
      </c>
      <c r="N567">
        <v>0.37</v>
      </c>
      <c r="O567" t="s">
        <v>33</v>
      </c>
      <c r="P567" t="s">
        <v>135</v>
      </c>
      <c r="Q567" t="s">
        <v>316</v>
      </c>
      <c r="R567" t="s">
        <v>1111</v>
      </c>
      <c r="S567">
        <v>28806</v>
      </c>
      <c r="T567" s="1">
        <v>42167</v>
      </c>
      <c r="U567" s="1">
        <v>42168</v>
      </c>
      <c r="V567" s="2">
        <v>111.22199999999999</v>
      </c>
      <c r="W567">
        <v>1</v>
      </c>
      <c r="X567" s="2">
        <v>11.41</v>
      </c>
      <c r="Y567">
        <v>88389</v>
      </c>
      <c r="Z567">
        <f t="shared" si="8"/>
        <v>11.41</v>
      </c>
    </row>
    <row r="568" spans="1:26" x14ac:dyDescent="0.25">
      <c r="A568">
        <v>25027</v>
      </c>
      <c r="B568" t="s">
        <v>56</v>
      </c>
      <c r="C568" s="2">
        <v>0.05</v>
      </c>
      <c r="D568" s="2">
        <v>35.89</v>
      </c>
      <c r="E568" s="2">
        <v>14.72</v>
      </c>
      <c r="F568">
        <v>1018</v>
      </c>
      <c r="G568" t="s">
        <v>1112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1113</v>
      </c>
      <c r="N568">
        <v>0.4</v>
      </c>
      <c r="O568" t="s">
        <v>33</v>
      </c>
      <c r="P568" t="s">
        <v>135</v>
      </c>
      <c r="Q568" t="s">
        <v>316</v>
      </c>
      <c r="R568" t="s">
        <v>1114</v>
      </c>
      <c r="S568">
        <v>27511</v>
      </c>
      <c r="T568" s="1">
        <v>42102</v>
      </c>
      <c r="U568" s="1">
        <v>42103</v>
      </c>
      <c r="V568" s="2">
        <v>22.866</v>
      </c>
      <c r="W568">
        <v>19</v>
      </c>
      <c r="X568" s="2">
        <v>680.39</v>
      </c>
      <c r="Y568">
        <v>88391</v>
      </c>
      <c r="Z568">
        <f t="shared" si="8"/>
        <v>12927.41</v>
      </c>
    </row>
    <row r="569" spans="1:26" x14ac:dyDescent="0.25">
      <c r="A569">
        <v>25028</v>
      </c>
      <c r="B569" t="s">
        <v>56</v>
      </c>
      <c r="C569" s="2">
        <v>0</v>
      </c>
      <c r="D569" s="2">
        <v>11.48</v>
      </c>
      <c r="E569" s="2">
        <v>5.43</v>
      </c>
      <c r="F569">
        <v>1018</v>
      </c>
      <c r="G569" t="s">
        <v>1112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1115</v>
      </c>
      <c r="N569">
        <v>0.36</v>
      </c>
      <c r="O569" t="s">
        <v>33</v>
      </c>
      <c r="P569" t="s">
        <v>135</v>
      </c>
      <c r="Q569" t="s">
        <v>316</v>
      </c>
      <c r="R569" t="s">
        <v>1114</v>
      </c>
      <c r="S569">
        <v>27511</v>
      </c>
      <c r="T569" s="1">
        <v>42102</v>
      </c>
      <c r="U569" s="1">
        <v>42102</v>
      </c>
      <c r="V569" s="2">
        <v>115.72799999999999</v>
      </c>
      <c r="W569">
        <v>6</v>
      </c>
      <c r="X569" s="2">
        <v>75.52</v>
      </c>
      <c r="Y569">
        <v>88391</v>
      </c>
      <c r="Z569">
        <f t="shared" si="8"/>
        <v>453.12</v>
      </c>
    </row>
    <row r="570" spans="1:26" x14ac:dyDescent="0.25">
      <c r="A570">
        <v>24926</v>
      </c>
      <c r="B570" t="s">
        <v>47</v>
      </c>
      <c r="C570" s="2">
        <v>0.09</v>
      </c>
      <c r="D570" s="2">
        <v>517.48</v>
      </c>
      <c r="E570" s="2">
        <v>16.63</v>
      </c>
      <c r="F570">
        <v>1020</v>
      </c>
      <c r="G570" t="s">
        <v>1116</v>
      </c>
      <c r="H570" t="s">
        <v>39</v>
      </c>
      <c r="I570" t="s">
        <v>58</v>
      </c>
      <c r="J570" t="s">
        <v>77</v>
      </c>
      <c r="K570" t="s">
        <v>85</v>
      </c>
      <c r="L570" t="s">
        <v>120</v>
      </c>
      <c r="M570" t="s">
        <v>1117</v>
      </c>
      <c r="N570">
        <v>0.59</v>
      </c>
      <c r="O570" t="s">
        <v>33</v>
      </c>
      <c r="P570" t="s">
        <v>61</v>
      </c>
      <c r="Q570" t="s">
        <v>180</v>
      </c>
      <c r="R570" t="s">
        <v>1118</v>
      </c>
      <c r="S570">
        <v>66762</v>
      </c>
      <c r="T570" s="1">
        <v>42070</v>
      </c>
      <c r="U570" s="1">
        <v>42070</v>
      </c>
      <c r="V570" s="2">
        <v>909.36</v>
      </c>
      <c r="W570">
        <v>5</v>
      </c>
      <c r="X570" s="2">
        <v>2354.54</v>
      </c>
      <c r="Y570">
        <v>88632</v>
      </c>
      <c r="Z570">
        <f t="shared" si="8"/>
        <v>11772.7</v>
      </c>
    </row>
    <row r="571" spans="1:26" x14ac:dyDescent="0.25">
      <c r="A571">
        <v>23562</v>
      </c>
      <c r="B571" t="s">
        <v>47</v>
      </c>
      <c r="C571" s="2">
        <v>7.0000000000000007E-2</v>
      </c>
      <c r="D571" s="2">
        <v>4.13</v>
      </c>
      <c r="E571" s="2">
        <v>5.04</v>
      </c>
      <c r="F571">
        <v>1020</v>
      </c>
      <c r="G571" t="s">
        <v>1116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669</v>
      </c>
      <c r="N571">
        <v>0.38</v>
      </c>
      <c r="O571" t="s">
        <v>33</v>
      </c>
      <c r="P571" t="s">
        <v>61</v>
      </c>
      <c r="Q571" t="s">
        <v>180</v>
      </c>
      <c r="R571" t="s">
        <v>1118</v>
      </c>
      <c r="S571">
        <v>66762</v>
      </c>
      <c r="T571" s="1">
        <v>42041</v>
      </c>
      <c r="U571" s="1">
        <v>42042</v>
      </c>
      <c r="V571" s="2">
        <v>-76.424400000000006</v>
      </c>
      <c r="W571">
        <v>20</v>
      </c>
      <c r="X571" s="2">
        <v>79.06</v>
      </c>
      <c r="Y571">
        <v>88634</v>
      </c>
      <c r="Z571">
        <f t="shared" si="8"/>
        <v>1581.2</v>
      </c>
    </row>
    <row r="572" spans="1:26" x14ac:dyDescent="0.25">
      <c r="A572">
        <v>23563</v>
      </c>
      <c r="B572" t="s">
        <v>47</v>
      </c>
      <c r="C572" s="2">
        <v>0</v>
      </c>
      <c r="D572" s="2">
        <v>4.4800000000000004</v>
      </c>
      <c r="E572" s="2">
        <v>2.5</v>
      </c>
      <c r="F572">
        <v>1020</v>
      </c>
      <c r="G572" t="s">
        <v>1116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1119</v>
      </c>
      <c r="N572">
        <v>0.37</v>
      </c>
      <c r="O572" t="s">
        <v>33</v>
      </c>
      <c r="P572" t="s">
        <v>61</v>
      </c>
      <c r="Q572" t="s">
        <v>180</v>
      </c>
      <c r="R572" t="s">
        <v>1118</v>
      </c>
      <c r="S572">
        <v>66762</v>
      </c>
      <c r="T572" s="1">
        <v>42041</v>
      </c>
      <c r="U572" s="1">
        <v>42043</v>
      </c>
      <c r="V572" s="2">
        <v>8.7319999999999993</v>
      </c>
      <c r="W572">
        <v>14</v>
      </c>
      <c r="X572" s="2">
        <v>65.14</v>
      </c>
      <c r="Y572">
        <v>88634</v>
      </c>
      <c r="Z572">
        <f t="shared" si="8"/>
        <v>911.96</v>
      </c>
    </row>
    <row r="573" spans="1:26" x14ac:dyDescent="0.25">
      <c r="A573">
        <v>18921</v>
      </c>
      <c r="B573" t="s">
        <v>47</v>
      </c>
      <c r="C573" s="2">
        <v>0.02</v>
      </c>
      <c r="D573" s="2">
        <v>39.06</v>
      </c>
      <c r="E573" s="2">
        <v>10.55</v>
      </c>
      <c r="F573">
        <v>1023</v>
      </c>
      <c r="G573" t="s">
        <v>1120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1121</v>
      </c>
      <c r="N573">
        <v>0.37</v>
      </c>
      <c r="O573" t="s">
        <v>33</v>
      </c>
      <c r="P573" t="s">
        <v>53</v>
      </c>
      <c r="Q573" t="s">
        <v>229</v>
      </c>
      <c r="R573" t="s">
        <v>1122</v>
      </c>
      <c r="S573">
        <v>15221</v>
      </c>
      <c r="T573" s="1">
        <v>42139</v>
      </c>
      <c r="U573" s="1">
        <v>42139</v>
      </c>
      <c r="V573" s="2">
        <v>442.0899</v>
      </c>
      <c r="W573">
        <v>16</v>
      </c>
      <c r="X573" s="2">
        <v>640.71</v>
      </c>
      <c r="Y573">
        <v>88633</v>
      </c>
      <c r="Z573">
        <f t="shared" si="8"/>
        <v>10251.36</v>
      </c>
    </row>
    <row r="574" spans="1:26" x14ac:dyDescent="0.25">
      <c r="A574">
        <v>18922</v>
      </c>
      <c r="B574" t="s">
        <v>47</v>
      </c>
      <c r="C574" s="2">
        <v>0.1</v>
      </c>
      <c r="D574" s="2">
        <v>37.700000000000003</v>
      </c>
      <c r="E574" s="2">
        <v>2.99</v>
      </c>
      <c r="F574">
        <v>1023</v>
      </c>
      <c r="G574" t="s">
        <v>1120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545</v>
      </c>
      <c r="N574">
        <v>0.35</v>
      </c>
      <c r="O574" t="s">
        <v>33</v>
      </c>
      <c r="P574" t="s">
        <v>53</v>
      </c>
      <c r="Q574" t="s">
        <v>229</v>
      </c>
      <c r="R574" t="s">
        <v>1122</v>
      </c>
      <c r="S574">
        <v>15221</v>
      </c>
      <c r="T574" s="1">
        <v>42139</v>
      </c>
      <c r="U574" s="1">
        <v>42140</v>
      </c>
      <c r="V574" s="2">
        <v>455.12400000000002</v>
      </c>
      <c r="W574">
        <v>18</v>
      </c>
      <c r="X574" s="2">
        <v>659.6</v>
      </c>
      <c r="Y574">
        <v>88633</v>
      </c>
      <c r="Z574">
        <f t="shared" si="8"/>
        <v>11872.800000000001</v>
      </c>
    </row>
    <row r="575" spans="1:26" x14ac:dyDescent="0.25">
      <c r="A575">
        <v>21402</v>
      </c>
      <c r="B575" t="s">
        <v>37</v>
      </c>
      <c r="C575" s="2">
        <v>0.08</v>
      </c>
      <c r="D575" s="2">
        <v>65.989999999999995</v>
      </c>
      <c r="E575" s="2">
        <v>5.92</v>
      </c>
      <c r="F575">
        <v>1026</v>
      </c>
      <c r="G575" t="s">
        <v>1123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1124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1125</v>
      </c>
      <c r="S575">
        <v>11722</v>
      </c>
      <c r="T575" s="1">
        <v>42042</v>
      </c>
      <c r="U575" s="1">
        <v>42042</v>
      </c>
      <c r="V575" s="2">
        <v>624.40164000000004</v>
      </c>
      <c r="W575">
        <v>22</v>
      </c>
      <c r="X575" s="2">
        <v>1137.5999999999999</v>
      </c>
      <c r="Y575">
        <v>89005</v>
      </c>
      <c r="Z575">
        <f t="shared" si="8"/>
        <v>25027.199999999997</v>
      </c>
    </row>
    <row r="576" spans="1:26" x14ac:dyDescent="0.25">
      <c r="A576">
        <v>20872</v>
      </c>
      <c r="B576" t="s">
        <v>25</v>
      </c>
      <c r="C576" s="2">
        <v>0.1</v>
      </c>
      <c r="D576" s="2">
        <v>5.98</v>
      </c>
      <c r="E576" s="2">
        <v>3.85</v>
      </c>
      <c r="F576">
        <v>1026</v>
      </c>
      <c r="G576" t="s">
        <v>1123</v>
      </c>
      <c r="H576" t="s">
        <v>49</v>
      </c>
      <c r="I576" t="s">
        <v>58</v>
      </c>
      <c r="J576" t="s">
        <v>77</v>
      </c>
      <c r="K576" t="s">
        <v>177</v>
      </c>
      <c r="L576" t="s">
        <v>51</v>
      </c>
      <c r="M576" t="s">
        <v>1126</v>
      </c>
      <c r="N576">
        <v>0.68</v>
      </c>
      <c r="O576" t="s">
        <v>33</v>
      </c>
      <c r="P576" t="s">
        <v>53</v>
      </c>
      <c r="Q576" t="s">
        <v>71</v>
      </c>
      <c r="R576" t="s">
        <v>1125</v>
      </c>
      <c r="S576">
        <v>11722</v>
      </c>
      <c r="T576" s="1">
        <v>42153</v>
      </c>
      <c r="U576" s="1">
        <v>42154</v>
      </c>
      <c r="V576" s="2">
        <v>18.922000000000001</v>
      </c>
      <c r="W576">
        <v>26</v>
      </c>
      <c r="X576" s="2">
        <v>151.55000000000001</v>
      </c>
      <c r="Y576">
        <v>89008</v>
      </c>
      <c r="Z576">
        <f t="shared" si="8"/>
        <v>3940.3</v>
      </c>
    </row>
    <row r="577" spans="1:26" x14ac:dyDescent="0.25">
      <c r="A577">
        <v>20873</v>
      </c>
      <c r="B577" t="s">
        <v>25</v>
      </c>
      <c r="C577" s="2">
        <v>7.0000000000000007E-2</v>
      </c>
      <c r="D577" s="2">
        <v>2.61</v>
      </c>
      <c r="E577" s="2">
        <v>0.5</v>
      </c>
      <c r="F577">
        <v>1026</v>
      </c>
      <c r="G577" t="s">
        <v>1123</v>
      </c>
      <c r="H577" t="s">
        <v>49</v>
      </c>
      <c r="I577" t="s">
        <v>58</v>
      </c>
      <c r="J577" t="s">
        <v>29</v>
      </c>
      <c r="K577" t="s">
        <v>133</v>
      </c>
      <c r="L577" t="s">
        <v>59</v>
      </c>
      <c r="M577" t="s">
        <v>1127</v>
      </c>
      <c r="N577">
        <v>0.39</v>
      </c>
      <c r="O577" t="s">
        <v>33</v>
      </c>
      <c r="P577" t="s">
        <v>53</v>
      </c>
      <c r="Q577" t="s">
        <v>71</v>
      </c>
      <c r="R577" t="s">
        <v>1125</v>
      </c>
      <c r="S577">
        <v>11722</v>
      </c>
      <c r="T577" s="1">
        <v>42153</v>
      </c>
      <c r="U577" s="1">
        <v>42156</v>
      </c>
      <c r="V577" s="2">
        <v>39.350700000000003</v>
      </c>
      <c r="W577">
        <v>22</v>
      </c>
      <c r="X577" s="2">
        <v>57.03</v>
      </c>
      <c r="Y577">
        <v>89008</v>
      </c>
      <c r="Z577">
        <f t="shared" si="8"/>
        <v>1254.6600000000001</v>
      </c>
    </row>
    <row r="578" spans="1:26" x14ac:dyDescent="0.25">
      <c r="A578">
        <v>22662</v>
      </c>
      <c r="B578" t="s">
        <v>25</v>
      </c>
      <c r="C578" s="2">
        <v>0.1</v>
      </c>
      <c r="D578" s="2">
        <v>73.98</v>
      </c>
      <c r="E578" s="2">
        <v>4</v>
      </c>
      <c r="F578">
        <v>1027</v>
      </c>
      <c r="G578" t="s">
        <v>1128</v>
      </c>
      <c r="H578" t="s">
        <v>49</v>
      </c>
      <c r="I578" t="s">
        <v>58</v>
      </c>
      <c r="J578" t="s">
        <v>77</v>
      </c>
      <c r="K578" t="s">
        <v>177</v>
      </c>
      <c r="L578" t="s">
        <v>59</v>
      </c>
      <c r="M578" t="s">
        <v>1129</v>
      </c>
      <c r="N578">
        <v>0.79</v>
      </c>
      <c r="O578" t="s">
        <v>33</v>
      </c>
      <c r="P578" t="s">
        <v>53</v>
      </c>
      <c r="Q578" t="s">
        <v>71</v>
      </c>
      <c r="R578" t="s">
        <v>1130</v>
      </c>
      <c r="S578">
        <v>14225</v>
      </c>
      <c r="T578" s="1">
        <v>42075</v>
      </c>
      <c r="U578" s="1">
        <v>42076</v>
      </c>
      <c r="V578" s="2">
        <v>-229.87</v>
      </c>
      <c r="W578">
        <v>5</v>
      </c>
      <c r="X578" s="2">
        <v>347.23</v>
      </c>
      <c r="Y578">
        <v>89004</v>
      </c>
      <c r="Z578">
        <f t="shared" si="8"/>
        <v>1736.15</v>
      </c>
    </row>
    <row r="579" spans="1:26" x14ac:dyDescent="0.25">
      <c r="A579">
        <v>22663</v>
      </c>
      <c r="B579" t="s">
        <v>25</v>
      </c>
      <c r="C579" s="2">
        <v>0.05</v>
      </c>
      <c r="D579" s="2">
        <v>51.98</v>
      </c>
      <c r="E579" s="2">
        <v>10.17</v>
      </c>
      <c r="F579">
        <v>1027</v>
      </c>
      <c r="G579" t="s">
        <v>1128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1131</v>
      </c>
      <c r="N579">
        <v>0.37</v>
      </c>
      <c r="O579" t="s">
        <v>33</v>
      </c>
      <c r="P579" t="s">
        <v>53</v>
      </c>
      <c r="Q579" t="s">
        <v>71</v>
      </c>
      <c r="R579" t="s">
        <v>1130</v>
      </c>
      <c r="S579">
        <v>14225</v>
      </c>
      <c r="T579" s="1">
        <v>42075</v>
      </c>
      <c r="U579" s="1">
        <v>42076</v>
      </c>
      <c r="V579" s="2">
        <v>329.9787</v>
      </c>
      <c r="W579">
        <v>9</v>
      </c>
      <c r="X579" s="2">
        <v>478.23</v>
      </c>
      <c r="Y579">
        <v>89004</v>
      </c>
      <c r="Z579">
        <f t="shared" ref="Z579:Z642" si="9">W579*X579</f>
        <v>4304.07</v>
      </c>
    </row>
    <row r="580" spans="1:26" x14ac:dyDescent="0.25">
      <c r="A580">
        <v>24325</v>
      </c>
      <c r="B580" t="s">
        <v>56</v>
      </c>
      <c r="C580" s="2">
        <v>7.0000000000000007E-2</v>
      </c>
      <c r="D580" s="2">
        <v>7.08</v>
      </c>
      <c r="E580" s="2">
        <v>2.35</v>
      </c>
      <c r="F580">
        <v>1028</v>
      </c>
      <c r="G580" t="s">
        <v>1132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1133</v>
      </c>
      <c r="N580">
        <v>0.47</v>
      </c>
      <c r="O580" t="s">
        <v>33</v>
      </c>
      <c r="P580" t="s">
        <v>53</v>
      </c>
      <c r="Q580" t="s">
        <v>71</v>
      </c>
      <c r="R580" t="s">
        <v>1134</v>
      </c>
      <c r="S580">
        <v>11725</v>
      </c>
      <c r="T580" s="1">
        <v>42092</v>
      </c>
      <c r="U580" s="1">
        <v>42093</v>
      </c>
      <c r="V580" s="2">
        <v>30.49</v>
      </c>
      <c r="W580">
        <v>13</v>
      </c>
      <c r="X580" s="2">
        <v>93.82</v>
      </c>
      <c r="Y580">
        <v>89006</v>
      </c>
      <c r="Z580">
        <f t="shared" si="9"/>
        <v>1219.6599999999999</v>
      </c>
    </row>
    <row r="581" spans="1:26" x14ac:dyDescent="0.25">
      <c r="A581">
        <v>23398</v>
      </c>
      <c r="B581" t="s">
        <v>37</v>
      </c>
      <c r="C581" s="2">
        <v>0.05</v>
      </c>
      <c r="D581" s="2">
        <v>83.1</v>
      </c>
      <c r="E581" s="2">
        <v>6.13</v>
      </c>
      <c r="F581">
        <v>1028</v>
      </c>
      <c r="G581" t="s">
        <v>1132</v>
      </c>
      <c r="H581" t="s">
        <v>27</v>
      </c>
      <c r="I581" t="s">
        <v>58</v>
      </c>
      <c r="J581" t="s">
        <v>77</v>
      </c>
      <c r="K581" t="s">
        <v>177</v>
      </c>
      <c r="L581" t="s">
        <v>59</v>
      </c>
      <c r="M581" t="s">
        <v>1135</v>
      </c>
      <c r="N581">
        <v>0.45</v>
      </c>
      <c r="O581" t="s">
        <v>33</v>
      </c>
      <c r="P581" t="s">
        <v>53</v>
      </c>
      <c r="Q581" t="s">
        <v>71</v>
      </c>
      <c r="R581" t="s">
        <v>1134</v>
      </c>
      <c r="S581">
        <v>11725</v>
      </c>
      <c r="T581" s="1">
        <v>42132</v>
      </c>
      <c r="U581" s="1">
        <v>42133</v>
      </c>
      <c r="V581" s="2">
        <v>1152.5277000000001</v>
      </c>
      <c r="W581">
        <v>20</v>
      </c>
      <c r="X581" s="2">
        <v>1670.33</v>
      </c>
      <c r="Y581">
        <v>89007</v>
      </c>
      <c r="Z581">
        <f t="shared" si="9"/>
        <v>33406.6</v>
      </c>
    </row>
    <row r="582" spans="1:26" x14ac:dyDescent="0.25">
      <c r="A582">
        <v>21959</v>
      </c>
      <c r="B582" t="s">
        <v>47</v>
      </c>
      <c r="C582" s="2">
        <v>7.0000000000000007E-2</v>
      </c>
      <c r="D582" s="2">
        <v>125.99</v>
      </c>
      <c r="E582" s="2">
        <v>2.5</v>
      </c>
      <c r="F582">
        <v>1035</v>
      </c>
      <c r="G582" t="s">
        <v>1136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1137</v>
      </c>
      <c r="N582">
        <v>0.6</v>
      </c>
      <c r="O582" t="s">
        <v>33</v>
      </c>
      <c r="P582" t="s">
        <v>53</v>
      </c>
      <c r="Q582" t="s">
        <v>152</v>
      </c>
      <c r="R582" t="s">
        <v>1138</v>
      </c>
      <c r="S582">
        <v>43015</v>
      </c>
      <c r="T582" s="1">
        <v>42076</v>
      </c>
      <c r="U582" s="1">
        <v>42076</v>
      </c>
      <c r="V582" s="2">
        <v>-604.40599999999995</v>
      </c>
      <c r="W582">
        <v>1</v>
      </c>
      <c r="X582" s="2">
        <v>100.59</v>
      </c>
      <c r="Y582">
        <v>90710</v>
      </c>
      <c r="Z582">
        <f t="shared" si="9"/>
        <v>100.59</v>
      </c>
    </row>
    <row r="583" spans="1:26" x14ac:dyDescent="0.25">
      <c r="A583">
        <v>21960</v>
      </c>
      <c r="B583" t="s">
        <v>47</v>
      </c>
      <c r="C583" s="2">
        <v>0.03</v>
      </c>
      <c r="D583" s="2">
        <v>99.99</v>
      </c>
      <c r="E583" s="2">
        <v>19.989999999999998</v>
      </c>
      <c r="F583">
        <v>1036</v>
      </c>
      <c r="G583" t="s">
        <v>1139</v>
      </c>
      <c r="H583" t="s">
        <v>49</v>
      </c>
      <c r="I583" t="s">
        <v>40</v>
      </c>
      <c r="J583" t="s">
        <v>77</v>
      </c>
      <c r="K583" t="s">
        <v>177</v>
      </c>
      <c r="L583" t="s">
        <v>59</v>
      </c>
      <c r="M583" t="s">
        <v>1140</v>
      </c>
      <c r="N583">
        <v>0.52</v>
      </c>
      <c r="O583" t="s">
        <v>33</v>
      </c>
      <c r="P583" t="s">
        <v>53</v>
      </c>
      <c r="Q583" t="s">
        <v>152</v>
      </c>
      <c r="R583" t="s">
        <v>1141</v>
      </c>
      <c r="S583">
        <v>43017</v>
      </c>
      <c r="T583" s="1">
        <v>42076</v>
      </c>
      <c r="U583" s="1">
        <v>42077</v>
      </c>
      <c r="V583" s="2">
        <v>293.66000000000003</v>
      </c>
      <c r="W583">
        <v>6</v>
      </c>
      <c r="X583" s="2">
        <v>598.38</v>
      </c>
      <c r="Y583">
        <v>90710</v>
      </c>
      <c r="Z583">
        <f t="shared" si="9"/>
        <v>3590.2799999999997</v>
      </c>
    </row>
    <row r="584" spans="1:26" x14ac:dyDescent="0.25">
      <c r="A584">
        <v>20669</v>
      </c>
      <c r="B584" t="s">
        <v>47</v>
      </c>
      <c r="C584" s="2">
        <v>0.1</v>
      </c>
      <c r="D584" s="2">
        <v>7.64</v>
      </c>
      <c r="E584" s="2">
        <v>5.83</v>
      </c>
      <c r="F584">
        <v>1038</v>
      </c>
      <c r="G584" t="s">
        <v>1142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1016</v>
      </c>
      <c r="N584">
        <v>0.36</v>
      </c>
      <c r="O584" t="s">
        <v>33</v>
      </c>
      <c r="P584" t="s">
        <v>135</v>
      </c>
      <c r="Q584" t="s">
        <v>356</v>
      </c>
      <c r="R584" t="s">
        <v>1143</v>
      </c>
      <c r="S584">
        <v>33430</v>
      </c>
      <c r="T584" s="1">
        <v>42171</v>
      </c>
      <c r="U584" s="1">
        <v>42172</v>
      </c>
      <c r="V584" s="2">
        <v>-403.18740000000003</v>
      </c>
      <c r="W584">
        <v>5</v>
      </c>
      <c r="X584" s="2">
        <v>39.36</v>
      </c>
      <c r="Y584">
        <v>90641</v>
      </c>
      <c r="Z584">
        <f t="shared" si="9"/>
        <v>196.8</v>
      </c>
    </row>
    <row r="585" spans="1:26" x14ac:dyDescent="0.25">
      <c r="A585">
        <v>18404</v>
      </c>
      <c r="B585" t="s">
        <v>47</v>
      </c>
      <c r="C585" s="2">
        <v>0.06</v>
      </c>
      <c r="D585" s="2">
        <v>55.94</v>
      </c>
      <c r="E585" s="2">
        <v>4</v>
      </c>
      <c r="F585">
        <v>1041</v>
      </c>
      <c r="G585" t="s">
        <v>1144</v>
      </c>
      <c r="H585" t="s">
        <v>49</v>
      </c>
      <c r="I585" t="s">
        <v>58</v>
      </c>
      <c r="J585" t="s">
        <v>77</v>
      </c>
      <c r="K585" t="s">
        <v>177</v>
      </c>
      <c r="L585" t="s">
        <v>59</v>
      </c>
      <c r="M585" t="s">
        <v>1145</v>
      </c>
      <c r="N585">
        <v>0.74</v>
      </c>
      <c r="O585" t="s">
        <v>33</v>
      </c>
      <c r="P585" t="s">
        <v>34</v>
      </c>
      <c r="Q585" t="s">
        <v>45</v>
      </c>
      <c r="R585" t="s">
        <v>1146</v>
      </c>
      <c r="S585">
        <v>95695</v>
      </c>
      <c r="T585" s="1">
        <v>42111</v>
      </c>
      <c r="U585" s="1">
        <v>42112</v>
      </c>
      <c r="V585" s="2">
        <v>-13.77</v>
      </c>
      <c r="W585">
        <v>6</v>
      </c>
      <c r="X585" s="2">
        <v>322.77</v>
      </c>
      <c r="Y585">
        <v>87846</v>
      </c>
      <c r="Z585">
        <f t="shared" si="9"/>
        <v>1936.62</v>
      </c>
    </row>
    <row r="586" spans="1:26" x14ac:dyDescent="0.25">
      <c r="A586">
        <v>18405</v>
      </c>
      <c r="B586" t="s">
        <v>47</v>
      </c>
      <c r="C586" s="2">
        <v>7.0000000000000007E-2</v>
      </c>
      <c r="D586" s="2">
        <v>6.3</v>
      </c>
      <c r="E586" s="2">
        <v>0.5</v>
      </c>
      <c r="F586">
        <v>1041</v>
      </c>
      <c r="G586" t="s">
        <v>1144</v>
      </c>
      <c r="H586" t="s">
        <v>49</v>
      </c>
      <c r="I586" t="s">
        <v>58</v>
      </c>
      <c r="J586" t="s">
        <v>29</v>
      </c>
      <c r="K586" t="s">
        <v>133</v>
      </c>
      <c r="L586" t="s">
        <v>59</v>
      </c>
      <c r="M586" t="s">
        <v>1147</v>
      </c>
      <c r="N586">
        <v>0.39</v>
      </c>
      <c r="O586" t="s">
        <v>33</v>
      </c>
      <c r="P586" t="s">
        <v>34</v>
      </c>
      <c r="Q586" t="s">
        <v>45</v>
      </c>
      <c r="R586" t="s">
        <v>1146</v>
      </c>
      <c r="S586">
        <v>95695</v>
      </c>
      <c r="T586" s="1">
        <v>42111</v>
      </c>
      <c r="U586" s="1">
        <v>42111</v>
      </c>
      <c r="V586" s="2">
        <v>44.912100000000002</v>
      </c>
      <c r="W586">
        <v>11</v>
      </c>
      <c r="X586" s="2">
        <v>65.09</v>
      </c>
      <c r="Y586">
        <v>87846</v>
      </c>
      <c r="Z586">
        <f t="shared" si="9"/>
        <v>715.99</v>
      </c>
    </row>
    <row r="587" spans="1:26" x14ac:dyDescent="0.25">
      <c r="A587">
        <v>20937</v>
      </c>
      <c r="B587" t="s">
        <v>47</v>
      </c>
      <c r="C587" s="2">
        <v>0</v>
      </c>
      <c r="D587" s="2">
        <v>14.42</v>
      </c>
      <c r="E587" s="2">
        <v>6.75</v>
      </c>
      <c r="F587">
        <v>1042</v>
      </c>
      <c r="G587" t="s">
        <v>1148</v>
      </c>
      <c r="H587" t="s">
        <v>27</v>
      </c>
      <c r="I587" t="s">
        <v>58</v>
      </c>
      <c r="J587" t="s">
        <v>29</v>
      </c>
      <c r="K587" t="s">
        <v>252</v>
      </c>
      <c r="L587" t="s">
        <v>86</v>
      </c>
      <c r="M587" t="s">
        <v>564</v>
      </c>
      <c r="N587">
        <v>0.52</v>
      </c>
      <c r="O587" t="s">
        <v>33</v>
      </c>
      <c r="P587" t="s">
        <v>34</v>
      </c>
      <c r="Q587" t="s">
        <v>45</v>
      </c>
      <c r="R587" t="s">
        <v>1149</v>
      </c>
      <c r="S587">
        <v>95991</v>
      </c>
      <c r="T587" s="1">
        <v>42140</v>
      </c>
      <c r="U587" s="1">
        <v>42141</v>
      </c>
      <c r="V587" s="2">
        <v>9.33</v>
      </c>
      <c r="W587">
        <v>6</v>
      </c>
      <c r="X587" s="2">
        <v>98.96</v>
      </c>
      <c r="Y587">
        <v>87847</v>
      </c>
      <c r="Z587">
        <f t="shared" si="9"/>
        <v>593.76</v>
      </c>
    </row>
    <row r="588" spans="1:26" x14ac:dyDescent="0.25">
      <c r="A588">
        <v>3926</v>
      </c>
      <c r="B588" t="s">
        <v>47</v>
      </c>
      <c r="C588" s="2">
        <v>0.02</v>
      </c>
      <c r="D588" s="2">
        <v>209.84</v>
      </c>
      <c r="E588" s="2">
        <v>21.21</v>
      </c>
      <c r="F588">
        <v>1044</v>
      </c>
      <c r="G588" t="s">
        <v>1150</v>
      </c>
      <c r="H588" t="s">
        <v>49</v>
      </c>
      <c r="I588" t="s">
        <v>40</v>
      </c>
      <c r="J588" t="s">
        <v>41</v>
      </c>
      <c r="K588" t="s">
        <v>50</v>
      </c>
      <c r="L588" t="s">
        <v>231</v>
      </c>
      <c r="M588" t="s">
        <v>1151</v>
      </c>
      <c r="N588">
        <v>0.59</v>
      </c>
      <c r="O588" t="s">
        <v>33</v>
      </c>
      <c r="P588" t="s">
        <v>34</v>
      </c>
      <c r="Q588" t="s">
        <v>45</v>
      </c>
      <c r="R588" t="s">
        <v>655</v>
      </c>
      <c r="S588">
        <v>90004</v>
      </c>
      <c r="T588" s="1">
        <v>42169</v>
      </c>
      <c r="U588" s="1">
        <v>42169</v>
      </c>
      <c r="V588" s="2">
        <v>2593.14</v>
      </c>
      <c r="W588">
        <v>62</v>
      </c>
      <c r="X588" s="2">
        <v>13546.94</v>
      </c>
      <c r="Y588">
        <v>28001</v>
      </c>
      <c r="Z588">
        <f t="shared" si="9"/>
        <v>839910.28</v>
      </c>
    </row>
    <row r="589" spans="1:26" x14ac:dyDescent="0.25">
      <c r="A589">
        <v>3927</v>
      </c>
      <c r="B589" t="s">
        <v>47</v>
      </c>
      <c r="C589" s="2">
        <v>0.01</v>
      </c>
      <c r="D589" s="2">
        <v>194.3</v>
      </c>
      <c r="E589" s="2">
        <v>11.54</v>
      </c>
      <c r="F589">
        <v>1044</v>
      </c>
      <c r="G589" t="s">
        <v>1150</v>
      </c>
      <c r="H589" t="s">
        <v>49</v>
      </c>
      <c r="I589" t="s">
        <v>40</v>
      </c>
      <c r="J589" t="s">
        <v>41</v>
      </c>
      <c r="K589" t="s">
        <v>50</v>
      </c>
      <c r="L589" t="s">
        <v>231</v>
      </c>
      <c r="M589" t="s">
        <v>1152</v>
      </c>
      <c r="N589">
        <v>0.59</v>
      </c>
      <c r="O589" t="s">
        <v>33</v>
      </c>
      <c r="P589" t="s">
        <v>34</v>
      </c>
      <c r="Q589" t="s">
        <v>45</v>
      </c>
      <c r="R589" t="s">
        <v>655</v>
      </c>
      <c r="S589">
        <v>90004</v>
      </c>
      <c r="T589" s="1">
        <v>42169</v>
      </c>
      <c r="U589" s="1">
        <v>42171</v>
      </c>
      <c r="V589" s="2">
        <v>1162.76</v>
      </c>
      <c r="W589">
        <v>32</v>
      </c>
      <c r="X589" s="2">
        <v>6401.65</v>
      </c>
      <c r="Y589">
        <v>28001</v>
      </c>
      <c r="Z589">
        <f t="shared" si="9"/>
        <v>204852.8</v>
      </c>
    </row>
    <row r="590" spans="1:26" x14ac:dyDescent="0.25">
      <c r="A590">
        <v>6711</v>
      </c>
      <c r="B590" t="s">
        <v>25</v>
      </c>
      <c r="C590" s="2">
        <v>0</v>
      </c>
      <c r="D590" s="2">
        <v>6.68</v>
      </c>
      <c r="E590" s="2">
        <v>5.66</v>
      </c>
      <c r="F590">
        <v>1044</v>
      </c>
      <c r="G590" t="s">
        <v>1150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1153</v>
      </c>
      <c r="N590">
        <v>0.37</v>
      </c>
      <c r="O590" t="s">
        <v>33</v>
      </c>
      <c r="P590" t="s">
        <v>34</v>
      </c>
      <c r="Q590" t="s">
        <v>45</v>
      </c>
      <c r="R590" t="s">
        <v>655</v>
      </c>
      <c r="S590">
        <v>90004</v>
      </c>
      <c r="T590" s="1">
        <v>42062</v>
      </c>
      <c r="U590" s="1">
        <v>42063</v>
      </c>
      <c r="V590" s="2">
        <v>-76.94</v>
      </c>
      <c r="W590">
        <v>90</v>
      </c>
      <c r="X590" s="2">
        <v>617.4</v>
      </c>
      <c r="Y590">
        <v>47813</v>
      </c>
      <c r="Z590">
        <f t="shared" si="9"/>
        <v>55566</v>
      </c>
    </row>
    <row r="591" spans="1:26" x14ac:dyDescent="0.25">
      <c r="A591">
        <v>24711</v>
      </c>
      <c r="B591" t="s">
        <v>25</v>
      </c>
      <c r="C591" s="2">
        <v>0</v>
      </c>
      <c r="D591" s="2">
        <v>6.68</v>
      </c>
      <c r="E591" s="2">
        <v>5.66</v>
      </c>
      <c r="F591">
        <v>1047</v>
      </c>
      <c r="G591" t="s">
        <v>1154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1153</v>
      </c>
      <c r="N591">
        <v>0.37</v>
      </c>
      <c r="O591" t="s">
        <v>33</v>
      </c>
      <c r="P591" t="s">
        <v>53</v>
      </c>
      <c r="Q591" t="s">
        <v>189</v>
      </c>
      <c r="R591" t="s">
        <v>190</v>
      </c>
      <c r="S591">
        <v>2109</v>
      </c>
      <c r="T591" s="1">
        <v>42062</v>
      </c>
      <c r="U591" s="1">
        <v>42063</v>
      </c>
      <c r="V591" s="2">
        <v>-40.008800000000001</v>
      </c>
      <c r="W591">
        <v>23</v>
      </c>
      <c r="X591" s="2">
        <v>157.78</v>
      </c>
      <c r="Y591">
        <v>89389</v>
      </c>
      <c r="Z591">
        <f t="shared" si="9"/>
        <v>3628.94</v>
      </c>
    </row>
    <row r="592" spans="1:26" x14ac:dyDescent="0.25">
      <c r="A592">
        <v>26259</v>
      </c>
      <c r="B592" t="s">
        <v>37</v>
      </c>
      <c r="C592" s="2">
        <v>0.03</v>
      </c>
      <c r="D592" s="2">
        <v>5.44</v>
      </c>
      <c r="E592" s="2">
        <v>7.46</v>
      </c>
      <c r="F592">
        <v>1054</v>
      </c>
      <c r="G592" t="s">
        <v>1155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1156</v>
      </c>
      <c r="N592">
        <v>0.36</v>
      </c>
      <c r="O592" t="s">
        <v>33</v>
      </c>
      <c r="P592" t="s">
        <v>34</v>
      </c>
      <c r="Q592" t="s">
        <v>372</v>
      </c>
      <c r="R592" t="s">
        <v>1157</v>
      </c>
      <c r="S592">
        <v>85374</v>
      </c>
      <c r="T592" s="1">
        <v>42149</v>
      </c>
      <c r="U592" s="1">
        <v>42151</v>
      </c>
      <c r="V592" s="2">
        <v>-51.704000000000001</v>
      </c>
      <c r="W592">
        <v>4</v>
      </c>
      <c r="X592" s="2">
        <v>26.31</v>
      </c>
      <c r="Y592">
        <v>90069</v>
      </c>
      <c r="Z592">
        <f t="shared" si="9"/>
        <v>105.24</v>
      </c>
    </row>
    <row r="593" spans="1:26" x14ac:dyDescent="0.25">
      <c r="A593">
        <v>26260</v>
      </c>
      <c r="B593" t="s">
        <v>37</v>
      </c>
      <c r="C593" s="2">
        <v>0.08</v>
      </c>
      <c r="D593" s="2">
        <v>26.38</v>
      </c>
      <c r="E593" s="2">
        <v>5.58</v>
      </c>
      <c r="F593">
        <v>1054</v>
      </c>
      <c r="G593" t="s">
        <v>1155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1158</v>
      </c>
      <c r="N593">
        <v>0.39</v>
      </c>
      <c r="O593" t="s">
        <v>33</v>
      </c>
      <c r="P593" t="s">
        <v>34</v>
      </c>
      <c r="Q593" t="s">
        <v>372</v>
      </c>
      <c r="R593" t="s">
        <v>1157</v>
      </c>
      <c r="S593">
        <v>85374</v>
      </c>
      <c r="T593" s="1">
        <v>42149</v>
      </c>
      <c r="U593" s="1">
        <v>42150</v>
      </c>
      <c r="V593" s="2">
        <v>144.7482</v>
      </c>
      <c r="W593">
        <v>8</v>
      </c>
      <c r="X593" s="2">
        <v>209.78</v>
      </c>
      <c r="Y593">
        <v>90069</v>
      </c>
      <c r="Z593">
        <f t="shared" si="9"/>
        <v>1678.24</v>
      </c>
    </row>
    <row r="594" spans="1:26" x14ac:dyDescent="0.25">
      <c r="A594">
        <v>26261</v>
      </c>
      <c r="B594" t="s">
        <v>37</v>
      </c>
      <c r="C594" s="2">
        <v>0.06</v>
      </c>
      <c r="D594" s="2">
        <v>20.99</v>
      </c>
      <c r="E594" s="2">
        <v>2.5</v>
      </c>
      <c r="F594">
        <v>1054</v>
      </c>
      <c r="G594" t="s">
        <v>1155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1159</v>
      </c>
      <c r="N594">
        <v>0.81</v>
      </c>
      <c r="O594" t="s">
        <v>33</v>
      </c>
      <c r="P594" t="s">
        <v>34</v>
      </c>
      <c r="Q594" t="s">
        <v>372</v>
      </c>
      <c r="R594" t="s">
        <v>1157</v>
      </c>
      <c r="S594">
        <v>85374</v>
      </c>
      <c r="T594" s="1">
        <v>42149</v>
      </c>
      <c r="U594" s="1">
        <v>42151</v>
      </c>
      <c r="V594" s="2">
        <v>-112.18899999999999</v>
      </c>
      <c r="W594">
        <v>1</v>
      </c>
      <c r="X594" s="2">
        <v>17.829999999999998</v>
      </c>
      <c r="Y594">
        <v>90069</v>
      </c>
      <c r="Z594">
        <f t="shared" si="9"/>
        <v>17.829999999999998</v>
      </c>
    </row>
    <row r="595" spans="1:26" x14ac:dyDescent="0.25">
      <c r="A595">
        <v>8200</v>
      </c>
      <c r="B595" t="s">
        <v>56</v>
      </c>
      <c r="C595" s="2">
        <v>0.09</v>
      </c>
      <c r="D595" s="2">
        <v>138.75</v>
      </c>
      <c r="E595" s="2">
        <v>52.42</v>
      </c>
      <c r="F595">
        <v>1060</v>
      </c>
      <c r="G595" t="s">
        <v>1160</v>
      </c>
      <c r="H595" t="s">
        <v>39</v>
      </c>
      <c r="I595" t="s">
        <v>58</v>
      </c>
      <c r="J595" t="s">
        <v>41</v>
      </c>
      <c r="K595" t="s">
        <v>150</v>
      </c>
      <c r="L595" t="s">
        <v>120</v>
      </c>
      <c r="M595" t="s">
        <v>1161</v>
      </c>
      <c r="N595">
        <v>0.74</v>
      </c>
      <c r="O595" t="s">
        <v>33</v>
      </c>
      <c r="P595" t="s">
        <v>135</v>
      </c>
      <c r="Q595" t="s">
        <v>381</v>
      </c>
      <c r="R595" t="s">
        <v>573</v>
      </c>
      <c r="S595">
        <v>30318</v>
      </c>
      <c r="T595" s="1">
        <v>42087</v>
      </c>
      <c r="U595" s="1">
        <v>42088</v>
      </c>
      <c r="V595" s="2">
        <v>-445.97177629999999</v>
      </c>
      <c r="W595">
        <v>23</v>
      </c>
      <c r="X595" s="2">
        <v>2527.79</v>
      </c>
      <c r="Y595">
        <v>58628</v>
      </c>
      <c r="Z595">
        <f t="shared" si="9"/>
        <v>58139.17</v>
      </c>
    </row>
    <row r="596" spans="1:26" x14ac:dyDescent="0.25">
      <c r="A596">
        <v>7980</v>
      </c>
      <c r="B596" t="s">
        <v>106</v>
      </c>
      <c r="C596" s="2">
        <v>7.0000000000000007E-2</v>
      </c>
      <c r="D596" s="2">
        <v>6.3</v>
      </c>
      <c r="E596" s="2">
        <v>0.5</v>
      </c>
      <c r="F596">
        <v>1060</v>
      </c>
      <c r="G596" t="s">
        <v>1160</v>
      </c>
      <c r="H596" t="s">
        <v>49</v>
      </c>
      <c r="I596" t="s">
        <v>58</v>
      </c>
      <c r="J596" t="s">
        <v>29</v>
      </c>
      <c r="K596" t="s">
        <v>133</v>
      </c>
      <c r="L596" t="s">
        <v>59</v>
      </c>
      <c r="M596" t="s">
        <v>207</v>
      </c>
      <c r="N596">
        <v>0.39</v>
      </c>
      <c r="O596" t="s">
        <v>33</v>
      </c>
      <c r="P596" t="s">
        <v>135</v>
      </c>
      <c r="Q596" t="s">
        <v>381</v>
      </c>
      <c r="R596" t="s">
        <v>573</v>
      </c>
      <c r="S596">
        <v>30318</v>
      </c>
      <c r="T596" s="1">
        <v>42154</v>
      </c>
      <c r="U596" s="1">
        <v>42154</v>
      </c>
      <c r="V596" s="2">
        <v>4.1673999999999998</v>
      </c>
      <c r="W596">
        <v>20</v>
      </c>
      <c r="X596" s="2">
        <v>121.87</v>
      </c>
      <c r="Y596">
        <v>57061</v>
      </c>
      <c r="Z596">
        <f t="shared" si="9"/>
        <v>2437.4</v>
      </c>
    </row>
    <row r="597" spans="1:26" x14ac:dyDescent="0.25">
      <c r="A597">
        <v>26200</v>
      </c>
      <c r="B597" t="s">
        <v>56</v>
      </c>
      <c r="C597" s="2">
        <v>0.09</v>
      </c>
      <c r="D597" s="2">
        <v>138.75</v>
      </c>
      <c r="E597" s="2">
        <v>52.42</v>
      </c>
      <c r="F597">
        <v>1062</v>
      </c>
      <c r="G597" t="s">
        <v>1162</v>
      </c>
      <c r="H597" t="s">
        <v>39</v>
      </c>
      <c r="I597" t="s">
        <v>58</v>
      </c>
      <c r="J597" t="s">
        <v>41</v>
      </c>
      <c r="K597" t="s">
        <v>150</v>
      </c>
      <c r="L597" t="s">
        <v>120</v>
      </c>
      <c r="M597" t="s">
        <v>1161</v>
      </c>
      <c r="N597">
        <v>0.74</v>
      </c>
      <c r="O597" t="s">
        <v>33</v>
      </c>
      <c r="P597" t="s">
        <v>53</v>
      </c>
      <c r="Q597" t="s">
        <v>71</v>
      </c>
      <c r="R597" t="s">
        <v>1163</v>
      </c>
      <c r="S597">
        <v>11727</v>
      </c>
      <c r="T597" s="1">
        <v>42087</v>
      </c>
      <c r="U597" s="1">
        <v>42088</v>
      </c>
      <c r="V597" s="2">
        <v>-335.31712499999998</v>
      </c>
      <c r="W597">
        <v>6</v>
      </c>
      <c r="X597" s="2">
        <v>659.42</v>
      </c>
      <c r="Y597">
        <v>91354</v>
      </c>
      <c r="Z597">
        <f t="shared" si="9"/>
        <v>3956.5199999999995</v>
      </c>
    </row>
    <row r="598" spans="1:26" x14ac:dyDescent="0.25">
      <c r="A598">
        <v>25979</v>
      </c>
      <c r="B598" t="s">
        <v>106</v>
      </c>
      <c r="C598" s="2">
        <v>0.04</v>
      </c>
      <c r="D598" s="2">
        <v>22.38</v>
      </c>
      <c r="E598" s="2">
        <v>15.1</v>
      </c>
      <c r="F598">
        <v>1062</v>
      </c>
      <c r="G598" t="s">
        <v>1162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1164</v>
      </c>
      <c r="N598">
        <v>0.38</v>
      </c>
      <c r="O598" t="s">
        <v>33</v>
      </c>
      <c r="P598" t="s">
        <v>53</v>
      </c>
      <c r="Q598" t="s">
        <v>71</v>
      </c>
      <c r="R598" t="s">
        <v>1163</v>
      </c>
      <c r="S598">
        <v>11727</v>
      </c>
      <c r="T598" s="1">
        <v>42154</v>
      </c>
      <c r="U598" s="1">
        <v>42162</v>
      </c>
      <c r="V598" s="2">
        <v>16.021799999999999</v>
      </c>
      <c r="W598">
        <v>18</v>
      </c>
      <c r="X598" s="2">
        <v>403.53</v>
      </c>
      <c r="Y598">
        <v>91355</v>
      </c>
      <c r="Z598">
        <f t="shared" si="9"/>
        <v>7263.5399999999991</v>
      </c>
    </row>
    <row r="599" spans="1:26" x14ac:dyDescent="0.25">
      <c r="A599">
        <v>25981</v>
      </c>
      <c r="B599" t="s">
        <v>106</v>
      </c>
      <c r="C599" s="2">
        <v>0.06</v>
      </c>
      <c r="D599" s="2">
        <v>17.78</v>
      </c>
      <c r="E599" s="2">
        <v>5.03</v>
      </c>
      <c r="F599">
        <v>1062</v>
      </c>
      <c r="G599" t="s">
        <v>1162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1165</v>
      </c>
      <c r="N599">
        <v>0.54</v>
      </c>
      <c r="O599" t="s">
        <v>33</v>
      </c>
      <c r="P599" t="s">
        <v>53</v>
      </c>
      <c r="Q599" t="s">
        <v>71</v>
      </c>
      <c r="R599" t="s">
        <v>1163</v>
      </c>
      <c r="S599">
        <v>11727</v>
      </c>
      <c r="T599" s="1">
        <v>42154</v>
      </c>
      <c r="U599" s="1">
        <v>42157</v>
      </c>
      <c r="V599" s="2">
        <v>38.067300000000003</v>
      </c>
      <c r="W599">
        <v>3</v>
      </c>
      <c r="X599" s="2">
        <v>55.17</v>
      </c>
      <c r="Y599">
        <v>91355</v>
      </c>
      <c r="Z599">
        <f t="shared" si="9"/>
        <v>165.51</v>
      </c>
    </row>
    <row r="600" spans="1:26" x14ac:dyDescent="0.25">
      <c r="A600">
        <v>19445</v>
      </c>
      <c r="B600" t="s">
        <v>47</v>
      </c>
      <c r="C600" s="2">
        <v>0.01</v>
      </c>
      <c r="D600" s="2">
        <v>15.99</v>
      </c>
      <c r="E600" s="2">
        <v>13.18</v>
      </c>
      <c r="F600">
        <v>1065</v>
      </c>
      <c r="G600" t="s">
        <v>1166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631</v>
      </c>
      <c r="N600">
        <v>0.37</v>
      </c>
      <c r="O600" t="s">
        <v>33</v>
      </c>
      <c r="P600" t="s">
        <v>61</v>
      </c>
      <c r="Q600" t="s">
        <v>175</v>
      </c>
      <c r="R600" t="s">
        <v>1167</v>
      </c>
      <c r="S600">
        <v>60459</v>
      </c>
      <c r="T600" s="1">
        <v>42053</v>
      </c>
      <c r="U600" s="1">
        <v>42055</v>
      </c>
      <c r="V600" s="2">
        <v>-99.43544</v>
      </c>
      <c r="W600">
        <v>23</v>
      </c>
      <c r="X600" s="2">
        <v>377.44</v>
      </c>
      <c r="Y600">
        <v>88899</v>
      </c>
      <c r="Z600">
        <f t="shared" si="9"/>
        <v>8681.1200000000008</v>
      </c>
    </row>
    <row r="601" spans="1:26" x14ac:dyDescent="0.25">
      <c r="A601">
        <v>20445</v>
      </c>
      <c r="B601" t="s">
        <v>106</v>
      </c>
      <c r="C601" s="2">
        <v>0.04</v>
      </c>
      <c r="D601" s="2">
        <v>22.84</v>
      </c>
      <c r="E601" s="2">
        <v>16.87</v>
      </c>
      <c r="F601">
        <v>1068</v>
      </c>
      <c r="G601" t="s">
        <v>1168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1169</v>
      </c>
      <c r="N601">
        <v>0.39</v>
      </c>
      <c r="O601" t="s">
        <v>33</v>
      </c>
      <c r="P601" t="s">
        <v>61</v>
      </c>
      <c r="Q601" t="s">
        <v>175</v>
      </c>
      <c r="R601" t="s">
        <v>1170</v>
      </c>
      <c r="S601">
        <v>60409</v>
      </c>
      <c r="T601" s="1">
        <v>42079</v>
      </c>
      <c r="U601" s="1">
        <v>42079</v>
      </c>
      <c r="V601" s="2">
        <v>-97.28</v>
      </c>
      <c r="W601">
        <v>12</v>
      </c>
      <c r="X601" s="2">
        <v>286.39999999999998</v>
      </c>
      <c r="Y601">
        <v>87109</v>
      </c>
      <c r="Z601">
        <f t="shared" si="9"/>
        <v>3436.7999999999997</v>
      </c>
    </row>
    <row r="602" spans="1:26" x14ac:dyDescent="0.25">
      <c r="A602">
        <v>24737</v>
      </c>
      <c r="B602" t="s">
        <v>56</v>
      </c>
      <c r="C602" s="2">
        <v>0.02</v>
      </c>
      <c r="D602" s="2">
        <v>15.94</v>
      </c>
      <c r="E602" s="2">
        <v>5.45</v>
      </c>
      <c r="F602">
        <v>1069</v>
      </c>
      <c r="G602" t="s">
        <v>1171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1172</v>
      </c>
      <c r="N602">
        <v>0.55000000000000004</v>
      </c>
      <c r="O602" t="s">
        <v>33</v>
      </c>
      <c r="P602" t="s">
        <v>61</v>
      </c>
      <c r="Q602" t="s">
        <v>175</v>
      </c>
      <c r="R602" t="s">
        <v>1173</v>
      </c>
      <c r="S602">
        <v>62901</v>
      </c>
      <c r="T602" s="1">
        <v>42138</v>
      </c>
      <c r="U602" s="1">
        <v>42139</v>
      </c>
      <c r="V602" s="2">
        <v>139.61199999999999</v>
      </c>
      <c r="W602">
        <v>41</v>
      </c>
      <c r="X602" s="2">
        <v>664.34</v>
      </c>
      <c r="Y602">
        <v>87110</v>
      </c>
      <c r="Z602">
        <f t="shared" si="9"/>
        <v>27237.940000000002</v>
      </c>
    </row>
    <row r="603" spans="1:26" x14ac:dyDescent="0.25">
      <c r="A603">
        <v>22685</v>
      </c>
      <c r="B603" t="s">
        <v>37</v>
      </c>
      <c r="C603" s="2">
        <v>0.01</v>
      </c>
      <c r="D603" s="2">
        <v>150.88999999999999</v>
      </c>
      <c r="E603" s="2">
        <v>60.2</v>
      </c>
      <c r="F603">
        <v>1072</v>
      </c>
      <c r="G603" t="s">
        <v>1174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1175</v>
      </c>
      <c r="N603">
        <v>0.77</v>
      </c>
      <c r="O603" t="s">
        <v>33</v>
      </c>
      <c r="P603" t="s">
        <v>53</v>
      </c>
      <c r="Q603" t="s">
        <v>229</v>
      </c>
      <c r="R603" t="s">
        <v>1176</v>
      </c>
      <c r="S603">
        <v>18018</v>
      </c>
      <c r="T603" s="1">
        <v>42090</v>
      </c>
      <c r="U603" s="1">
        <v>42093</v>
      </c>
      <c r="V603" s="2">
        <v>-505.76</v>
      </c>
      <c r="W603">
        <v>3</v>
      </c>
      <c r="X603" s="2">
        <v>473.53</v>
      </c>
      <c r="Y603">
        <v>89631</v>
      </c>
      <c r="Z603">
        <f t="shared" si="9"/>
        <v>1420.59</v>
      </c>
    </row>
    <row r="604" spans="1:26" x14ac:dyDescent="0.25">
      <c r="A604">
        <v>26176</v>
      </c>
      <c r="B604" t="s">
        <v>25</v>
      </c>
      <c r="C604" s="2">
        <v>0.04</v>
      </c>
      <c r="D604" s="2">
        <v>19.23</v>
      </c>
      <c r="E604" s="2">
        <v>6.15</v>
      </c>
      <c r="F604">
        <v>1075</v>
      </c>
      <c r="G604" t="s">
        <v>1177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466</v>
      </c>
      <c r="N604">
        <v>0.44</v>
      </c>
      <c r="O604" t="s">
        <v>33</v>
      </c>
      <c r="P604" t="s">
        <v>61</v>
      </c>
      <c r="Q604" t="s">
        <v>175</v>
      </c>
      <c r="R604" t="s">
        <v>1178</v>
      </c>
      <c r="S604">
        <v>60441</v>
      </c>
      <c r="T604" s="1">
        <v>42072</v>
      </c>
      <c r="U604" s="1">
        <v>42073</v>
      </c>
      <c r="V604" s="2">
        <v>152.4348</v>
      </c>
      <c r="W604">
        <v>11</v>
      </c>
      <c r="X604" s="2">
        <v>220.92</v>
      </c>
      <c r="Y604">
        <v>86422</v>
      </c>
      <c r="Z604">
        <f t="shared" si="9"/>
        <v>2430.12</v>
      </c>
    </row>
    <row r="605" spans="1:26" x14ac:dyDescent="0.25">
      <c r="A605">
        <v>23312</v>
      </c>
      <c r="B605" t="s">
        <v>37</v>
      </c>
      <c r="C605" s="2">
        <v>0.08</v>
      </c>
      <c r="D605" s="2">
        <v>13.9</v>
      </c>
      <c r="E605" s="2">
        <v>7.59</v>
      </c>
      <c r="F605">
        <v>1080</v>
      </c>
      <c r="G605" t="s">
        <v>1179</v>
      </c>
      <c r="H605" t="s">
        <v>49</v>
      </c>
      <c r="I605" t="s">
        <v>28</v>
      </c>
      <c r="J605" t="s">
        <v>29</v>
      </c>
      <c r="K605" t="s">
        <v>171</v>
      </c>
      <c r="L605" t="s">
        <v>51</v>
      </c>
      <c r="M605" t="s">
        <v>686</v>
      </c>
      <c r="N605">
        <v>0.56000000000000005</v>
      </c>
      <c r="O605" t="s">
        <v>33</v>
      </c>
      <c r="P605" t="s">
        <v>61</v>
      </c>
      <c r="Q605" t="s">
        <v>175</v>
      </c>
      <c r="R605" t="s">
        <v>1180</v>
      </c>
      <c r="S605">
        <v>60174</v>
      </c>
      <c r="T605" s="1">
        <v>42132</v>
      </c>
      <c r="U605" s="1">
        <v>42133</v>
      </c>
      <c r="V605" s="2">
        <v>9.8620000000000001</v>
      </c>
      <c r="W605">
        <v>14</v>
      </c>
      <c r="X605" s="2">
        <v>196.41</v>
      </c>
      <c r="Y605">
        <v>88461</v>
      </c>
      <c r="Z605">
        <f t="shared" si="9"/>
        <v>2749.74</v>
      </c>
    </row>
    <row r="606" spans="1:26" x14ac:dyDescent="0.25">
      <c r="A606">
        <v>24324</v>
      </c>
      <c r="B606" t="s">
        <v>37</v>
      </c>
      <c r="C606" s="2">
        <v>7.0000000000000007E-2</v>
      </c>
      <c r="D606" s="2">
        <v>55.99</v>
      </c>
      <c r="E606" s="2">
        <v>5</v>
      </c>
      <c r="F606">
        <v>1083</v>
      </c>
      <c r="G606" t="s">
        <v>1181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392</v>
      </c>
      <c r="N606">
        <v>0.83</v>
      </c>
      <c r="O606" t="s">
        <v>33</v>
      </c>
      <c r="P606" t="s">
        <v>61</v>
      </c>
      <c r="Q606" t="s">
        <v>175</v>
      </c>
      <c r="R606" t="s">
        <v>1182</v>
      </c>
      <c r="S606">
        <v>62701</v>
      </c>
      <c r="T606" s="1">
        <v>42094</v>
      </c>
      <c r="U606" s="1">
        <v>42096</v>
      </c>
      <c r="V606" s="2">
        <v>-232.99100000000001</v>
      </c>
      <c r="W606">
        <v>1</v>
      </c>
      <c r="X606" s="2">
        <v>54.08</v>
      </c>
      <c r="Y606">
        <v>88460</v>
      </c>
      <c r="Z606">
        <f t="shared" si="9"/>
        <v>54.08</v>
      </c>
    </row>
    <row r="607" spans="1:26" x14ac:dyDescent="0.25">
      <c r="A607">
        <v>18047</v>
      </c>
      <c r="B607" t="s">
        <v>37</v>
      </c>
      <c r="C607" s="2">
        <v>0.05</v>
      </c>
      <c r="D607" s="2">
        <v>7.64</v>
      </c>
      <c r="E607" s="2">
        <v>5.83</v>
      </c>
      <c r="F607">
        <v>1085</v>
      </c>
      <c r="G607" t="s">
        <v>1183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1016</v>
      </c>
      <c r="N607">
        <v>0.36</v>
      </c>
      <c r="O607" t="s">
        <v>33</v>
      </c>
      <c r="P607" t="s">
        <v>53</v>
      </c>
      <c r="Q607" t="s">
        <v>71</v>
      </c>
      <c r="R607" t="s">
        <v>1184</v>
      </c>
      <c r="S607">
        <v>11729</v>
      </c>
      <c r="T607" s="1">
        <v>42009</v>
      </c>
      <c r="U607" s="1">
        <v>42010</v>
      </c>
      <c r="V607" s="2">
        <v>-40.275199999999998</v>
      </c>
      <c r="W607">
        <v>6</v>
      </c>
      <c r="X607" s="2">
        <v>47.18</v>
      </c>
      <c r="Y607">
        <v>86122</v>
      </c>
      <c r="Z607">
        <f t="shared" si="9"/>
        <v>283.08</v>
      </c>
    </row>
    <row r="608" spans="1:26" x14ac:dyDescent="0.25">
      <c r="A608">
        <v>25279</v>
      </c>
      <c r="B608" t="s">
        <v>25</v>
      </c>
      <c r="C608" s="2">
        <v>0.04</v>
      </c>
      <c r="D608" s="2">
        <v>9.06</v>
      </c>
      <c r="E608" s="2">
        <v>9.86</v>
      </c>
      <c r="F608">
        <v>1085</v>
      </c>
      <c r="G608" t="s">
        <v>1183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594</v>
      </c>
      <c r="N608">
        <v>0.4</v>
      </c>
      <c r="O608" t="s">
        <v>33</v>
      </c>
      <c r="P608" t="s">
        <v>53</v>
      </c>
      <c r="Q608" t="s">
        <v>71</v>
      </c>
      <c r="R608" t="s">
        <v>1184</v>
      </c>
      <c r="S608">
        <v>11729</v>
      </c>
      <c r="T608" s="1">
        <v>42118</v>
      </c>
      <c r="U608" s="1">
        <v>42119</v>
      </c>
      <c r="V608" s="2">
        <v>-53.25</v>
      </c>
      <c r="W608">
        <v>3</v>
      </c>
      <c r="X608" s="2">
        <v>30.87</v>
      </c>
      <c r="Y608">
        <v>86123</v>
      </c>
      <c r="Z608">
        <f t="shared" si="9"/>
        <v>92.61</v>
      </c>
    </row>
    <row r="609" spans="1:26" x14ac:dyDescent="0.25">
      <c r="A609">
        <v>23104</v>
      </c>
      <c r="B609" t="s">
        <v>37</v>
      </c>
      <c r="C609" s="2">
        <v>0.06</v>
      </c>
      <c r="D609" s="2">
        <v>30.42</v>
      </c>
      <c r="E609" s="2">
        <v>8.65</v>
      </c>
      <c r="F609">
        <v>1085</v>
      </c>
      <c r="G609" t="s">
        <v>1183</v>
      </c>
      <c r="H609" t="s">
        <v>49</v>
      </c>
      <c r="I609" t="s">
        <v>28</v>
      </c>
      <c r="J609" t="s">
        <v>77</v>
      </c>
      <c r="K609" t="s">
        <v>177</v>
      </c>
      <c r="L609" t="s">
        <v>59</v>
      </c>
      <c r="M609" t="s">
        <v>1185</v>
      </c>
      <c r="N609">
        <v>0.74</v>
      </c>
      <c r="O609" t="s">
        <v>33</v>
      </c>
      <c r="P609" t="s">
        <v>53</v>
      </c>
      <c r="Q609" t="s">
        <v>71</v>
      </c>
      <c r="R609" t="s">
        <v>1184</v>
      </c>
      <c r="S609">
        <v>11729</v>
      </c>
      <c r="T609" s="1">
        <v>42137</v>
      </c>
      <c r="U609" s="1">
        <v>42139</v>
      </c>
      <c r="V609" s="2">
        <v>-159.25</v>
      </c>
      <c r="W609">
        <v>10</v>
      </c>
      <c r="X609" s="2">
        <v>309.05</v>
      </c>
      <c r="Y609">
        <v>86124</v>
      </c>
      <c r="Z609">
        <f t="shared" si="9"/>
        <v>3090.5</v>
      </c>
    </row>
    <row r="610" spans="1:26" x14ac:dyDescent="0.25">
      <c r="A610">
        <v>23105</v>
      </c>
      <c r="B610" t="s">
        <v>37</v>
      </c>
      <c r="C610" s="2">
        <v>0.02</v>
      </c>
      <c r="D610" s="2">
        <v>37.94</v>
      </c>
      <c r="E610" s="2">
        <v>5.08</v>
      </c>
      <c r="F610">
        <v>1085</v>
      </c>
      <c r="G610" t="s">
        <v>1183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883</v>
      </c>
      <c r="N610">
        <v>0.38</v>
      </c>
      <c r="O610" t="s">
        <v>33</v>
      </c>
      <c r="P610" t="s">
        <v>53</v>
      </c>
      <c r="Q610" t="s">
        <v>71</v>
      </c>
      <c r="R610" t="s">
        <v>1184</v>
      </c>
      <c r="S610">
        <v>11729</v>
      </c>
      <c r="T610" s="1">
        <v>42137</v>
      </c>
      <c r="U610" s="1">
        <v>42138</v>
      </c>
      <c r="V610" s="2">
        <v>206.517</v>
      </c>
      <c r="W610">
        <v>8</v>
      </c>
      <c r="X610" s="2">
        <v>299.3</v>
      </c>
      <c r="Y610">
        <v>86124</v>
      </c>
      <c r="Z610">
        <f t="shared" si="9"/>
        <v>2394.4</v>
      </c>
    </row>
    <row r="611" spans="1:26" x14ac:dyDescent="0.25">
      <c r="A611">
        <v>25280</v>
      </c>
      <c r="B611" t="s">
        <v>25</v>
      </c>
      <c r="C611" s="2">
        <v>0.04</v>
      </c>
      <c r="D611" s="2">
        <v>14.27</v>
      </c>
      <c r="E611" s="2">
        <v>7.27</v>
      </c>
      <c r="F611">
        <v>1086</v>
      </c>
      <c r="G611" t="s">
        <v>1186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1187</v>
      </c>
      <c r="N611">
        <v>0.38</v>
      </c>
      <c r="O611" t="s">
        <v>33</v>
      </c>
      <c r="P611" t="s">
        <v>53</v>
      </c>
      <c r="Q611" t="s">
        <v>71</v>
      </c>
      <c r="R611" t="s">
        <v>1188</v>
      </c>
      <c r="S611">
        <v>11746</v>
      </c>
      <c r="T611" s="1">
        <v>42118</v>
      </c>
      <c r="U611" s="1">
        <v>42119</v>
      </c>
      <c r="V611" s="2">
        <v>2.125</v>
      </c>
      <c r="W611">
        <v>3</v>
      </c>
      <c r="X611" s="2">
        <v>45.24</v>
      </c>
      <c r="Y611">
        <v>86123</v>
      </c>
      <c r="Z611">
        <f t="shared" si="9"/>
        <v>135.72</v>
      </c>
    </row>
    <row r="612" spans="1:26" x14ac:dyDescent="0.25">
      <c r="A612">
        <v>22537</v>
      </c>
      <c r="B612" t="s">
        <v>56</v>
      </c>
      <c r="C612" s="2">
        <v>0.02</v>
      </c>
      <c r="D612" s="2">
        <v>15.14</v>
      </c>
      <c r="E612" s="2">
        <v>4.53</v>
      </c>
      <c r="F612">
        <v>1101</v>
      </c>
      <c r="G612" t="s">
        <v>1189</v>
      </c>
      <c r="H612" t="s">
        <v>49</v>
      </c>
      <c r="I612" t="s">
        <v>58</v>
      </c>
      <c r="J612" t="s">
        <v>29</v>
      </c>
      <c r="K612" t="s">
        <v>139</v>
      </c>
      <c r="L612" t="s">
        <v>59</v>
      </c>
      <c r="M612" t="s">
        <v>1190</v>
      </c>
      <c r="N612">
        <v>0.81</v>
      </c>
      <c r="O612" t="s">
        <v>33</v>
      </c>
      <c r="P612" t="s">
        <v>34</v>
      </c>
      <c r="Q612" t="s">
        <v>45</v>
      </c>
      <c r="R612" t="s">
        <v>1081</v>
      </c>
      <c r="S612">
        <v>93030</v>
      </c>
      <c r="T612" s="1">
        <v>42129</v>
      </c>
      <c r="U612" s="1">
        <v>42130</v>
      </c>
      <c r="V612" s="2">
        <v>5.8840000000000003</v>
      </c>
      <c r="W612">
        <v>3</v>
      </c>
      <c r="X612" s="2">
        <v>51.02</v>
      </c>
      <c r="Y612">
        <v>91488</v>
      </c>
      <c r="Z612">
        <f t="shared" si="9"/>
        <v>153.06</v>
      </c>
    </row>
    <row r="613" spans="1:26" x14ac:dyDescent="0.25">
      <c r="A613">
        <v>21847</v>
      </c>
      <c r="B613" t="s">
        <v>37</v>
      </c>
      <c r="C613" s="2">
        <v>0.05</v>
      </c>
      <c r="D613" s="2">
        <v>328.14</v>
      </c>
      <c r="E613" s="2">
        <v>91.05</v>
      </c>
      <c r="F613">
        <v>1103</v>
      </c>
      <c r="G613" t="s">
        <v>1191</v>
      </c>
      <c r="H613" t="s">
        <v>39</v>
      </c>
      <c r="I613" t="s">
        <v>40</v>
      </c>
      <c r="J613" t="s">
        <v>29</v>
      </c>
      <c r="K613" t="s">
        <v>252</v>
      </c>
      <c r="L613" t="s">
        <v>43</v>
      </c>
      <c r="M613" t="s">
        <v>462</v>
      </c>
      <c r="N613">
        <v>0.56999999999999995</v>
      </c>
      <c r="O613" t="s">
        <v>33</v>
      </c>
      <c r="P613" t="s">
        <v>61</v>
      </c>
      <c r="Q613" t="s">
        <v>489</v>
      </c>
      <c r="R613" t="s">
        <v>1192</v>
      </c>
      <c r="S613">
        <v>68046</v>
      </c>
      <c r="T613" s="1">
        <v>42104</v>
      </c>
      <c r="U613" s="1">
        <v>42105</v>
      </c>
      <c r="V613" s="2">
        <v>772.04</v>
      </c>
      <c r="W613">
        <v>7</v>
      </c>
      <c r="X613" s="2">
        <v>2291.39</v>
      </c>
      <c r="Y613">
        <v>90977</v>
      </c>
      <c r="Z613">
        <f t="shared" si="9"/>
        <v>16039.73</v>
      </c>
    </row>
    <row r="614" spans="1:26" x14ac:dyDescent="0.25">
      <c r="A614">
        <v>3847</v>
      </c>
      <c r="B614" t="s">
        <v>37</v>
      </c>
      <c r="C614" s="2">
        <v>0.05</v>
      </c>
      <c r="D614" s="2">
        <v>328.14</v>
      </c>
      <c r="E614" s="2">
        <v>91.05</v>
      </c>
      <c r="F614">
        <v>1104</v>
      </c>
      <c r="G614" t="s">
        <v>1193</v>
      </c>
      <c r="H614" t="s">
        <v>39</v>
      </c>
      <c r="I614" t="s">
        <v>40</v>
      </c>
      <c r="J614" t="s">
        <v>29</v>
      </c>
      <c r="K614" t="s">
        <v>252</v>
      </c>
      <c r="L614" t="s">
        <v>43</v>
      </c>
      <c r="M614" t="s">
        <v>462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1">
        <v>42104</v>
      </c>
      <c r="U614" s="1">
        <v>42105</v>
      </c>
      <c r="V614" s="2">
        <v>772.04</v>
      </c>
      <c r="W614">
        <v>29</v>
      </c>
      <c r="X614" s="2">
        <v>9492.92</v>
      </c>
      <c r="Y614">
        <v>27456</v>
      </c>
      <c r="Z614">
        <f t="shared" si="9"/>
        <v>275294.68</v>
      </c>
    </row>
    <row r="615" spans="1:26" x14ac:dyDescent="0.25">
      <c r="A615">
        <v>2808</v>
      </c>
      <c r="B615" t="s">
        <v>56</v>
      </c>
      <c r="C615" s="2">
        <v>0.04</v>
      </c>
      <c r="D615" s="2">
        <v>6.35</v>
      </c>
      <c r="E615" s="2">
        <v>1.02</v>
      </c>
      <c r="F615">
        <v>1106</v>
      </c>
      <c r="G615" t="s">
        <v>1194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878</v>
      </c>
      <c r="N615">
        <v>0.39</v>
      </c>
      <c r="O615" t="s">
        <v>33</v>
      </c>
      <c r="P615" t="s">
        <v>61</v>
      </c>
      <c r="Q615" t="s">
        <v>129</v>
      </c>
      <c r="R615" t="s">
        <v>778</v>
      </c>
      <c r="S615">
        <v>75220</v>
      </c>
      <c r="T615" s="1">
        <v>42144</v>
      </c>
      <c r="U615" s="1">
        <v>42147</v>
      </c>
      <c r="V615" s="2">
        <v>81.91</v>
      </c>
      <c r="W615">
        <v>52</v>
      </c>
      <c r="X615" s="2">
        <v>318.47000000000003</v>
      </c>
      <c r="Y615">
        <v>20261</v>
      </c>
      <c r="Z615">
        <f t="shared" si="9"/>
        <v>16560.440000000002</v>
      </c>
    </row>
    <row r="616" spans="1:26" x14ac:dyDescent="0.25">
      <c r="A616">
        <v>106</v>
      </c>
      <c r="B616" t="s">
        <v>25</v>
      </c>
      <c r="C616" s="2">
        <v>0.01</v>
      </c>
      <c r="D616" s="2">
        <v>9.31</v>
      </c>
      <c r="E616" s="2">
        <v>3.98</v>
      </c>
      <c r="F616">
        <v>1106</v>
      </c>
      <c r="G616" t="s">
        <v>1194</v>
      </c>
      <c r="H616" t="s">
        <v>49</v>
      </c>
      <c r="I616" t="s">
        <v>58</v>
      </c>
      <c r="J616" t="s">
        <v>29</v>
      </c>
      <c r="K616" t="s">
        <v>171</v>
      </c>
      <c r="L616" t="s">
        <v>51</v>
      </c>
      <c r="M616" t="s">
        <v>1195</v>
      </c>
      <c r="N616">
        <v>0.56000000000000005</v>
      </c>
      <c r="O616" t="s">
        <v>33</v>
      </c>
      <c r="P616" t="s">
        <v>61</v>
      </c>
      <c r="Q616" t="s">
        <v>129</v>
      </c>
      <c r="R616" t="s">
        <v>778</v>
      </c>
      <c r="S616">
        <v>75220</v>
      </c>
      <c r="T616" s="1">
        <v>42145</v>
      </c>
      <c r="U616" s="1">
        <v>42146</v>
      </c>
      <c r="V616" s="2">
        <v>-10.9</v>
      </c>
      <c r="W616">
        <v>61</v>
      </c>
      <c r="X616" s="2">
        <v>586.96</v>
      </c>
      <c r="Y616">
        <v>646</v>
      </c>
      <c r="Z616">
        <f t="shared" si="9"/>
        <v>35804.560000000005</v>
      </c>
    </row>
    <row r="617" spans="1:26" x14ac:dyDescent="0.25">
      <c r="A617">
        <v>6443</v>
      </c>
      <c r="B617" t="s">
        <v>37</v>
      </c>
      <c r="C617" s="2">
        <v>0.08</v>
      </c>
      <c r="D617" s="2">
        <v>140.81</v>
      </c>
      <c r="E617" s="2">
        <v>24.49</v>
      </c>
      <c r="F617">
        <v>1106</v>
      </c>
      <c r="G617" t="s">
        <v>1194</v>
      </c>
      <c r="H617" t="s">
        <v>49</v>
      </c>
      <c r="I617" t="s">
        <v>114</v>
      </c>
      <c r="J617" t="s">
        <v>41</v>
      </c>
      <c r="K617" t="s">
        <v>42</v>
      </c>
      <c r="L617" t="s">
        <v>231</v>
      </c>
      <c r="M617" t="s">
        <v>1196</v>
      </c>
      <c r="N617">
        <v>0.56999999999999995</v>
      </c>
      <c r="O617" t="s">
        <v>33</v>
      </c>
      <c r="P617" t="s">
        <v>61</v>
      </c>
      <c r="Q617" t="s">
        <v>129</v>
      </c>
      <c r="R617" t="s">
        <v>778</v>
      </c>
      <c r="S617">
        <v>75220</v>
      </c>
      <c r="T617" s="1">
        <v>42161</v>
      </c>
      <c r="U617" s="1">
        <v>42163</v>
      </c>
      <c r="V617" s="2">
        <v>1232.79</v>
      </c>
      <c r="W617">
        <v>81</v>
      </c>
      <c r="X617" s="2">
        <v>11272.77</v>
      </c>
      <c r="Y617">
        <v>45824</v>
      </c>
      <c r="Z617">
        <f t="shared" si="9"/>
        <v>913094.37</v>
      </c>
    </row>
    <row r="618" spans="1:26" x14ac:dyDescent="0.25">
      <c r="A618">
        <v>18106</v>
      </c>
      <c r="B618" t="s">
        <v>25</v>
      </c>
      <c r="C618" s="2">
        <v>0.01</v>
      </c>
      <c r="D618" s="2">
        <v>9.31</v>
      </c>
      <c r="E618" s="2">
        <v>3.98</v>
      </c>
      <c r="F618">
        <v>1107</v>
      </c>
      <c r="G618" t="s">
        <v>1197</v>
      </c>
      <c r="H618" t="s">
        <v>49</v>
      </c>
      <c r="I618" t="s">
        <v>58</v>
      </c>
      <c r="J618" t="s">
        <v>29</v>
      </c>
      <c r="K618" t="s">
        <v>171</v>
      </c>
      <c r="L618" t="s">
        <v>51</v>
      </c>
      <c r="M618" t="s">
        <v>1195</v>
      </c>
      <c r="N618">
        <v>0.56000000000000005</v>
      </c>
      <c r="O618" t="s">
        <v>33</v>
      </c>
      <c r="P618" t="s">
        <v>61</v>
      </c>
      <c r="Q618" t="s">
        <v>129</v>
      </c>
      <c r="R618" t="s">
        <v>1198</v>
      </c>
      <c r="S618">
        <v>77566</v>
      </c>
      <c r="T618" s="1">
        <v>42145</v>
      </c>
      <c r="U618" s="1">
        <v>42146</v>
      </c>
      <c r="V618" s="2">
        <v>2.1800000000000002</v>
      </c>
      <c r="W618">
        <v>15</v>
      </c>
      <c r="X618" s="2">
        <v>144.33000000000001</v>
      </c>
      <c r="Y618">
        <v>86411</v>
      </c>
      <c r="Z618">
        <f t="shared" si="9"/>
        <v>2164.9500000000003</v>
      </c>
    </row>
    <row r="619" spans="1:26" x14ac:dyDescent="0.25">
      <c r="A619">
        <v>20807</v>
      </c>
      <c r="B619" t="s">
        <v>56</v>
      </c>
      <c r="C619" s="2">
        <v>0.09</v>
      </c>
      <c r="D619" s="2">
        <v>31.74</v>
      </c>
      <c r="E619" s="2">
        <v>12.62</v>
      </c>
      <c r="F619">
        <v>1108</v>
      </c>
      <c r="G619" t="s">
        <v>1199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1047</v>
      </c>
      <c r="N619">
        <v>0.37</v>
      </c>
      <c r="O619" t="s">
        <v>33</v>
      </c>
      <c r="P619" t="s">
        <v>61</v>
      </c>
      <c r="Q619" t="s">
        <v>129</v>
      </c>
      <c r="R619" t="s">
        <v>1200</v>
      </c>
      <c r="S619">
        <v>75146</v>
      </c>
      <c r="T619" s="1">
        <v>42144</v>
      </c>
      <c r="U619" s="1">
        <v>42144</v>
      </c>
      <c r="V619" s="2">
        <v>67.107500000000002</v>
      </c>
      <c r="W619">
        <v>9</v>
      </c>
      <c r="X619" s="2">
        <v>270.55</v>
      </c>
      <c r="Y619">
        <v>86409</v>
      </c>
      <c r="Z619">
        <f t="shared" si="9"/>
        <v>2434.9500000000003</v>
      </c>
    </row>
    <row r="620" spans="1:26" x14ac:dyDescent="0.25">
      <c r="A620">
        <v>20808</v>
      </c>
      <c r="B620" t="s">
        <v>56</v>
      </c>
      <c r="C620" s="2">
        <v>0.04</v>
      </c>
      <c r="D620" s="2">
        <v>6.35</v>
      </c>
      <c r="E620" s="2">
        <v>1.02</v>
      </c>
      <c r="F620">
        <v>1108</v>
      </c>
      <c r="G620" t="s">
        <v>1199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878</v>
      </c>
      <c r="N620">
        <v>0.39</v>
      </c>
      <c r="O620" t="s">
        <v>33</v>
      </c>
      <c r="P620" t="s">
        <v>61</v>
      </c>
      <c r="Q620" t="s">
        <v>129</v>
      </c>
      <c r="R620" t="s">
        <v>1200</v>
      </c>
      <c r="S620">
        <v>75146</v>
      </c>
      <c r="T620" s="1">
        <v>42144</v>
      </c>
      <c r="U620" s="1">
        <v>42147</v>
      </c>
      <c r="V620" s="2">
        <v>54.937800000000003</v>
      </c>
      <c r="W620">
        <v>13</v>
      </c>
      <c r="X620" s="2">
        <v>79.62</v>
      </c>
      <c r="Y620">
        <v>86409</v>
      </c>
      <c r="Z620">
        <f t="shared" si="9"/>
        <v>1035.06</v>
      </c>
    </row>
    <row r="621" spans="1:26" x14ac:dyDescent="0.25">
      <c r="A621">
        <v>20809</v>
      </c>
      <c r="B621" t="s">
        <v>56</v>
      </c>
      <c r="C621" s="2">
        <v>0.02</v>
      </c>
      <c r="D621" s="2">
        <v>65.989999999999995</v>
      </c>
      <c r="E621" s="2">
        <v>8.99</v>
      </c>
      <c r="F621">
        <v>1108</v>
      </c>
      <c r="G621" t="s">
        <v>1199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608</v>
      </c>
      <c r="N621">
        <v>0.56000000000000005</v>
      </c>
      <c r="O621" t="s">
        <v>33</v>
      </c>
      <c r="P621" t="s">
        <v>61</v>
      </c>
      <c r="Q621" t="s">
        <v>129</v>
      </c>
      <c r="R621" t="s">
        <v>1200</v>
      </c>
      <c r="S621">
        <v>75146</v>
      </c>
      <c r="T621" s="1">
        <v>42144</v>
      </c>
      <c r="U621" s="1">
        <v>42145</v>
      </c>
      <c r="V621" s="2">
        <v>168.23699999999999</v>
      </c>
      <c r="W621">
        <v>8</v>
      </c>
      <c r="X621" s="2">
        <v>479.79</v>
      </c>
      <c r="Y621">
        <v>86409</v>
      </c>
      <c r="Z621">
        <f t="shared" si="9"/>
        <v>3838.32</v>
      </c>
    </row>
    <row r="622" spans="1:26" x14ac:dyDescent="0.25">
      <c r="A622">
        <v>22480</v>
      </c>
      <c r="B622" t="s">
        <v>56</v>
      </c>
      <c r="C622" s="2">
        <v>0.08</v>
      </c>
      <c r="D622" s="2">
        <v>8.3699999999999992</v>
      </c>
      <c r="E622" s="2">
        <v>10.16</v>
      </c>
      <c r="F622">
        <v>1109</v>
      </c>
      <c r="G622" t="s">
        <v>1201</v>
      </c>
      <c r="H622" t="s">
        <v>49</v>
      </c>
      <c r="I622" t="s">
        <v>114</v>
      </c>
      <c r="J622" t="s">
        <v>41</v>
      </c>
      <c r="K622" t="s">
        <v>50</v>
      </c>
      <c r="L622" t="s">
        <v>231</v>
      </c>
      <c r="M622" t="s">
        <v>1202</v>
      </c>
      <c r="N622">
        <v>0.59</v>
      </c>
      <c r="O622" t="s">
        <v>33</v>
      </c>
      <c r="P622" t="s">
        <v>61</v>
      </c>
      <c r="Q622" t="s">
        <v>129</v>
      </c>
      <c r="R622" t="s">
        <v>1203</v>
      </c>
      <c r="S622">
        <v>78041</v>
      </c>
      <c r="T622" s="1">
        <v>42184</v>
      </c>
      <c r="U622" s="1">
        <v>42184</v>
      </c>
      <c r="V622" s="2">
        <v>-169.232</v>
      </c>
      <c r="W622">
        <v>13</v>
      </c>
      <c r="X622" s="2">
        <v>108.99</v>
      </c>
      <c r="Y622">
        <v>86410</v>
      </c>
      <c r="Z622">
        <f t="shared" si="9"/>
        <v>1416.87</v>
      </c>
    </row>
    <row r="623" spans="1:26" x14ac:dyDescent="0.25">
      <c r="A623">
        <v>20176</v>
      </c>
      <c r="B623" t="s">
        <v>37</v>
      </c>
      <c r="C623" s="2">
        <v>0.03</v>
      </c>
      <c r="D623" s="2">
        <v>300.98</v>
      </c>
      <c r="E623" s="2">
        <v>54.92</v>
      </c>
      <c r="F623">
        <v>1112</v>
      </c>
      <c r="G623" t="s">
        <v>1204</v>
      </c>
      <c r="H623" t="s">
        <v>39</v>
      </c>
      <c r="I623" t="s">
        <v>28</v>
      </c>
      <c r="J623" t="s">
        <v>41</v>
      </c>
      <c r="K623" t="s">
        <v>187</v>
      </c>
      <c r="L623" t="s">
        <v>120</v>
      </c>
      <c r="M623" t="s">
        <v>188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1205</v>
      </c>
      <c r="S623">
        <v>92399</v>
      </c>
      <c r="T623" s="1">
        <v>42096</v>
      </c>
      <c r="U623" s="1">
        <v>42098</v>
      </c>
      <c r="V623" s="2">
        <v>1272.5808</v>
      </c>
      <c r="W623">
        <v>12</v>
      </c>
      <c r="X623" s="2">
        <v>3527.82</v>
      </c>
      <c r="Y623">
        <v>90832</v>
      </c>
      <c r="Z623">
        <f t="shared" si="9"/>
        <v>42333.840000000004</v>
      </c>
    </row>
    <row r="624" spans="1:26" x14ac:dyDescent="0.25">
      <c r="A624">
        <v>20177</v>
      </c>
      <c r="B624" t="s">
        <v>37</v>
      </c>
      <c r="C624" s="2">
        <v>0.02</v>
      </c>
      <c r="D624" s="2">
        <v>2550.14</v>
      </c>
      <c r="E624" s="2">
        <v>29.7</v>
      </c>
      <c r="F624">
        <v>1112</v>
      </c>
      <c r="G624" t="s">
        <v>1204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1206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1205</v>
      </c>
      <c r="S624">
        <v>92399</v>
      </c>
      <c r="T624" s="1">
        <v>42096</v>
      </c>
      <c r="U624" s="1">
        <v>42098</v>
      </c>
      <c r="V624" s="2">
        <v>-5390.7388920000003</v>
      </c>
      <c r="W624">
        <v>2</v>
      </c>
      <c r="X624" s="2">
        <v>4698.21</v>
      </c>
      <c r="Y624">
        <v>90832</v>
      </c>
      <c r="Z624">
        <f t="shared" si="9"/>
        <v>9396.42</v>
      </c>
    </row>
    <row r="625" spans="1:26" x14ac:dyDescent="0.25">
      <c r="A625">
        <v>26060</v>
      </c>
      <c r="B625" t="s">
        <v>47</v>
      </c>
      <c r="C625" s="2">
        <v>0.01</v>
      </c>
      <c r="D625" s="2">
        <v>2.89</v>
      </c>
      <c r="E625" s="2">
        <v>0.5</v>
      </c>
      <c r="F625">
        <v>1113</v>
      </c>
      <c r="G625" t="s">
        <v>1207</v>
      </c>
      <c r="H625" t="s">
        <v>49</v>
      </c>
      <c r="I625" t="s">
        <v>28</v>
      </c>
      <c r="J625" t="s">
        <v>29</v>
      </c>
      <c r="K625" t="s">
        <v>133</v>
      </c>
      <c r="L625" t="s">
        <v>59</v>
      </c>
      <c r="M625" t="s">
        <v>780</v>
      </c>
      <c r="N625">
        <v>0.38</v>
      </c>
      <c r="O625" t="s">
        <v>33</v>
      </c>
      <c r="P625" t="s">
        <v>34</v>
      </c>
      <c r="Q625" t="s">
        <v>250</v>
      </c>
      <c r="R625" t="s">
        <v>1208</v>
      </c>
      <c r="S625">
        <v>80004</v>
      </c>
      <c r="T625" s="1">
        <v>42100</v>
      </c>
      <c r="U625" s="1">
        <v>42101</v>
      </c>
      <c r="V625" s="2">
        <v>29.725200000000001</v>
      </c>
      <c r="W625">
        <v>14</v>
      </c>
      <c r="X625" s="2">
        <v>43.08</v>
      </c>
      <c r="Y625">
        <v>90833</v>
      </c>
      <c r="Z625">
        <f t="shared" si="9"/>
        <v>603.12</v>
      </c>
    </row>
    <row r="626" spans="1:26" x14ac:dyDescent="0.25">
      <c r="A626">
        <v>26061</v>
      </c>
      <c r="B626" t="s">
        <v>47</v>
      </c>
      <c r="C626" s="2">
        <v>0</v>
      </c>
      <c r="D626" s="2">
        <v>55.99</v>
      </c>
      <c r="E626" s="2">
        <v>5</v>
      </c>
      <c r="F626">
        <v>1113</v>
      </c>
      <c r="G626" t="s">
        <v>1207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681</v>
      </c>
      <c r="N626">
        <v>0.8</v>
      </c>
      <c r="O626" t="s">
        <v>33</v>
      </c>
      <c r="P626" t="s">
        <v>34</v>
      </c>
      <c r="Q626" t="s">
        <v>250</v>
      </c>
      <c r="R626" t="s">
        <v>1208</v>
      </c>
      <c r="S626">
        <v>80004</v>
      </c>
      <c r="T626" s="1">
        <v>42100</v>
      </c>
      <c r="U626" s="1">
        <v>42102</v>
      </c>
      <c r="V626" s="2">
        <v>-187.11</v>
      </c>
      <c r="W626">
        <v>5</v>
      </c>
      <c r="X626" s="2">
        <v>258.93</v>
      </c>
      <c r="Y626">
        <v>90833</v>
      </c>
      <c r="Z626">
        <f t="shared" si="9"/>
        <v>1294.6500000000001</v>
      </c>
    </row>
    <row r="627" spans="1:26" x14ac:dyDescent="0.25">
      <c r="A627">
        <v>21579</v>
      </c>
      <c r="B627" t="s">
        <v>37</v>
      </c>
      <c r="C627" s="2">
        <v>0.06</v>
      </c>
      <c r="D627" s="2">
        <v>64.650000000000006</v>
      </c>
      <c r="E627" s="2">
        <v>35</v>
      </c>
      <c r="F627">
        <v>1117</v>
      </c>
      <c r="G627" t="s">
        <v>1209</v>
      </c>
      <c r="H627" t="s">
        <v>49</v>
      </c>
      <c r="I627" t="s">
        <v>40</v>
      </c>
      <c r="J627" t="s">
        <v>29</v>
      </c>
      <c r="K627" t="s">
        <v>139</v>
      </c>
      <c r="L627" t="s">
        <v>231</v>
      </c>
      <c r="M627" t="s">
        <v>919</v>
      </c>
      <c r="N627">
        <v>0.8</v>
      </c>
      <c r="O627" t="s">
        <v>33</v>
      </c>
      <c r="P627" t="s">
        <v>34</v>
      </c>
      <c r="Q627" t="s">
        <v>372</v>
      </c>
      <c r="R627" t="s">
        <v>1210</v>
      </c>
      <c r="S627">
        <v>85705</v>
      </c>
      <c r="T627" s="1">
        <v>42040</v>
      </c>
      <c r="U627" s="1">
        <v>42041</v>
      </c>
      <c r="V627" s="2">
        <v>-139.28720000000001</v>
      </c>
      <c r="W627">
        <v>4</v>
      </c>
      <c r="X627" s="2">
        <v>277.60000000000002</v>
      </c>
      <c r="Y627">
        <v>86768</v>
      </c>
      <c r="Z627">
        <f t="shared" si="9"/>
        <v>1110.4000000000001</v>
      </c>
    </row>
    <row r="628" spans="1:26" x14ac:dyDescent="0.25">
      <c r="A628">
        <v>21329</v>
      </c>
      <c r="B628" t="s">
        <v>106</v>
      </c>
      <c r="C628" s="2">
        <v>0.04</v>
      </c>
      <c r="D628" s="2">
        <v>19.98</v>
      </c>
      <c r="E628" s="2">
        <v>8.68</v>
      </c>
      <c r="F628">
        <v>1121</v>
      </c>
      <c r="G628" t="s">
        <v>1211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1212</v>
      </c>
      <c r="N628">
        <v>0.37</v>
      </c>
      <c r="O628" t="s">
        <v>33</v>
      </c>
      <c r="P628" t="s">
        <v>34</v>
      </c>
      <c r="Q628" t="s">
        <v>45</v>
      </c>
      <c r="R628" t="s">
        <v>1213</v>
      </c>
      <c r="S628">
        <v>92592</v>
      </c>
      <c r="T628" s="1">
        <v>42042</v>
      </c>
      <c r="U628" s="1">
        <v>42049</v>
      </c>
      <c r="V628" s="2">
        <v>108</v>
      </c>
      <c r="W628">
        <v>8</v>
      </c>
      <c r="X628" s="2">
        <v>168.04</v>
      </c>
      <c r="Y628">
        <v>86767</v>
      </c>
      <c r="Z628">
        <f t="shared" si="9"/>
        <v>1344.32</v>
      </c>
    </row>
    <row r="629" spans="1:26" x14ac:dyDescent="0.25">
      <c r="A629">
        <v>21330</v>
      </c>
      <c r="B629" t="s">
        <v>106</v>
      </c>
      <c r="C629" s="2">
        <v>0.08</v>
      </c>
      <c r="D629" s="2">
        <v>125.99</v>
      </c>
      <c r="E629" s="2">
        <v>7.69</v>
      </c>
      <c r="F629">
        <v>1121</v>
      </c>
      <c r="G629" t="s">
        <v>1211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1214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1213</v>
      </c>
      <c r="S629">
        <v>92592</v>
      </c>
      <c r="T629" s="1">
        <v>42042</v>
      </c>
      <c r="U629" s="1">
        <v>42044</v>
      </c>
      <c r="V629" s="2">
        <v>377.154</v>
      </c>
      <c r="W629">
        <v>7</v>
      </c>
      <c r="X629" s="2">
        <v>703.46</v>
      </c>
      <c r="Y629">
        <v>86767</v>
      </c>
      <c r="Z629">
        <f t="shared" si="9"/>
        <v>4924.22</v>
      </c>
    </row>
    <row r="630" spans="1:26" x14ac:dyDescent="0.25">
      <c r="A630">
        <v>20612</v>
      </c>
      <c r="B630" t="s">
        <v>25</v>
      </c>
      <c r="C630" s="2">
        <v>0.03</v>
      </c>
      <c r="D630" s="2">
        <v>7.3</v>
      </c>
      <c r="E630" s="2">
        <v>7.72</v>
      </c>
      <c r="F630">
        <v>1123</v>
      </c>
      <c r="G630" t="s">
        <v>1215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1216</v>
      </c>
      <c r="N630">
        <v>0.38</v>
      </c>
      <c r="O630" t="s">
        <v>33</v>
      </c>
      <c r="P630" t="s">
        <v>34</v>
      </c>
      <c r="Q630" t="s">
        <v>45</v>
      </c>
      <c r="R630" t="s">
        <v>540</v>
      </c>
      <c r="S630">
        <v>95661</v>
      </c>
      <c r="T630" s="1">
        <v>42078</v>
      </c>
      <c r="U630" s="1">
        <v>42081</v>
      </c>
      <c r="V630" s="2">
        <v>-127.05200000000001</v>
      </c>
      <c r="W630">
        <v>14</v>
      </c>
      <c r="X630" s="2">
        <v>103.61</v>
      </c>
      <c r="Y630">
        <v>87015</v>
      </c>
      <c r="Z630">
        <f t="shared" si="9"/>
        <v>1450.54</v>
      </c>
    </row>
    <row r="631" spans="1:26" x14ac:dyDescent="0.25">
      <c r="A631">
        <v>18212</v>
      </c>
      <c r="B631" t="s">
        <v>25</v>
      </c>
      <c r="C631" s="2">
        <v>0.09</v>
      </c>
      <c r="D631" s="2">
        <v>175.99</v>
      </c>
      <c r="E631" s="2">
        <v>4.99</v>
      </c>
      <c r="F631">
        <v>1123</v>
      </c>
      <c r="G631" t="s">
        <v>1215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>
        <v>5165</v>
      </c>
      <c r="N631">
        <v>0.59</v>
      </c>
      <c r="O631" t="s">
        <v>33</v>
      </c>
      <c r="P631" t="s">
        <v>34</v>
      </c>
      <c r="Q631" t="s">
        <v>45</v>
      </c>
      <c r="R631" t="s">
        <v>540</v>
      </c>
      <c r="S631">
        <v>95661</v>
      </c>
      <c r="T631" s="1">
        <v>42175</v>
      </c>
      <c r="U631" s="1">
        <v>42177</v>
      </c>
      <c r="V631" s="2">
        <v>2169.7464</v>
      </c>
      <c r="W631">
        <v>22</v>
      </c>
      <c r="X631" s="2">
        <v>3144.56</v>
      </c>
      <c r="Y631">
        <v>87016</v>
      </c>
      <c r="Z631">
        <f t="shared" si="9"/>
        <v>69180.319999999992</v>
      </c>
    </row>
    <row r="632" spans="1:26" x14ac:dyDescent="0.25">
      <c r="A632">
        <v>18211</v>
      </c>
      <c r="B632" t="s">
        <v>25</v>
      </c>
      <c r="C632" s="2">
        <v>0.09</v>
      </c>
      <c r="D632" s="2">
        <v>160.97999999999999</v>
      </c>
      <c r="E632" s="2">
        <v>35.020000000000003</v>
      </c>
      <c r="F632">
        <v>1124</v>
      </c>
      <c r="G632" t="s">
        <v>1217</v>
      </c>
      <c r="H632" t="s">
        <v>39</v>
      </c>
      <c r="I632" t="s">
        <v>58</v>
      </c>
      <c r="J632" t="s">
        <v>41</v>
      </c>
      <c r="K632" t="s">
        <v>187</v>
      </c>
      <c r="L632" t="s">
        <v>120</v>
      </c>
      <c r="M632" t="s">
        <v>740</v>
      </c>
      <c r="N632">
        <v>0.72</v>
      </c>
      <c r="O632" t="s">
        <v>33</v>
      </c>
      <c r="P632" t="s">
        <v>53</v>
      </c>
      <c r="Q632" t="s">
        <v>223</v>
      </c>
      <c r="R632" t="s">
        <v>1218</v>
      </c>
      <c r="S632">
        <v>6360</v>
      </c>
      <c r="T632" s="1">
        <v>42175</v>
      </c>
      <c r="U632" s="1">
        <v>42176</v>
      </c>
      <c r="V632" s="2">
        <v>-229.93</v>
      </c>
      <c r="W632">
        <v>18</v>
      </c>
      <c r="X632" s="2">
        <v>2653.02</v>
      </c>
      <c r="Y632">
        <v>87016</v>
      </c>
      <c r="Z632">
        <f t="shared" si="9"/>
        <v>47754.36</v>
      </c>
    </row>
    <row r="633" spans="1:26" x14ac:dyDescent="0.25">
      <c r="A633">
        <v>22052</v>
      </c>
      <c r="B633" t="s">
        <v>56</v>
      </c>
      <c r="C633" s="2">
        <v>0.02</v>
      </c>
      <c r="D633" s="2">
        <v>4.0599999999999996</v>
      </c>
      <c r="E633" s="2">
        <v>6.89</v>
      </c>
      <c r="F633">
        <v>1127</v>
      </c>
      <c r="G633" t="s">
        <v>1219</v>
      </c>
      <c r="H633" t="s">
        <v>49</v>
      </c>
      <c r="I633" t="s">
        <v>114</v>
      </c>
      <c r="J633" t="s">
        <v>29</v>
      </c>
      <c r="K633" t="s">
        <v>252</v>
      </c>
      <c r="L633" t="s">
        <v>59</v>
      </c>
      <c r="M633" t="s">
        <v>901</v>
      </c>
      <c r="N633">
        <v>0.6</v>
      </c>
      <c r="O633" t="s">
        <v>33</v>
      </c>
      <c r="P633" t="s">
        <v>61</v>
      </c>
      <c r="Q633" t="s">
        <v>129</v>
      </c>
      <c r="R633" t="s">
        <v>1220</v>
      </c>
      <c r="S633">
        <v>78852</v>
      </c>
      <c r="T633" s="1">
        <v>42059</v>
      </c>
      <c r="U633" s="1">
        <v>42061</v>
      </c>
      <c r="V633" s="2">
        <v>-93.735200000000006</v>
      </c>
      <c r="W633">
        <v>16</v>
      </c>
      <c r="X633" s="2">
        <v>66.81</v>
      </c>
      <c r="Y633">
        <v>87221</v>
      </c>
      <c r="Z633">
        <f t="shared" si="9"/>
        <v>1068.96</v>
      </c>
    </row>
    <row r="634" spans="1:26" x14ac:dyDescent="0.25">
      <c r="A634">
        <v>26377</v>
      </c>
      <c r="B634" t="s">
        <v>106</v>
      </c>
      <c r="C634" s="2">
        <v>0.04</v>
      </c>
      <c r="D634" s="2">
        <v>4.71</v>
      </c>
      <c r="E634" s="2">
        <v>0.7</v>
      </c>
      <c r="F634">
        <v>1127</v>
      </c>
      <c r="G634" t="s">
        <v>1219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1221</v>
      </c>
      <c r="N634">
        <v>0.8</v>
      </c>
      <c r="O634" t="s">
        <v>33</v>
      </c>
      <c r="P634" t="s">
        <v>61</v>
      </c>
      <c r="Q634" t="s">
        <v>129</v>
      </c>
      <c r="R634" t="s">
        <v>1220</v>
      </c>
      <c r="S634">
        <v>78852</v>
      </c>
      <c r="T634" s="1">
        <v>42177</v>
      </c>
      <c r="U634" s="1">
        <v>42181</v>
      </c>
      <c r="V634" s="2">
        <v>4.53</v>
      </c>
      <c r="W634">
        <v>19</v>
      </c>
      <c r="X634" s="2">
        <v>90.52</v>
      </c>
      <c r="Y634">
        <v>87222</v>
      </c>
      <c r="Z634">
        <f t="shared" si="9"/>
        <v>1719.8799999999999</v>
      </c>
    </row>
    <row r="635" spans="1:26" x14ac:dyDescent="0.25">
      <c r="A635">
        <v>26378</v>
      </c>
      <c r="B635" t="s">
        <v>106</v>
      </c>
      <c r="C635" s="2">
        <v>0.06</v>
      </c>
      <c r="D635" s="2">
        <v>4.2</v>
      </c>
      <c r="E635" s="2">
        <v>2.2599999999999998</v>
      </c>
      <c r="F635">
        <v>1128</v>
      </c>
      <c r="G635" t="s">
        <v>1222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1223</v>
      </c>
      <c r="N635">
        <v>0.36</v>
      </c>
      <c r="O635" t="s">
        <v>33</v>
      </c>
      <c r="P635" t="s">
        <v>61</v>
      </c>
      <c r="Q635" t="s">
        <v>129</v>
      </c>
      <c r="R635" t="s">
        <v>1224</v>
      </c>
      <c r="S635">
        <v>78539</v>
      </c>
      <c r="T635" s="1">
        <v>42177</v>
      </c>
      <c r="U635" s="1">
        <v>42182</v>
      </c>
      <c r="V635" s="2">
        <v>9.7799999999999994</v>
      </c>
      <c r="W635">
        <v>13</v>
      </c>
      <c r="X635" s="2">
        <v>55.97</v>
      </c>
      <c r="Y635">
        <v>87222</v>
      </c>
      <c r="Z635">
        <f t="shared" si="9"/>
        <v>727.61</v>
      </c>
    </row>
    <row r="636" spans="1:26" x14ac:dyDescent="0.25">
      <c r="A636">
        <v>4501</v>
      </c>
      <c r="B636" t="s">
        <v>106</v>
      </c>
      <c r="C636" s="2">
        <v>0.04</v>
      </c>
      <c r="D636" s="2">
        <v>8.6</v>
      </c>
      <c r="E636" s="2">
        <v>6.19</v>
      </c>
      <c r="F636">
        <v>1129</v>
      </c>
      <c r="G636" t="s">
        <v>1225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915</v>
      </c>
      <c r="N636">
        <v>0.38</v>
      </c>
      <c r="O636" t="s">
        <v>33</v>
      </c>
      <c r="P636" t="s">
        <v>53</v>
      </c>
      <c r="Q636" t="s">
        <v>189</v>
      </c>
      <c r="R636" t="s">
        <v>190</v>
      </c>
      <c r="S636">
        <v>2118</v>
      </c>
      <c r="T636" s="1">
        <v>42051</v>
      </c>
      <c r="U636" s="1">
        <v>42058</v>
      </c>
      <c r="V636" s="2">
        <v>-63.813499999999998</v>
      </c>
      <c r="W636">
        <v>37</v>
      </c>
      <c r="X636" s="2">
        <v>311.66000000000003</v>
      </c>
      <c r="Y636">
        <v>32037</v>
      </c>
      <c r="Z636">
        <f t="shared" si="9"/>
        <v>11531.42</v>
      </c>
    </row>
    <row r="637" spans="1:26" x14ac:dyDescent="0.25">
      <c r="A637">
        <v>4502</v>
      </c>
      <c r="B637" t="s">
        <v>106</v>
      </c>
      <c r="C637" s="2">
        <v>7.0000000000000007E-2</v>
      </c>
      <c r="D637" s="2">
        <v>699.99</v>
      </c>
      <c r="E637" s="2">
        <v>24.49</v>
      </c>
      <c r="F637">
        <v>1129</v>
      </c>
      <c r="G637" t="s">
        <v>1225</v>
      </c>
      <c r="H637" t="s">
        <v>49</v>
      </c>
      <c r="I637" t="s">
        <v>40</v>
      </c>
      <c r="J637" t="s">
        <v>77</v>
      </c>
      <c r="K637" t="s">
        <v>580</v>
      </c>
      <c r="L637" t="s">
        <v>231</v>
      </c>
      <c r="M637" t="s">
        <v>1226</v>
      </c>
      <c r="N637">
        <v>0.54</v>
      </c>
      <c r="O637" t="s">
        <v>33</v>
      </c>
      <c r="P637" t="s">
        <v>53</v>
      </c>
      <c r="Q637" t="s">
        <v>189</v>
      </c>
      <c r="R637" t="s">
        <v>190</v>
      </c>
      <c r="S637">
        <v>2118</v>
      </c>
      <c r="T637" s="1">
        <v>42051</v>
      </c>
      <c r="U637" s="1">
        <v>42055</v>
      </c>
      <c r="V637" s="2">
        <v>325.29000000000002</v>
      </c>
      <c r="W637">
        <v>15</v>
      </c>
      <c r="X637" s="2">
        <v>9862.51</v>
      </c>
      <c r="Y637">
        <v>32037</v>
      </c>
      <c r="Z637">
        <f t="shared" si="9"/>
        <v>147937.65</v>
      </c>
    </row>
    <row r="638" spans="1:26" x14ac:dyDescent="0.25">
      <c r="A638">
        <v>6891</v>
      </c>
      <c r="B638" t="s">
        <v>37</v>
      </c>
      <c r="C638" s="2">
        <v>0.05</v>
      </c>
      <c r="D638" s="2">
        <v>5.78</v>
      </c>
      <c r="E638" s="2">
        <v>7.64</v>
      </c>
      <c r="F638">
        <v>1129</v>
      </c>
      <c r="G638" t="s">
        <v>1225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1227</v>
      </c>
      <c r="N638">
        <v>0.36</v>
      </c>
      <c r="O638" t="s">
        <v>33</v>
      </c>
      <c r="P638" t="s">
        <v>53</v>
      </c>
      <c r="Q638" t="s">
        <v>189</v>
      </c>
      <c r="R638" t="s">
        <v>190</v>
      </c>
      <c r="S638">
        <v>2118</v>
      </c>
      <c r="T638" s="1">
        <v>42092</v>
      </c>
      <c r="U638" s="1">
        <v>42094</v>
      </c>
      <c r="V638" s="2">
        <v>-116.05</v>
      </c>
      <c r="W638">
        <v>29</v>
      </c>
      <c r="X638" s="2">
        <v>177.41</v>
      </c>
      <c r="Y638">
        <v>49125</v>
      </c>
      <c r="Z638">
        <f t="shared" si="9"/>
        <v>5144.8900000000003</v>
      </c>
    </row>
    <row r="639" spans="1:26" x14ac:dyDescent="0.25">
      <c r="A639">
        <v>1917</v>
      </c>
      <c r="B639" t="s">
        <v>56</v>
      </c>
      <c r="C639" s="2">
        <v>0.02</v>
      </c>
      <c r="D639" s="2">
        <v>7.64</v>
      </c>
      <c r="E639" s="2">
        <v>1.39</v>
      </c>
      <c r="F639">
        <v>1129</v>
      </c>
      <c r="G639" t="s">
        <v>1225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1228</v>
      </c>
      <c r="N639">
        <v>0.36</v>
      </c>
      <c r="O639" t="s">
        <v>33</v>
      </c>
      <c r="P639" t="s">
        <v>53</v>
      </c>
      <c r="Q639" t="s">
        <v>189</v>
      </c>
      <c r="R639" t="s">
        <v>190</v>
      </c>
      <c r="S639">
        <v>2118</v>
      </c>
      <c r="T639" s="1">
        <v>42145</v>
      </c>
      <c r="U639" s="1">
        <v>42147</v>
      </c>
      <c r="V639" s="2">
        <v>117.38</v>
      </c>
      <c r="W639">
        <v>52</v>
      </c>
      <c r="X639" s="2">
        <v>406.91</v>
      </c>
      <c r="Y639">
        <v>13735</v>
      </c>
      <c r="Z639">
        <f t="shared" si="9"/>
        <v>21159.32</v>
      </c>
    </row>
    <row r="640" spans="1:26" x14ac:dyDescent="0.25">
      <c r="A640">
        <v>5568</v>
      </c>
      <c r="B640" t="s">
        <v>106</v>
      </c>
      <c r="C640" s="2">
        <v>0.03</v>
      </c>
      <c r="D640" s="2">
        <v>30.98</v>
      </c>
      <c r="E640" s="2">
        <v>6.5</v>
      </c>
      <c r="F640">
        <v>1129</v>
      </c>
      <c r="G640" t="s">
        <v>1225</v>
      </c>
      <c r="H640" t="s">
        <v>49</v>
      </c>
      <c r="I640" t="s">
        <v>28</v>
      </c>
      <c r="J640" t="s">
        <v>77</v>
      </c>
      <c r="K640" t="s">
        <v>177</v>
      </c>
      <c r="L640" t="s">
        <v>59</v>
      </c>
      <c r="M640" t="s">
        <v>1229</v>
      </c>
      <c r="N640">
        <v>0.79</v>
      </c>
      <c r="O640" t="s">
        <v>33</v>
      </c>
      <c r="P640" t="s">
        <v>53</v>
      </c>
      <c r="Q640" t="s">
        <v>189</v>
      </c>
      <c r="R640" t="s">
        <v>190</v>
      </c>
      <c r="S640">
        <v>2118</v>
      </c>
      <c r="T640" s="1">
        <v>42168</v>
      </c>
      <c r="U640" s="1">
        <v>42172</v>
      </c>
      <c r="V640" s="2">
        <v>-144.19999999999999</v>
      </c>
      <c r="W640">
        <v>44</v>
      </c>
      <c r="X640" s="2">
        <v>1332.09</v>
      </c>
      <c r="Y640">
        <v>39430</v>
      </c>
      <c r="Z640">
        <f t="shared" si="9"/>
        <v>58611.96</v>
      </c>
    </row>
    <row r="641" spans="1:26" x14ac:dyDescent="0.25">
      <c r="A641">
        <v>8099</v>
      </c>
      <c r="B641" t="s">
        <v>106</v>
      </c>
      <c r="C641" s="2">
        <v>0.02</v>
      </c>
      <c r="D641" s="2">
        <v>4.9800000000000004</v>
      </c>
      <c r="E641" s="2">
        <v>6.07</v>
      </c>
      <c r="F641">
        <v>1129</v>
      </c>
      <c r="G641" t="s">
        <v>1225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170</v>
      </c>
      <c r="N641">
        <v>0.36</v>
      </c>
      <c r="O641" t="s">
        <v>33</v>
      </c>
      <c r="P641" t="s">
        <v>53</v>
      </c>
      <c r="Q641" t="s">
        <v>189</v>
      </c>
      <c r="R641" t="s">
        <v>190</v>
      </c>
      <c r="S641">
        <v>2118</v>
      </c>
      <c r="T641" s="1">
        <v>42030</v>
      </c>
      <c r="U641" s="1">
        <v>42032</v>
      </c>
      <c r="V641" s="2">
        <v>-46.92</v>
      </c>
      <c r="W641">
        <v>19</v>
      </c>
      <c r="X641" s="2">
        <v>105.5</v>
      </c>
      <c r="Y641">
        <v>57794</v>
      </c>
      <c r="Z641">
        <f t="shared" si="9"/>
        <v>2004.5</v>
      </c>
    </row>
    <row r="642" spans="1:26" x14ac:dyDescent="0.25">
      <c r="A642">
        <v>19917</v>
      </c>
      <c r="B642" t="s">
        <v>56</v>
      </c>
      <c r="C642" s="2">
        <v>0.02</v>
      </c>
      <c r="D642" s="2">
        <v>7.64</v>
      </c>
      <c r="E642" s="2">
        <v>1.39</v>
      </c>
      <c r="F642">
        <v>1131</v>
      </c>
      <c r="G642" t="s">
        <v>1230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1228</v>
      </c>
      <c r="N642">
        <v>0.36</v>
      </c>
      <c r="O642" t="s">
        <v>33</v>
      </c>
      <c r="P642" t="s">
        <v>61</v>
      </c>
      <c r="Q642" t="s">
        <v>129</v>
      </c>
      <c r="R642" t="s">
        <v>1231</v>
      </c>
      <c r="S642">
        <v>79907</v>
      </c>
      <c r="T642" s="1">
        <v>42145</v>
      </c>
      <c r="U642" s="1">
        <v>42147</v>
      </c>
      <c r="V642" s="2">
        <v>70.193700000000007</v>
      </c>
      <c r="W642">
        <v>13</v>
      </c>
      <c r="X642" s="2">
        <v>101.73</v>
      </c>
      <c r="Y642">
        <v>88103</v>
      </c>
      <c r="Z642">
        <f t="shared" si="9"/>
        <v>1322.49</v>
      </c>
    </row>
    <row r="643" spans="1:26" x14ac:dyDescent="0.25">
      <c r="A643">
        <v>23860</v>
      </c>
      <c r="B643" t="s">
        <v>56</v>
      </c>
      <c r="C643" s="2">
        <v>0.06</v>
      </c>
      <c r="D643" s="2">
        <v>6.37</v>
      </c>
      <c r="E643" s="2">
        <v>5.19</v>
      </c>
      <c r="F643">
        <v>1132</v>
      </c>
      <c r="G643" t="s">
        <v>1232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616</v>
      </c>
      <c r="N643">
        <v>0.38</v>
      </c>
      <c r="O643" t="s">
        <v>33</v>
      </c>
      <c r="P643" t="s">
        <v>61</v>
      </c>
      <c r="Q643" t="s">
        <v>129</v>
      </c>
      <c r="R643" t="s">
        <v>1233</v>
      </c>
      <c r="S643">
        <v>76039</v>
      </c>
      <c r="T643" s="1">
        <v>42045</v>
      </c>
      <c r="U643" s="1">
        <v>42046</v>
      </c>
      <c r="V643" s="2">
        <v>-48.219499999999996</v>
      </c>
      <c r="W643">
        <v>6</v>
      </c>
      <c r="X643" s="2">
        <v>37.700000000000003</v>
      </c>
      <c r="Y643">
        <v>88101</v>
      </c>
      <c r="Z643">
        <f t="shared" ref="Z643:Z706" si="10">W643*X643</f>
        <v>226.20000000000002</v>
      </c>
    </row>
    <row r="644" spans="1:26" x14ac:dyDescent="0.25">
      <c r="A644">
        <v>22501</v>
      </c>
      <c r="B644" t="s">
        <v>106</v>
      </c>
      <c r="C644" s="2">
        <v>0.04</v>
      </c>
      <c r="D644" s="2">
        <v>8.6</v>
      </c>
      <c r="E644" s="2">
        <v>6.19</v>
      </c>
      <c r="F644">
        <v>1132</v>
      </c>
      <c r="G644" t="s">
        <v>1232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915</v>
      </c>
      <c r="N644">
        <v>0.38</v>
      </c>
      <c r="O644" t="s">
        <v>33</v>
      </c>
      <c r="P644" t="s">
        <v>61</v>
      </c>
      <c r="Q644" t="s">
        <v>129</v>
      </c>
      <c r="R644" t="s">
        <v>1233</v>
      </c>
      <c r="S644">
        <v>76039</v>
      </c>
      <c r="T644" s="1">
        <v>42051</v>
      </c>
      <c r="U644" s="1">
        <v>42058</v>
      </c>
      <c r="V644" s="2">
        <v>-63.813499999999998</v>
      </c>
      <c r="W644">
        <v>9</v>
      </c>
      <c r="X644" s="2">
        <v>75.81</v>
      </c>
      <c r="Y644">
        <v>88102</v>
      </c>
      <c r="Z644">
        <f t="shared" si="10"/>
        <v>682.29</v>
      </c>
    </row>
    <row r="645" spans="1:26" x14ac:dyDescent="0.25">
      <c r="A645">
        <v>22502</v>
      </c>
      <c r="B645" t="s">
        <v>106</v>
      </c>
      <c r="C645" s="2">
        <v>7.0000000000000007E-2</v>
      </c>
      <c r="D645" s="2">
        <v>699.99</v>
      </c>
      <c r="E645" s="2">
        <v>24.49</v>
      </c>
      <c r="F645">
        <v>1132</v>
      </c>
      <c r="G645" t="s">
        <v>1232</v>
      </c>
      <c r="H645" t="s">
        <v>49</v>
      </c>
      <c r="I645" t="s">
        <v>40</v>
      </c>
      <c r="J645" t="s">
        <v>77</v>
      </c>
      <c r="K645" t="s">
        <v>580</v>
      </c>
      <c r="L645" t="s">
        <v>231</v>
      </c>
      <c r="M645" t="s">
        <v>1226</v>
      </c>
      <c r="N645">
        <v>0.54</v>
      </c>
      <c r="O645" t="s">
        <v>33</v>
      </c>
      <c r="P645" t="s">
        <v>61</v>
      </c>
      <c r="Q645" t="s">
        <v>129</v>
      </c>
      <c r="R645" t="s">
        <v>1233</v>
      </c>
      <c r="S645">
        <v>76039</v>
      </c>
      <c r="T645" s="1">
        <v>42051</v>
      </c>
      <c r="U645" s="1">
        <v>42055</v>
      </c>
      <c r="V645" s="2">
        <v>325.29000000000002</v>
      </c>
      <c r="W645">
        <v>4</v>
      </c>
      <c r="X645" s="2">
        <v>2630</v>
      </c>
      <c r="Y645">
        <v>88102</v>
      </c>
      <c r="Z645">
        <f t="shared" si="10"/>
        <v>10520</v>
      </c>
    </row>
    <row r="646" spans="1:26" x14ac:dyDescent="0.25">
      <c r="A646">
        <v>23568</v>
      </c>
      <c r="B646" t="s">
        <v>106</v>
      </c>
      <c r="C646" s="2">
        <v>0.03</v>
      </c>
      <c r="D646" s="2">
        <v>30.98</v>
      </c>
      <c r="E646" s="2">
        <v>6.5</v>
      </c>
      <c r="F646">
        <v>1132</v>
      </c>
      <c r="G646" t="s">
        <v>1232</v>
      </c>
      <c r="H646" t="s">
        <v>49</v>
      </c>
      <c r="I646" t="s">
        <v>28</v>
      </c>
      <c r="J646" t="s">
        <v>77</v>
      </c>
      <c r="K646" t="s">
        <v>177</v>
      </c>
      <c r="L646" t="s">
        <v>59</v>
      </c>
      <c r="M646" t="s">
        <v>1229</v>
      </c>
      <c r="N646">
        <v>0.79</v>
      </c>
      <c r="O646" t="s">
        <v>33</v>
      </c>
      <c r="P646" t="s">
        <v>61</v>
      </c>
      <c r="Q646" t="s">
        <v>129</v>
      </c>
      <c r="R646" t="s">
        <v>1233</v>
      </c>
      <c r="S646">
        <v>76039</v>
      </c>
      <c r="T646" s="1">
        <v>42168</v>
      </c>
      <c r="U646" s="1">
        <v>42172</v>
      </c>
      <c r="V646" s="2">
        <v>-115.36</v>
      </c>
      <c r="W646">
        <v>11</v>
      </c>
      <c r="X646" s="2">
        <v>333.02</v>
      </c>
      <c r="Y646">
        <v>88104</v>
      </c>
      <c r="Z646">
        <f t="shared" si="10"/>
        <v>3663.22</v>
      </c>
    </row>
    <row r="647" spans="1:26" x14ac:dyDescent="0.25">
      <c r="A647">
        <v>26099</v>
      </c>
      <c r="B647" t="s">
        <v>106</v>
      </c>
      <c r="C647" s="2">
        <v>0.02</v>
      </c>
      <c r="D647" s="2">
        <v>4.9800000000000004</v>
      </c>
      <c r="E647" s="2">
        <v>6.07</v>
      </c>
      <c r="F647">
        <v>1133</v>
      </c>
      <c r="G647" t="s">
        <v>1234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170</v>
      </c>
      <c r="N647">
        <v>0.36</v>
      </c>
      <c r="O647" t="s">
        <v>33</v>
      </c>
      <c r="P647" t="s">
        <v>61</v>
      </c>
      <c r="Q647" t="s">
        <v>129</v>
      </c>
      <c r="R647" t="s">
        <v>1235</v>
      </c>
      <c r="S647">
        <v>75234</v>
      </c>
      <c r="T647" s="1">
        <v>42030</v>
      </c>
      <c r="U647" s="1">
        <v>42032</v>
      </c>
      <c r="V647" s="2">
        <v>-46.92</v>
      </c>
      <c r="W647">
        <v>5</v>
      </c>
      <c r="X647" s="2">
        <v>27.76</v>
      </c>
      <c r="Y647">
        <v>88105</v>
      </c>
      <c r="Z647">
        <f t="shared" si="10"/>
        <v>138.80000000000001</v>
      </c>
    </row>
    <row r="648" spans="1:26" x14ac:dyDescent="0.25">
      <c r="A648">
        <v>22119</v>
      </c>
      <c r="B648" t="s">
        <v>25</v>
      </c>
      <c r="C648" s="2">
        <v>0.09</v>
      </c>
      <c r="D648" s="2">
        <v>270.97000000000003</v>
      </c>
      <c r="E648" s="2">
        <v>28.06</v>
      </c>
      <c r="F648">
        <v>1136</v>
      </c>
      <c r="G648" t="s">
        <v>1236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1237</v>
      </c>
      <c r="N648">
        <v>0.56000000000000005</v>
      </c>
      <c r="O648" t="s">
        <v>33</v>
      </c>
      <c r="P648" t="s">
        <v>61</v>
      </c>
      <c r="Q648" t="s">
        <v>175</v>
      </c>
      <c r="R648" t="s">
        <v>1238</v>
      </c>
      <c r="S648">
        <v>60188</v>
      </c>
      <c r="T648" s="1">
        <v>42006</v>
      </c>
      <c r="U648" s="1">
        <v>42008</v>
      </c>
      <c r="V648" s="2">
        <v>2660.1432</v>
      </c>
      <c r="W648">
        <v>15</v>
      </c>
      <c r="X648" s="2">
        <v>3855.28</v>
      </c>
      <c r="Y648">
        <v>87940</v>
      </c>
      <c r="Z648">
        <f t="shared" si="10"/>
        <v>57829.200000000004</v>
      </c>
    </row>
    <row r="649" spans="1:26" x14ac:dyDescent="0.25">
      <c r="A649">
        <v>19357</v>
      </c>
      <c r="B649" t="s">
        <v>56</v>
      </c>
      <c r="C649" s="2">
        <v>0.02</v>
      </c>
      <c r="D649" s="2">
        <v>160.97999999999999</v>
      </c>
      <c r="E649" s="2">
        <v>30</v>
      </c>
      <c r="F649">
        <v>1138</v>
      </c>
      <c r="G649" t="s">
        <v>1239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174</v>
      </c>
      <c r="N649">
        <v>0.62</v>
      </c>
      <c r="O649" t="s">
        <v>33</v>
      </c>
      <c r="P649" t="s">
        <v>61</v>
      </c>
      <c r="Q649" t="s">
        <v>129</v>
      </c>
      <c r="R649" t="s">
        <v>1240</v>
      </c>
      <c r="S649">
        <v>75056</v>
      </c>
      <c r="T649" s="1">
        <v>42051</v>
      </c>
      <c r="U649" s="1">
        <v>42054</v>
      </c>
      <c r="V649" s="2">
        <v>-51.116</v>
      </c>
      <c r="W649">
        <v>1</v>
      </c>
      <c r="X649" s="2">
        <v>192.49</v>
      </c>
      <c r="Y649">
        <v>86574</v>
      </c>
      <c r="Z649">
        <f t="shared" si="10"/>
        <v>192.49</v>
      </c>
    </row>
    <row r="650" spans="1:26" x14ac:dyDescent="0.25">
      <c r="A650">
        <v>25467</v>
      </c>
      <c r="B650" t="s">
        <v>56</v>
      </c>
      <c r="C650" s="2">
        <v>0.05</v>
      </c>
      <c r="D650" s="2">
        <v>363.25</v>
      </c>
      <c r="E650" s="2">
        <v>19.989999999999998</v>
      </c>
      <c r="F650">
        <v>1142</v>
      </c>
      <c r="G650" t="s">
        <v>1241</v>
      </c>
      <c r="H650" t="s">
        <v>49</v>
      </c>
      <c r="I650" t="s">
        <v>40</v>
      </c>
      <c r="J650" t="s">
        <v>29</v>
      </c>
      <c r="K650" t="s">
        <v>252</v>
      </c>
      <c r="L650" t="s">
        <v>59</v>
      </c>
      <c r="M650" t="s">
        <v>1242</v>
      </c>
      <c r="N650">
        <v>0.56999999999999995</v>
      </c>
      <c r="O650" t="s">
        <v>33</v>
      </c>
      <c r="P650" t="s">
        <v>61</v>
      </c>
      <c r="Q650" t="s">
        <v>129</v>
      </c>
      <c r="R650" t="s">
        <v>1243</v>
      </c>
      <c r="S650">
        <v>76706</v>
      </c>
      <c r="T650" s="1">
        <v>42008</v>
      </c>
      <c r="U650" s="1">
        <v>42010</v>
      </c>
      <c r="V650" s="2">
        <v>1766.7795000000001</v>
      </c>
      <c r="W650">
        <v>7</v>
      </c>
      <c r="X650" s="2">
        <v>2560.5500000000002</v>
      </c>
      <c r="Y650">
        <v>86573</v>
      </c>
      <c r="Z650">
        <f t="shared" si="10"/>
        <v>17923.850000000002</v>
      </c>
    </row>
    <row r="651" spans="1:26" x14ac:dyDescent="0.25">
      <c r="A651">
        <v>24539</v>
      </c>
      <c r="B651" t="s">
        <v>56</v>
      </c>
      <c r="C651" s="2">
        <v>0.01</v>
      </c>
      <c r="D651" s="2">
        <v>18.97</v>
      </c>
      <c r="E651" s="2">
        <v>9.5399999999999991</v>
      </c>
      <c r="F651">
        <v>1142</v>
      </c>
      <c r="G651" t="s">
        <v>1241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218</v>
      </c>
      <c r="N651">
        <v>0.37</v>
      </c>
      <c r="O651" t="s">
        <v>33</v>
      </c>
      <c r="P651" t="s">
        <v>61</v>
      </c>
      <c r="Q651" t="s">
        <v>129</v>
      </c>
      <c r="R651" t="s">
        <v>1243</v>
      </c>
      <c r="S651">
        <v>76706</v>
      </c>
      <c r="T651" s="1">
        <v>42161</v>
      </c>
      <c r="U651" s="1">
        <v>42164</v>
      </c>
      <c r="V651" s="2">
        <v>85.875</v>
      </c>
      <c r="W651">
        <v>11</v>
      </c>
      <c r="X651" s="2">
        <v>227.67</v>
      </c>
      <c r="Y651">
        <v>86575</v>
      </c>
      <c r="Z651">
        <f t="shared" si="10"/>
        <v>2504.37</v>
      </c>
    </row>
    <row r="652" spans="1:26" x14ac:dyDescent="0.25">
      <c r="A652">
        <v>25179</v>
      </c>
      <c r="B652" t="s">
        <v>106</v>
      </c>
      <c r="C652" s="2">
        <v>0.05</v>
      </c>
      <c r="D652" s="2">
        <v>7.59</v>
      </c>
      <c r="E652" s="2">
        <v>4</v>
      </c>
      <c r="F652">
        <v>1151</v>
      </c>
      <c r="G652" t="s">
        <v>1244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438</v>
      </c>
      <c r="N652">
        <v>0.42</v>
      </c>
      <c r="O652" t="s">
        <v>33</v>
      </c>
      <c r="P652" t="s">
        <v>53</v>
      </c>
      <c r="Q652" t="s">
        <v>189</v>
      </c>
      <c r="R652" t="s">
        <v>1245</v>
      </c>
      <c r="S652">
        <v>1075</v>
      </c>
      <c r="T652" s="1">
        <v>42164</v>
      </c>
      <c r="U652" s="1">
        <v>42164</v>
      </c>
      <c r="V652" s="2">
        <v>6.0926999999999998</v>
      </c>
      <c r="W652">
        <v>1</v>
      </c>
      <c r="X652" s="2">
        <v>8.83</v>
      </c>
      <c r="Y652">
        <v>91344</v>
      </c>
      <c r="Z652">
        <f t="shared" si="10"/>
        <v>8.83</v>
      </c>
    </row>
    <row r="653" spans="1:26" x14ac:dyDescent="0.25">
      <c r="A653">
        <v>24224</v>
      </c>
      <c r="B653" t="s">
        <v>47</v>
      </c>
      <c r="C653" s="2">
        <v>0.09</v>
      </c>
      <c r="D653" s="2">
        <v>9.11</v>
      </c>
      <c r="E653" s="2">
        <v>2.15</v>
      </c>
      <c r="F653">
        <v>1155</v>
      </c>
      <c r="G653" t="s">
        <v>1246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1247</v>
      </c>
      <c r="N653">
        <v>0.4</v>
      </c>
      <c r="O653" t="s">
        <v>33</v>
      </c>
      <c r="P653" t="s">
        <v>34</v>
      </c>
      <c r="Q653" t="s">
        <v>45</v>
      </c>
      <c r="R653" t="s">
        <v>1248</v>
      </c>
      <c r="S653">
        <v>90640</v>
      </c>
      <c r="T653" s="1">
        <v>42006</v>
      </c>
      <c r="U653" s="1">
        <v>42008</v>
      </c>
      <c r="V653" s="2">
        <v>20.299600000000002</v>
      </c>
      <c r="W653">
        <v>4</v>
      </c>
      <c r="X653" s="2">
        <v>34.409999999999997</v>
      </c>
      <c r="Y653">
        <v>90853</v>
      </c>
      <c r="Z653">
        <f t="shared" si="10"/>
        <v>137.63999999999999</v>
      </c>
    </row>
    <row r="654" spans="1:26" x14ac:dyDescent="0.25">
      <c r="A654">
        <v>24225</v>
      </c>
      <c r="B654" t="s">
        <v>47</v>
      </c>
      <c r="C654" s="2">
        <v>0.08</v>
      </c>
      <c r="D654" s="2">
        <v>15.04</v>
      </c>
      <c r="E654" s="2">
        <v>1.97</v>
      </c>
      <c r="F654">
        <v>1155</v>
      </c>
      <c r="G654" t="s">
        <v>1246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651</v>
      </c>
      <c r="N654">
        <v>0.39</v>
      </c>
      <c r="O654" t="s">
        <v>33</v>
      </c>
      <c r="P654" t="s">
        <v>34</v>
      </c>
      <c r="Q654" t="s">
        <v>45</v>
      </c>
      <c r="R654" t="s">
        <v>1248</v>
      </c>
      <c r="S654">
        <v>90640</v>
      </c>
      <c r="T654" s="1">
        <v>42006</v>
      </c>
      <c r="U654" s="1">
        <v>42006</v>
      </c>
      <c r="V654" s="2">
        <v>108.5163</v>
      </c>
      <c r="W654">
        <v>11</v>
      </c>
      <c r="X654" s="2">
        <v>157.27000000000001</v>
      </c>
      <c r="Y654">
        <v>90853</v>
      </c>
      <c r="Z654">
        <f t="shared" si="10"/>
        <v>1729.97</v>
      </c>
    </row>
    <row r="655" spans="1:26" x14ac:dyDescent="0.25">
      <c r="A655">
        <v>20212</v>
      </c>
      <c r="B655" t="s">
        <v>25</v>
      </c>
      <c r="C655" s="2">
        <v>0.06</v>
      </c>
      <c r="D655" s="2">
        <v>175.99</v>
      </c>
      <c r="E655" s="2">
        <v>8.99</v>
      </c>
      <c r="F655">
        <v>1156</v>
      </c>
      <c r="G655" t="s">
        <v>1249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>
        <v>2180</v>
      </c>
      <c r="N655">
        <v>0.56999999999999995</v>
      </c>
      <c r="O655" t="s">
        <v>33</v>
      </c>
      <c r="P655" t="s">
        <v>53</v>
      </c>
      <c r="Q655" t="s">
        <v>189</v>
      </c>
      <c r="R655" t="s">
        <v>1250</v>
      </c>
      <c r="S655">
        <v>1876</v>
      </c>
      <c r="T655" s="1">
        <v>42049</v>
      </c>
      <c r="U655" s="1">
        <v>42050</v>
      </c>
      <c r="V655" s="2">
        <v>48.47148</v>
      </c>
      <c r="W655">
        <v>7</v>
      </c>
      <c r="X655" s="2">
        <v>1013.84</v>
      </c>
      <c r="Y655">
        <v>90855</v>
      </c>
      <c r="Z655">
        <f t="shared" si="10"/>
        <v>7096.88</v>
      </c>
    </row>
    <row r="656" spans="1:26" x14ac:dyDescent="0.25">
      <c r="A656">
        <v>20897</v>
      </c>
      <c r="B656" t="s">
        <v>25</v>
      </c>
      <c r="C656" s="2">
        <v>0.04</v>
      </c>
      <c r="D656" s="2">
        <v>100.98</v>
      </c>
      <c r="E656" s="2">
        <v>35.840000000000003</v>
      </c>
      <c r="F656">
        <v>1159</v>
      </c>
      <c r="G656" t="s">
        <v>1251</v>
      </c>
      <c r="H656" t="s">
        <v>39</v>
      </c>
      <c r="I656" t="s">
        <v>114</v>
      </c>
      <c r="J656" t="s">
        <v>41</v>
      </c>
      <c r="K656" t="s">
        <v>187</v>
      </c>
      <c r="L656" t="s">
        <v>120</v>
      </c>
      <c r="M656" t="s">
        <v>255</v>
      </c>
      <c r="N656">
        <v>0.62</v>
      </c>
      <c r="O656" t="s">
        <v>33</v>
      </c>
      <c r="P656" t="s">
        <v>53</v>
      </c>
      <c r="Q656" t="s">
        <v>54</v>
      </c>
      <c r="R656" t="s">
        <v>1252</v>
      </c>
      <c r="S656">
        <v>7086</v>
      </c>
      <c r="T656" s="1">
        <v>42144</v>
      </c>
      <c r="U656" s="1">
        <v>42145</v>
      </c>
      <c r="V656" s="2">
        <v>-152.76</v>
      </c>
      <c r="W656">
        <v>1</v>
      </c>
      <c r="X656" s="2">
        <v>110.75</v>
      </c>
      <c r="Y656">
        <v>90854</v>
      </c>
      <c r="Z656">
        <f t="shared" si="10"/>
        <v>110.75</v>
      </c>
    </row>
    <row r="657" spans="1:26" x14ac:dyDescent="0.25">
      <c r="A657">
        <v>18860</v>
      </c>
      <c r="B657" t="s">
        <v>37</v>
      </c>
      <c r="C657" s="2">
        <v>0.09</v>
      </c>
      <c r="D657" s="2">
        <v>9.7799999999999994</v>
      </c>
      <c r="E657" s="2">
        <v>1.39</v>
      </c>
      <c r="F657">
        <v>1170</v>
      </c>
      <c r="G657" t="s">
        <v>1253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1254</v>
      </c>
      <c r="N657">
        <v>0.39</v>
      </c>
      <c r="O657" t="s">
        <v>33</v>
      </c>
      <c r="P657" t="s">
        <v>53</v>
      </c>
      <c r="Q657" t="s">
        <v>1138</v>
      </c>
      <c r="R657" t="s">
        <v>395</v>
      </c>
      <c r="S657">
        <v>19711</v>
      </c>
      <c r="T657" s="1">
        <v>42157</v>
      </c>
      <c r="U657" s="1">
        <v>42158</v>
      </c>
      <c r="V657" s="2">
        <v>125.20740000000001</v>
      </c>
      <c r="W657">
        <v>19</v>
      </c>
      <c r="X657" s="2">
        <v>181.46</v>
      </c>
      <c r="Y657">
        <v>87520</v>
      </c>
      <c r="Z657">
        <f t="shared" si="10"/>
        <v>3447.7400000000002</v>
      </c>
    </row>
    <row r="658" spans="1:26" x14ac:dyDescent="0.25">
      <c r="A658">
        <v>18861</v>
      </c>
      <c r="B658" t="s">
        <v>37</v>
      </c>
      <c r="C658" s="2">
        <v>0</v>
      </c>
      <c r="D658" s="2">
        <v>200.99</v>
      </c>
      <c r="E658" s="2">
        <v>8.08</v>
      </c>
      <c r="F658">
        <v>1170</v>
      </c>
      <c r="G658" t="s">
        <v>1253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>
        <v>5125</v>
      </c>
      <c r="N658">
        <v>0.59</v>
      </c>
      <c r="O658" t="s">
        <v>33</v>
      </c>
      <c r="P658" t="s">
        <v>53</v>
      </c>
      <c r="Q658" t="s">
        <v>1138</v>
      </c>
      <c r="R658" t="s">
        <v>395</v>
      </c>
      <c r="S658">
        <v>19711</v>
      </c>
      <c r="T658" s="1">
        <v>42157</v>
      </c>
      <c r="U658" s="1">
        <v>42159</v>
      </c>
      <c r="V658" s="2">
        <v>281.53440000000001</v>
      </c>
      <c r="W658">
        <v>6</v>
      </c>
      <c r="X658" s="2">
        <v>1076.3</v>
      </c>
      <c r="Y658">
        <v>87520</v>
      </c>
      <c r="Z658">
        <f t="shared" si="10"/>
        <v>6457.7999999999993</v>
      </c>
    </row>
    <row r="659" spans="1:26" x14ac:dyDescent="0.25">
      <c r="A659">
        <v>19182</v>
      </c>
      <c r="B659" t="s">
        <v>25</v>
      </c>
      <c r="C659" s="2">
        <v>0.03</v>
      </c>
      <c r="D659" s="2">
        <v>4.4800000000000004</v>
      </c>
      <c r="E659" s="2">
        <v>49</v>
      </c>
      <c r="F659">
        <v>1178</v>
      </c>
      <c r="G659" t="s">
        <v>1255</v>
      </c>
      <c r="H659" t="s">
        <v>49</v>
      </c>
      <c r="I659" t="s">
        <v>114</v>
      </c>
      <c r="J659" t="s">
        <v>29</v>
      </c>
      <c r="K659" t="s">
        <v>252</v>
      </c>
      <c r="L659" t="s">
        <v>231</v>
      </c>
      <c r="M659" t="s">
        <v>672</v>
      </c>
      <c r="N659">
        <v>0.6</v>
      </c>
      <c r="O659" t="s">
        <v>33</v>
      </c>
      <c r="P659" t="s">
        <v>135</v>
      </c>
      <c r="Q659" t="s">
        <v>356</v>
      </c>
      <c r="R659" t="s">
        <v>1256</v>
      </c>
      <c r="S659">
        <v>32701</v>
      </c>
      <c r="T659" s="1">
        <v>42103</v>
      </c>
      <c r="U659" s="1">
        <v>42105</v>
      </c>
      <c r="V659" s="2">
        <v>64.266000000000005</v>
      </c>
      <c r="W659">
        <v>2</v>
      </c>
      <c r="X659" s="2">
        <v>21.46</v>
      </c>
      <c r="Y659">
        <v>89787</v>
      </c>
      <c r="Z659">
        <f t="shared" si="10"/>
        <v>42.92</v>
      </c>
    </row>
    <row r="660" spans="1:26" x14ac:dyDescent="0.25">
      <c r="A660">
        <v>19183</v>
      </c>
      <c r="B660" t="s">
        <v>25</v>
      </c>
      <c r="C660" s="2">
        <v>0.06</v>
      </c>
      <c r="D660" s="2">
        <v>350.99</v>
      </c>
      <c r="E660" s="2">
        <v>39</v>
      </c>
      <c r="F660">
        <v>1178</v>
      </c>
      <c r="G660" t="s">
        <v>1255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1257</v>
      </c>
      <c r="N660">
        <v>0.55000000000000004</v>
      </c>
      <c r="O660" t="s">
        <v>33</v>
      </c>
      <c r="P660" t="s">
        <v>135</v>
      </c>
      <c r="Q660" t="s">
        <v>356</v>
      </c>
      <c r="R660" t="s">
        <v>1256</v>
      </c>
      <c r="S660">
        <v>32701</v>
      </c>
      <c r="T660" s="1">
        <v>42103</v>
      </c>
      <c r="U660" s="1">
        <v>42105</v>
      </c>
      <c r="V660" s="2">
        <v>-302.61559999999997</v>
      </c>
      <c r="W660">
        <v>10</v>
      </c>
      <c r="X660" s="2">
        <v>3506.78</v>
      </c>
      <c r="Y660">
        <v>89787</v>
      </c>
      <c r="Z660">
        <f t="shared" si="10"/>
        <v>35067.800000000003</v>
      </c>
    </row>
    <row r="661" spans="1:26" x14ac:dyDescent="0.25">
      <c r="A661">
        <v>19184</v>
      </c>
      <c r="B661" t="s">
        <v>25</v>
      </c>
      <c r="C661" s="2">
        <v>0.09</v>
      </c>
      <c r="D661" s="2">
        <v>40.98</v>
      </c>
      <c r="E661" s="2">
        <v>6.5</v>
      </c>
      <c r="F661">
        <v>1178</v>
      </c>
      <c r="G661" t="s">
        <v>1255</v>
      </c>
      <c r="H661" t="s">
        <v>27</v>
      </c>
      <c r="I661" t="s">
        <v>114</v>
      </c>
      <c r="J661" t="s">
        <v>77</v>
      </c>
      <c r="K661" t="s">
        <v>177</v>
      </c>
      <c r="L661" t="s">
        <v>59</v>
      </c>
      <c r="M661" t="s">
        <v>1258</v>
      </c>
      <c r="N661">
        <v>0.74</v>
      </c>
      <c r="O661" t="s">
        <v>33</v>
      </c>
      <c r="P661" t="s">
        <v>135</v>
      </c>
      <c r="Q661" t="s">
        <v>356</v>
      </c>
      <c r="R661" t="s">
        <v>1256</v>
      </c>
      <c r="S661">
        <v>32701</v>
      </c>
      <c r="T661" s="1">
        <v>42103</v>
      </c>
      <c r="U661" s="1">
        <v>42105</v>
      </c>
      <c r="V661" s="2">
        <v>5.6916000000000002</v>
      </c>
      <c r="W661">
        <v>7</v>
      </c>
      <c r="X661" s="2">
        <v>267.69</v>
      </c>
      <c r="Y661">
        <v>89787</v>
      </c>
      <c r="Z661">
        <f t="shared" si="10"/>
        <v>1873.83</v>
      </c>
    </row>
    <row r="662" spans="1:26" x14ac:dyDescent="0.25">
      <c r="A662">
        <v>19185</v>
      </c>
      <c r="B662" t="s">
        <v>25</v>
      </c>
      <c r="C662" s="2">
        <v>0.09</v>
      </c>
      <c r="D662" s="2">
        <v>349.45</v>
      </c>
      <c r="E662" s="2">
        <v>60</v>
      </c>
      <c r="F662">
        <v>1178</v>
      </c>
      <c r="G662" t="s">
        <v>1255</v>
      </c>
      <c r="H662" t="s">
        <v>39</v>
      </c>
      <c r="I662" t="s">
        <v>114</v>
      </c>
      <c r="J662" t="s">
        <v>41</v>
      </c>
      <c r="K662" t="s">
        <v>150</v>
      </c>
      <c r="L662" t="s">
        <v>43</v>
      </c>
      <c r="M662" t="s">
        <v>980</v>
      </c>
      <c r="O662" t="s">
        <v>33</v>
      </c>
      <c r="P662" t="s">
        <v>135</v>
      </c>
      <c r="Q662" t="s">
        <v>356</v>
      </c>
      <c r="R662" t="s">
        <v>1256</v>
      </c>
      <c r="S662">
        <v>32701</v>
      </c>
      <c r="T662" s="1">
        <v>42103</v>
      </c>
      <c r="U662" s="1">
        <v>42104</v>
      </c>
      <c r="V662" s="2">
        <v>-369.11</v>
      </c>
      <c r="W662">
        <v>7</v>
      </c>
      <c r="X662" s="2">
        <v>2307.2600000000002</v>
      </c>
      <c r="Y662">
        <v>89787</v>
      </c>
      <c r="Z662">
        <f t="shared" si="10"/>
        <v>16150.820000000002</v>
      </c>
    </row>
    <row r="663" spans="1:26" x14ac:dyDescent="0.25">
      <c r="A663">
        <v>19484</v>
      </c>
      <c r="B663" t="s">
        <v>25</v>
      </c>
      <c r="C663" s="2">
        <v>7.0000000000000007E-2</v>
      </c>
      <c r="D663" s="2">
        <v>2.61</v>
      </c>
      <c r="E663" s="2">
        <v>0.5</v>
      </c>
      <c r="F663">
        <v>1182</v>
      </c>
      <c r="G663" t="s">
        <v>1259</v>
      </c>
      <c r="H663" t="s">
        <v>49</v>
      </c>
      <c r="I663" t="s">
        <v>40</v>
      </c>
      <c r="J663" t="s">
        <v>29</v>
      </c>
      <c r="K663" t="s">
        <v>133</v>
      </c>
      <c r="L663" t="s">
        <v>59</v>
      </c>
      <c r="M663" t="s">
        <v>1127</v>
      </c>
      <c r="N663">
        <v>0.39</v>
      </c>
      <c r="O663" t="s">
        <v>33</v>
      </c>
      <c r="P663" t="s">
        <v>34</v>
      </c>
      <c r="Q663" t="s">
        <v>208</v>
      </c>
      <c r="R663" t="s">
        <v>1260</v>
      </c>
      <c r="S663">
        <v>84660</v>
      </c>
      <c r="T663" s="1">
        <v>42147</v>
      </c>
      <c r="U663" s="1">
        <v>42147</v>
      </c>
      <c r="V663" s="2">
        <v>27.013500000000001</v>
      </c>
      <c r="W663">
        <v>15</v>
      </c>
      <c r="X663" s="2">
        <v>39.15</v>
      </c>
      <c r="Y663">
        <v>86913</v>
      </c>
      <c r="Z663">
        <f t="shared" si="10"/>
        <v>587.25</v>
      </c>
    </row>
    <row r="664" spans="1:26" x14ac:dyDescent="0.25">
      <c r="A664">
        <v>21522</v>
      </c>
      <c r="B664" t="s">
        <v>37</v>
      </c>
      <c r="C664" s="2">
        <v>0.04</v>
      </c>
      <c r="D664" s="2">
        <v>35.99</v>
      </c>
      <c r="E664" s="2">
        <v>3.3</v>
      </c>
      <c r="F664">
        <v>1183</v>
      </c>
      <c r="G664" t="s">
        <v>1261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1262</v>
      </c>
      <c r="N664">
        <v>0.39</v>
      </c>
      <c r="O664" t="s">
        <v>33</v>
      </c>
      <c r="P664" t="s">
        <v>34</v>
      </c>
      <c r="Q664" t="s">
        <v>208</v>
      </c>
      <c r="R664" t="s">
        <v>1263</v>
      </c>
      <c r="S664">
        <v>84663</v>
      </c>
      <c r="T664" s="1">
        <v>42184</v>
      </c>
      <c r="U664" s="1">
        <v>42184</v>
      </c>
      <c r="V664" s="2">
        <v>184.19550000000001</v>
      </c>
      <c r="W664">
        <v>9</v>
      </c>
      <c r="X664" s="2">
        <v>266.95</v>
      </c>
      <c r="Y664">
        <v>86914</v>
      </c>
      <c r="Z664">
        <f t="shared" si="10"/>
        <v>2402.5499999999997</v>
      </c>
    </row>
    <row r="665" spans="1:26" x14ac:dyDescent="0.25">
      <c r="A665">
        <v>22190</v>
      </c>
      <c r="B665" t="s">
        <v>56</v>
      </c>
      <c r="C665" s="2">
        <v>0</v>
      </c>
      <c r="D665" s="2">
        <v>6783.02</v>
      </c>
      <c r="E665" s="2">
        <v>24.49</v>
      </c>
      <c r="F665">
        <v>1185</v>
      </c>
      <c r="G665" t="s">
        <v>1264</v>
      </c>
      <c r="H665" t="s">
        <v>49</v>
      </c>
      <c r="I665" t="s">
        <v>114</v>
      </c>
      <c r="J665" t="s">
        <v>77</v>
      </c>
      <c r="K665" t="s">
        <v>85</v>
      </c>
      <c r="L665" t="s">
        <v>231</v>
      </c>
      <c r="M665" t="s">
        <v>1265</v>
      </c>
      <c r="N665">
        <v>0.39</v>
      </c>
      <c r="O665" t="s">
        <v>33</v>
      </c>
      <c r="P665" t="s">
        <v>135</v>
      </c>
      <c r="Q665" t="s">
        <v>1266</v>
      </c>
      <c r="R665" t="s">
        <v>1267</v>
      </c>
      <c r="S665">
        <v>35756</v>
      </c>
      <c r="T665" s="1">
        <v>42084</v>
      </c>
      <c r="U665" s="1">
        <v>42085</v>
      </c>
      <c r="V665" s="2">
        <v>4.1100000000000003</v>
      </c>
      <c r="W665">
        <v>3</v>
      </c>
      <c r="X665" s="2">
        <v>20552.55</v>
      </c>
      <c r="Y665">
        <v>85938</v>
      </c>
      <c r="Z665">
        <f t="shared" si="10"/>
        <v>61657.649999999994</v>
      </c>
    </row>
    <row r="666" spans="1:26" x14ac:dyDescent="0.25">
      <c r="A666">
        <v>20764</v>
      </c>
      <c r="B666" t="s">
        <v>37</v>
      </c>
      <c r="C666" s="2">
        <v>0.08</v>
      </c>
      <c r="D666" s="2">
        <v>11.7</v>
      </c>
      <c r="E666" s="2">
        <v>6.96</v>
      </c>
      <c r="F666">
        <v>1185</v>
      </c>
      <c r="G666" t="s">
        <v>1264</v>
      </c>
      <c r="H666" t="s">
        <v>49</v>
      </c>
      <c r="I666" t="s">
        <v>114</v>
      </c>
      <c r="J666" t="s">
        <v>29</v>
      </c>
      <c r="K666" t="s">
        <v>252</v>
      </c>
      <c r="L666" t="s">
        <v>86</v>
      </c>
      <c r="M666" t="s">
        <v>1268</v>
      </c>
      <c r="N666">
        <v>0.5</v>
      </c>
      <c r="O666" t="s">
        <v>33</v>
      </c>
      <c r="P666" t="s">
        <v>135</v>
      </c>
      <c r="Q666" t="s">
        <v>1266</v>
      </c>
      <c r="R666" t="s">
        <v>1267</v>
      </c>
      <c r="S666">
        <v>35756</v>
      </c>
      <c r="T666" s="1">
        <v>42104</v>
      </c>
      <c r="U666" s="1">
        <v>42107</v>
      </c>
      <c r="V666" s="2">
        <v>28.565999999999999</v>
      </c>
      <c r="W666">
        <v>8</v>
      </c>
      <c r="X666" s="2">
        <v>87.8</v>
      </c>
      <c r="Y666">
        <v>85940</v>
      </c>
      <c r="Z666">
        <f t="shared" si="10"/>
        <v>702.4</v>
      </c>
    </row>
    <row r="667" spans="1:26" x14ac:dyDescent="0.25">
      <c r="A667">
        <v>24358</v>
      </c>
      <c r="B667" t="s">
        <v>47</v>
      </c>
      <c r="C667" s="2">
        <v>7.0000000000000007E-2</v>
      </c>
      <c r="D667" s="2">
        <v>400.97</v>
      </c>
      <c r="E667" s="2">
        <v>48.26</v>
      </c>
      <c r="F667">
        <v>1186</v>
      </c>
      <c r="G667" t="s">
        <v>1269</v>
      </c>
      <c r="H667" t="s">
        <v>39</v>
      </c>
      <c r="I667" t="s">
        <v>114</v>
      </c>
      <c r="J667" t="s">
        <v>77</v>
      </c>
      <c r="K667" t="s">
        <v>85</v>
      </c>
      <c r="L667" t="s">
        <v>120</v>
      </c>
      <c r="M667" t="s">
        <v>1270</v>
      </c>
      <c r="N667">
        <v>0.36</v>
      </c>
      <c r="O667" t="s">
        <v>33</v>
      </c>
      <c r="P667" t="s">
        <v>34</v>
      </c>
      <c r="Q667" t="s">
        <v>45</v>
      </c>
      <c r="R667" t="s">
        <v>1271</v>
      </c>
      <c r="S667">
        <v>92646</v>
      </c>
      <c r="T667" s="1">
        <v>42103</v>
      </c>
      <c r="U667" s="1">
        <v>42104</v>
      </c>
      <c r="V667" s="2">
        <v>2581.5590999999999</v>
      </c>
      <c r="W667">
        <v>10</v>
      </c>
      <c r="X667" s="2">
        <v>3741.39</v>
      </c>
      <c r="Y667">
        <v>85939</v>
      </c>
      <c r="Z667">
        <f t="shared" si="10"/>
        <v>37413.9</v>
      </c>
    </row>
    <row r="668" spans="1:26" x14ac:dyDescent="0.25">
      <c r="A668">
        <v>18829</v>
      </c>
      <c r="B668" t="s">
        <v>106</v>
      </c>
      <c r="C668" s="2">
        <v>0.06</v>
      </c>
      <c r="D668" s="2">
        <v>10.89</v>
      </c>
      <c r="E668" s="2">
        <v>4.5</v>
      </c>
      <c r="F668">
        <v>1189</v>
      </c>
      <c r="G668" t="s">
        <v>1272</v>
      </c>
      <c r="H668" t="s">
        <v>49</v>
      </c>
      <c r="I668" t="s">
        <v>114</v>
      </c>
      <c r="J668" t="s">
        <v>29</v>
      </c>
      <c r="K668" t="s">
        <v>252</v>
      </c>
      <c r="L668" t="s">
        <v>59</v>
      </c>
      <c r="M668" t="s">
        <v>253</v>
      </c>
      <c r="N668">
        <v>0.59</v>
      </c>
      <c r="O668" t="s">
        <v>33</v>
      </c>
      <c r="P668" t="s">
        <v>34</v>
      </c>
      <c r="Q668" t="s">
        <v>45</v>
      </c>
      <c r="R668" t="s">
        <v>1271</v>
      </c>
      <c r="S668">
        <v>92646</v>
      </c>
      <c r="T668" s="1">
        <v>42172</v>
      </c>
      <c r="U668" s="1">
        <v>42177</v>
      </c>
      <c r="V668" s="2">
        <v>-25.111999999999998</v>
      </c>
      <c r="W668">
        <v>14</v>
      </c>
      <c r="X668" s="2">
        <v>149.32</v>
      </c>
      <c r="Y668">
        <v>87584</v>
      </c>
      <c r="Z668">
        <f t="shared" si="10"/>
        <v>2090.48</v>
      </c>
    </row>
    <row r="669" spans="1:26" x14ac:dyDescent="0.25">
      <c r="A669">
        <v>18830</v>
      </c>
      <c r="B669" t="s">
        <v>106</v>
      </c>
      <c r="C669" s="2">
        <v>0.03</v>
      </c>
      <c r="D669" s="2">
        <v>10.64</v>
      </c>
      <c r="E669" s="2">
        <v>5.16</v>
      </c>
      <c r="F669">
        <v>1189</v>
      </c>
      <c r="G669" t="s">
        <v>1272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842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1271</v>
      </c>
      <c r="S669">
        <v>92646</v>
      </c>
      <c r="T669" s="1">
        <v>42172</v>
      </c>
      <c r="U669" s="1">
        <v>42177</v>
      </c>
      <c r="V669" s="2">
        <v>17.376000000000001</v>
      </c>
      <c r="W669">
        <v>16</v>
      </c>
      <c r="X669" s="2">
        <v>177.01</v>
      </c>
      <c r="Y669">
        <v>87584</v>
      </c>
      <c r="Z669">
        <f t="shared" si="10"/>
        <v>2832.16</v>
      </c>
    </row>
    <row r="670" spans="1:26" x14ac:dyDescent="0.25">
      <c r="A670">
        <v>18831</v>
      </c>
      <c r="B670" t="s">
        <v>106</v>
      </c>
      <c r="C670" s="2">
        <v>0.03</v>
      </c>
      <c r="D670" s="2">
        <v>7.96</v>
      </c>
      <c r="E670" s="2">
        <v>4.95</v>
      </c>
      <c r="F670">
        <v>1189</v>
      </c>
      <c r="G670" t="s">
        <v>1272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1273</v>
      </c>
      <c r="N670">
        <v>0.41</v>
      </c>
      <c r="O670" t="s">
        <v>33</v>
      </c>
      <c r="P670" t="s">
        <v>34</v>
      </c>
      <c r="Q670" t="s">
        <v>45</v>
      </c>
      <c r="R670" t="s">
        <v>1271</v>
      </c>
      <c r="S670">
        <v>92646</v>
      </c>
      <c r="T670" s="1">
        <v>42172</v>
      </c>
      <c r="U670" s="1">
        <v>42174</v>
      </c>
      <c r="V670" s="2">
        <v>24.260400000000001</v>
      </c>
      <c r="W670">
        <v>4</v>
      </c>
      <c r="X670" s="2">
        <v>35.159999999999997</v>
      </c>
      <c r="Y670">
        <v>87584</v>
      </c>
      <c r="Z670">
        <f t="shared" si="10"/>
        <v>140.63999999999999</v>
      </c>
    </row>
    <row r="671" spans="1:26" x14ac:dyDescent="0.25">
      <c r="A671">
        <v>19553</v>
      </c>
      <c r="B671" t="s">
        <v>106</v>
      </c>
      <c r="C671" s="2">
        <v>0.03</v>
      </c>
      <c r="D671" s="2">
        <v>28.53</v>
      </c>
      <c r="E671" s="2">
        <v>1.49</v>
      </c>
      <c r="F671">
        <v>1191</v>
      </c>
      <c r="G671" t="s">
        <v>1274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326</v>
      </c>
      <c r="N671">
        <v>0.38</v>
      </c>
      <c r="O671" t="s">
        <v>33</v>
      </c>
      <c r="P671" t="s">
        <v>53</v>
      </c>
      <c r="Q671" t="s">
        <v>223</v>
      </c>
      <c r="R671" t="s">
        <v>1275</v>
      </c>
      <c r="S671">
        <v>6050</v>
      </c>
      <c r="T671" s="1">
        <v>42183</v>
      </c>
      <c r="U671" s="1">
        <v>42186</v>
      </c>
      <c r="V671" s="2">
        <v>59.4405</v>
      </c>
      <c r="W671">
        <v>3</v>
      </c>
      <c r="X671" s="2">
        <v>88.84</v>
      </c>
      <c r="Y671">
        <v>87587</v>
      </c>
      <c r="Z671">
        <f t="shared" si="10"/>
        <v>266.52</v>
      </c>
    </row>
    <row r="672" spans="1:26" x14ac:dyDescent="0.25">
      <c r="A672">
        <v>830</v>
      </c>
      <c r="B672" t="s">
        <v>106</v>
      </c>
      <c r="C672" s="2">
        <v>0.03</v>
      </c>
      <c r="D672" s="2">
        <v>10.64</v>
      </c>
      <c r="E672" s="2">
        <v>5.16</v>
      </c>
      <c r="F672">
        <v>1193</v>
      </c>
      <c r="G672" t="s">
        <v>1276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842</v>
      </c>
      <c r="N672">
        <v>0.56999999999999995</v>
      </c>
      <c r="O672" t="s">
        <v>33</v>
      </c>
      <c r="P672" t="s">
        <v>53</v>
      </c>
      <c r="Q672" t="s">
        <v>998</v>
      </c>
      <c r="R672" t="s">
        <v>35</v>
      </c>
      <c r="S672">
        <v>20016</v>
      </c>
      <c r="T672" s="1">
        <v>42172</v>
      </c>
      <c r="U672" s="1">
        <v>42177</v>
      </c>
      <c r="V672" s="2">
        <v>14.48</v>
      </c>
      <c r="W672">
        <v>63</v>
      </c>
      <c r="X672" s="2">
        <v>696.96</v>
      </c>
      <c r="Y672">
        <v>5984</v>
      </c>
      <c r="Z672">
        <f t="shared" si="10"/>
        <v>43908.480000000003</v>
      </c>
    </row>
    <row r="673" spans="1:26" x14ac:dyDescent="0.25">
      <c r="A673">
        <v>831</v>
      </c>
      <c r="B673" t="s">
        <v>106</v>
      </c>
      <c r="C673" s="2">
        <v>0.03</v>
      </c>
      <c r="D673" s="2">
        <v>7.96</v>
      </c>
      <c r="E673" s="2">
        <v>4.95</v>
      </c>
      <c r="F673">
        <v>1193</v>
      </c>
      <c r="G673" t="s">
        <v>1276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1273</v>
      </c>
      <c r="N673">
        <v>0.41</v>
      </c>
      <c r="O673" t="s">
        <v>33</v>
      </c>
      <c r="P673" t="s">
        <v>53</v>
      </c>
      <c r="Q673" t="s">
        <v>998</v>
      </c>
      <c r="R673" t="s">
        <v>35</v>
      </c>
      <c r="S673">
        <v>20016</v>
      </c>
      <c r="T673" s="1">
        <v>42172</v>
      </c>
      <c r="U673" s="1">
        <v>42174</v>
      </c>
      <c r="V673" s="2">
        <v>22.25</v>
      </c>
      <c r="W673">
        <v>17</v>
      </c>
      <c r="X673" s="2">
        <v>149.41</v>
      </c>
      <c r="Y673">
        <v>5984</v>
      </c>
      <c r="Z673">
        <f t="shared" si="10"/>
        <v>2539.9699999999998</v>
      </c>
    </row>
    <row r="674" spans="1:26" x14ac:dyDescent="0.25">
      <c r="A674">
        <v>4131</v>
      </c>
      <c r="B674" t="s">
        <v>25</v>
      </c>
      <c r="C674" s="2">
        <v>0.05</v>
      </c>
      <c r="D674" s="2">
        <v>52.4</v>
      </c>
      <c r="E674" s="2">
        <v>16.11</v>
      </c>
      <c r="F674">
        <v>1193</v>
      </c>
      <c r="G674" t="s">
        <v>1276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1277</v>
      </c>
      <c r="N674">
        <v>0.39</v>
      </c>
      <c r="O674" t="s">
        <v>33</v>
      </c>
      <c r="P674" t="s">
        <v>53</v>
      </c>
      <c r="Q674" t="s">
        <v>998</v>
      </c>
      <c r="R674" t="s">
        <v>35</v>
      </c>
      <c r="S674">
        <v>20016</v>
      </c>
      <c r="T674" s="1">
        <v>42060</v>
      </c>
      <c r="U674" s="1">
        <v>42062</v>
      </c>
      <c r="V674" s="2">
        <v>592.52650000000006</v>
      </c>
      <c r="W674">
        <v>85</v>
      </c>
      <c r="X674" s="2">
        <v>4556.63</v>
      </c>
      <c r="Y674">
        <v>29350</v>
      </c>
      <c r="Z674">
        <f t="shared" si="10"/>
        <v>387313.55</v>
      </c>
    </row>
    <row r="675" spans="1:26" x14ac:dyDescent="0.25">
      <c r="A675">
        <v>4133</v>
      </c>
      <c r="B675" t="s">
        <v>25</v>
      </c>
      <c r="C675" s="2">
        <v>0.05</v>
      </c>
      <c r="D675" s="2">
        <v>36.549999999999997</v>
      </c>
      <c r="E675" s="2">
        <v>13.89</v>
      </c>
      <c r="F675">
        <v>1193</v>
      </c>
      <c r="G675" t="s">
        <v>1276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1278</v>
      </c>
      <c r="N675">
        <v>0.41</v>
      </c>
      <c r="O675" t="s">
        <v>33</v>
      </c>
      <c r="P675" t="s">
        <v>53</v>
      </c>
      <c r="Q675" t="s">
        <v>998</v>
      </c>
      <c r="R675" t="s">
        <v>35</v>
      </c>
      <c r="S675">
        <v>20016</v>
      </c>
      <c r="T675" s="1">
        <v>42060</v>
      </c>
      <c r="U675" s="1">
        <v>42061</v>
      </c>
      <c r="V675" s="2">
        <v>232.8</v>
      </c>
      <c r="W675">
        <v>83</v>
      </c>
      <c r="X675" s="2">
        <v>2948.61</v>
      </c>
      <c r="Y675">
        <v>29350</v>
      </c>
      <c r="Z675">
        <f t="shared" si="10"/>
        <v>244734.63</v>
      </c>
    </row>
    <row r="676" spans="1:26" x14ac:dyDescent="0.25">
      <c r="A676">
        <v>5468</v>
      </c>
      <c r="B676" t="s">
        <v>37</v>
      </c>
      <c r="C676" s="2">
        <v>0.03</v>
      </c>
      <c r="D676" s="2">
        <v>5.98</v>
      </c>
      <c r="E676" s="2">
        <v>1.49</v>
      </c>
      <c r="F676">
        <v>1193</v>
      </c>
      <c r="G676" t="s">
        <v>1276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1010</v>
      </c>
      <c r="N676">
        <v>0.39</v>
      </c>
      <c r="O676" t="s">
        <v>33</v>
      </c>
      <c r="P676" t="s">
        <v>53</v>
      </c>
      <c r="Q676" t="s">
        <v>998</v>
      </c>
      <c r="R676" t="s">
        <v>35</v>
      </c>
      <c r="S676">
        <v>20016</v>
      </c>
      <c r="T676" s="1">
        <v>42125</v>
      </c>
      <c r="U676" s="1">
        <v>42127</v>
      </c>
      <c r="V676" s="2">
        <v>38.08</v>
      </c>
      <c r="W676">
        <v>85</v>
      </c>
      <c r="X676" s="2">
        <v>517.85</v>
      </c>
      <c r="Y676">
        <v>38852</v>
      </c>
      <c r="Z676">
        <f t="shared" si="10"/>
        <v>44017.25</v>
      </c>
    </row>
    <row r="677" spans="1:26" x14ac:dyDescent="0.25">
      <c r="A677">
        <v>1552</v>
      </c>
      <c r="B677" t="s">
        <v>106</v>
      </c>
      <c r="C677" s="2">
        <v>0.09</v>
      </c>
      <c r="D677" s="2">
        <v>49.99</v>
      </c>
      <c r="E677" s="2">
        <v>19.989999999999998</v>
      </c>
      <c r="F677">
        <v>1193</v>
      </c>
      <c r="G677" t="s">
        <v>1276</v>
      </c>
      <c r="H677" t="s">
        <v>49</v>
      </c>
      <c r="I677" t="s">
        <v>58</v>
      </c>
      <c r="J677" t="s">
        <v>77</v>
      </c>
      <c r="K677" t="s">
        <v>177</v>
      </c>
      <c r="L677" t="s">
        <v>59</v>
      </c>
      <c r="M677" t="s">
        <v>270</v>
      </c>
      <c r="N677">
        <v>0.41</v>
      </c>
      <c r="O677" t="s">
        <v>33</v>
      </c>
      <c r="P677" t="s">
        <v>53</v>
      </c>
      <c r="Q677" t="s">
        <v>998</v>
      </c>
      <c r="R677" t="s">
        <v>35</v>
      </c>
      <c r="S677">
        <v>20016</v>
      </c>
      <c r="T677" s="1">
        <v>42183</v>
      </c>
      <c r="U677" s="1">
        <v>42185</v>
      </c>
      <c r="V677" s="2">
        <v>-17.03</v>
      </c>
      <c r="W677">
        <v>48</v>
      </c>
      <c r="X677" s="2">
        <v>2373.3200000000002</v>
      </c>
      <c r="Y677">
        <v>11206</v>
      </c>
      <c r="Z677">
        <f t="shared" si="10"/>
        <v>113919.36000000002</v>
      </c>
    </row>
    <row r="678" spans="1:26" x14ac:dyDescent="0.25">
      <c r="A678">
        <v>1553</v>
      </c>
      <c r="B678" t="s">
        <v>106</v>
      </c>
      <c r="C678" s="2">
        <v>0.03</v>
      </c>
      <c r="D678" s="2">
        <v>28.53</v>
      </c>
      <c r="E678" s="2">
        <v>1.49</v>
      </c>
      <c r="F678">
        <v>1193</v>
      </c>
      <c r="G678" t="s">
        <v>1276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326</v>
      </c>
      <c r="N678">
        <v>0.38</v>
      </c>
      <c r="O678" t="s">
        <v>33</v>
      </c>
      <c r="P678" t="s">
        <v>53</v>
      </c>
      <c r="Q678" t="s">
        <v>998</v>
      </c>
      <c r="R678" t="s">
        <v>35</v>
      </c>
      <c r="S678">
        <v>20016</v>
      </c>
      <c r="T678" s="1">
        <v>42183</v>
      </c>
      <c r="U678" s="1">
        <v>42186</v>
      </c>
      <c r="V678" s="2">
        <v>39.627000000000002</v>
      </c>
      <c r="W678">
        <v>11</v>
      </c>
      <c r="X678" s="2">
        <v>325.73</v>
      </c>
      <c r="Y678">
        <v>11206</v>
      </c>
      <c r="Z678">
        <f t="shared" si="10"/>
        <v>3583.03</v>
      </c>
    </row>
    <row r="679" spans="1:26" x14ac:dyDescent="0.25">
      <c r="A679">
        <v>23468</v>
      </c>
      <c r="B679" t="s">
        <v>37</v>
      </c>
      <c r="C679" s="2">
        <v>0.03</v>
      </c>
      <c r="D679" s="2">
        <v>5.98</v>
      </c>
      <c r="E679" s="2">
        <v>1.49</v>
      </c>
      <c r="F679">
        <v>1194</v>
      </c>
      <c r="G679" t="s">
        <v>1279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1010</v>
      </c>
      <c r="N679">
        <v>0.39</v>
      </c>
      <c r="O679" t="s">
        <v>33</v>
      </c>
      <c r="P679" t="s">
        <v>135</v>
      </c>
      <c r="Q679" t="s">
        <v>356</v>
      </c>
      <c r="R679" t="s">
        <v>1280</v>
      </c>
      <c r="S679">
        <v>34142</v>
      </c>
      <c r="T679" s="1">
        <v>42125</v>
      </c>
      <c r="U679" s="1">
        <v>42127</v>
      </c>
      <c r="V679" s="2">
        <v>20.495999999999999</v>
      </c>
      <c r="W679">
        <v>21</v>
      </c>
      <c r="X679" s="2">
        <v>127.94</v>
      </c>
      <c r="Y679">
        <v>87586</v>
      </c>
      <c r="Z679">
        <f t="shared" si="10"/>
        <v>2686.74</v>
      </c>
    </row>
    <row r="680" spans="1:26" x14ac:dyDescent="0.25">
      <c r="A680">
        <v>19358</v>
      </c>
      <c r="B680" t="s">
        <v>25</v>
      </c>
      <c r="C680" s="2">
        <v>0.08</v>
      </c>
      <c r="D680" s="2">
        <v>355.98</v>
      </c>
      <c r="E680" s="2">
        <v>58.92</v>
      </c>
      <c r="F680">
        <v>1197</v>
      </c>
      <c r="G680" t="s">
        <v>1281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1282</v>
      </c>
      <c r="N680">
        <v>0.64</v>
      </c>
      <c r="O680" t="s">
        <v>33</v>
      </c>
      <c r="P680" t="s">
        <v>53</v>
      </c>
      <c r="Q680" t="s">
        <v>189</v>
      </c>
      <c r="R680" t="s">
        <v>1283</v>
      </c>
      <c r="S680">
        <v>1776</v>
      </c>
      <c r="T680" s="1">
        <v>42081</v>
      </c>
      <c r="U680" s="1">
        <v>42083</v>
      </c>
      <c r="V680" s="2">
        <v>103.83</v>
      </c>
      <c r="W680">
        <v>4</v>
      </c>
      <c r="X680" s="2">
        <v>1350.94</v>
      </c>
      <c r="Y680">
        <v>87583</v>
      </c>
      <c r="Z680">
        <f t="shared" si="10"/>
        <v>5403.76</v>
      </c>
    </row>
    <row r="681" spans="1:26" x14ac:dyDescent="0.25">
      <c r="A681">
        <v>22132</v>
      </c>
      <c r="B681" t="s">
        <v>25</v>
      </c>
      <c r="C681" s="2">
        <v>0.1</v>
      </c>
      <c r="D681" s="2">
        <v>15.14</v>
      </c>
      <c r="E681" s="2">
        <v>4.53</v>
      </c>
      <c r="F681">
        <v>1199</v>
      </c>
      <c r="G681" t="s">
        <v>1284</v>
      </c>
      <c r="H681" t="s">
        <v>49</v>
      </c>
      <c r="I681" t="s">
        <v>114</v>
      </c>
      <c r="J681" t="s">
        <v>29</v>
      </c>
      <c r="K681" t="s">
        <v>139</v>
      </c>
      <c r="L681" t="s">
        <v>59</v>
      </c>
      <c r="M681" t="s">
        <v>1190</v>
      </c>
      <c r="N681">
        <v>0.81</v>
      </c>
      <c r="O681" t="s">
        <v>33</v>
      </c>
      <c r="P681" t="s">
        <v>53</v>
      </c>
      <c r="Q681" t="s">
        <v>193</v>
      </c>
      <c r="R681" t="s">
        <v>1285</v>
      </c>
      <c r="S681">
        <v>3060</v>
      </c>
      <c r="T681" s="1">
        <v>42060</v>
      </c>
      <c r="U681" s="1">
        <v>42063</v>
      </c>
      <c r="V681" s="2">
        <v>-24.897600000000001</v>
      </c>
      <c r="W681">
        <v>5</v>
      </c>
      <c r="X681" s="2">
        <v>75.17</v>
      </c>
      <c r="Y681">
        <v>87585</v>
      </c>
      <c r="Z681">
        <f t="shared" si="10"/>
        <v>375.85</v>
      </c>
    </row>
    <row r="682" spans="1:26" x14ac:dyDescent="0.25">
      <c r="A682">
        <v>22131</v>
      </c>
      <c r="B682" t="s">
        <v>25</v>
      </c>
      <c r="C682" s="2">
        <v>0.05</v>
      </c>
      <c r="D682" s="2">
        <v>52.4</v>
      </c>
      <c r="E682" s="2">
        <v>16.11</v>
      </c>
      <c r="F682">
        <v>1200</v>
      </c>
      <c r="G682" t="s">
        <v>1286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1277</v>
      </c>
      <c r="N682">
        <v>0.39</v>
      </c>
      <c r="O682" t="s">
        <v>33</v>
      </c>
      <c r="P682" t="s">
        <v>53</v>
      </c>
      <c r="Q682" t="s">
        <v>54</v>
      </c>
      <c r="R682" t="s">
        <v>1287</v>
      </c>
      <c r="S682">
        <v>7407</v>
      </c>
      <c r="T682" s="1">
        <v>42060</v>
      </c>
      <c r="U682" s="1">
        <v>42062</v>
      </c>
      <c r="V682" s="2">
        <v>776.77440000000001</v>
      </c>
      <c r="W682">
        <v>21</v>
      </c>
      <c r="X682" s="2">
        <v>1125.76</v>
      </c>
      <c r="Y682">
        <v>87585</v>
      </c>
      <c r="Z682">
        <f t="shared" si="10"/>
        <v>23640.959999999999</v>
      </c>
    </row>
    <row r="683" spans="1:26" x14ac:dyDescent="0.25">
      <c r="A683">
        <v>22133</v>
      </c>
      <c r="B683" t="s">
        <v>25</v>
      </c>
      <c r="C683" s="2">
        <v>0.05</v>
      </c>
      <c r="D683" s="2">
        <v>36.549999999999997</v>
      </c>
      <c r="E683" s="2">
        <v>13.89</v>
      </c>
      <c r="F683">
        <v>1202</v>
      </c>
      <c r="G683" t="s">
        <v>1288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1278</v>
      </c>
      <c r="N683">
        <v>0.41</v>
      </c>
      <c r="O683" t="s">
        <v>33</v>
      </c>
      <c r="P683" t="s">
        <v>53</v>
      </c>
      <c r="Q683" t="s">
        <v>54</v>
      </c>
      <c r="R683" t="s">
        <v>1289</v>
      </c>
      <c r="S683">
        <v>7079</v>
      </c>
      <c r="T683" s="1">
        <v>42060</v>
      </c>
      <c r="U683" s="1">
        <v>42061</v>
      </c>
      <c r="V683" s="2">
        <v>344.54399999999998</v>
      </c>
      <c r="W683">
        <v>21</v>
      </c>
      <c r="X683" s="2">
        <v>746.03</v>
      </c>
      <c r="Y683">
        <v>87585</v>
      </c>
      <c r="Z683">
        <f t="shared" si="10"/>
        <v>15666.63</v>
      </c>
    </row>
    <row r="684" spans="1:26" x14ac:dyDescent="0.25">
      <c r="A684">
        <v>19552</v>
      </c>
      <c r="B684" t="s">
        <v>106</v>
      </c>
      <c r="C684" s="2">
        <v>0.09</v>
      </c>
      <c r="D684" s="2">
        <v>49.99</v>
      </c>
      <c r="E684" s="2">
        <v>19.989999999999998</v>
      </c>
      <c r="F684">
        <v>1203</v>
      </c>
      <c r="G684" t="s">
        <v>1290</v>
      </c>
      <c r="H684" t="s">
        <v>49</v>
      </c>
      <c r="I684" t="s">
        <v>58</v>
      </c>
      <c r="J684" t="s">
        <v>77</v>
      </c>
      <c r="K684" t="s">
        <v>177</v>
      </c>
      <c r="L684" t="s">
        <v>59</v>
      </c>
      <c r="M684" t="s">
        <v>270</v>
      </c>
      <c r="N684">
        <v>0.41</v>
      </c>
      <c r="O684" t="s">
        <v>33</v>
      </c>
      <c r="P684" t="s">
        <v>53</v>
      </c>
      <c r="Q684" t="s">
        <v>463</v>
      </c>
      <c r="R684" t="s">
        <v>464</v>
      </c>
      <c r="S684">
        <v>2920</v>
      </c>
      <c r="T684" s="1">
        <v>42183</v>
      </c>
      <c r="U684" s="1">
        <v>42185</v>
      </c>
      <c r="V684" s="2">
        <v>-8.5150000000000006</v>
      </c>
      <c r="W684">
        <v>12</v>
      </c>
      <c r="X684" s="2">
        <v>593.33000000000004</v>
      </c>
      <c r="Y684">
        <v>87587</v>
      </c>
      <c r="Z684">
        <f t="shared" si="10"/>
        <v>7119.9600000000009</v>
      </c>
    </row>
    <row r="685" spans="1:26" x14ac:dyDescent="0.25">
      <c r="A685">
        <v>18636</v>
      </c>
      <c r="B685" t="s">
        <v>106</v>
      </c>
      <c r="C685" s="2">
        <v>0.01</v>
      </c>
      <c r="D685" s="2">
        <v>3.08</v>
      </c>
      <c r="E685" s="2">
        <v>0.5</v>
      </c>
      <c r="F685">
        <v>1211</v>
      </c>
      <c r="G685" t="s">
        <v>1291</v>
      </c>
      <c r="H685" t="s">
        <v>49</v>
      </c>
      <c r="I685" t="s">
        <v>28</v>
      </c>
      <c r="J685" t="s">
        <v>29</v>
      </c>
      <c r="K685" t="s">
        <v>133</v>
      </c>
      <c r="L685" t="s">
        <v>59</v>
      </c>
      <c r="M685" t="s">
        <v>1292</v>
      </c>
      <c r="N685">
        <v>0.37</v>
      </c>
      <c r="O685" t="s">
        <v>33</v>
      </c>
      <c r="P685" t="s">
        <v>61</v>
      </c>
      <c r="Q685" t="s">
        <v>695</v>
      </c>
      <c r="R685" t="s">
        <v>1293</v>
      </c>
      <c r="S685">
        <v>46806</v>
      </c>
      <c r="T685" s="1">
        <v>42036</v>
      </c>
      <c r="U685" s="1">
        <v>42041</v>
      </c>
      <c r="V685" s="2">
        <v>9.0045000000000002</v>
      </c>
      <c r="W685">
        <v>4</v>
      </c>
      <c r="X685" s="2">
        <v>13.05</v>
      </c>
      <c r="Y685">
        <v>88598</v>
      </c>
      <c r="Z685">
        <f t="shared" si="10"/>
        <v>52.2</v>
      </c>
    </row>
    <row r="686" spans="1:26" x14ac:dyDescent="0.25">
      <c r="A686">
        <v>22528</v>
      </c>
      <c r="B686" t="s">
        <v>25</v>
      </c>
      <c r="C686" s="2">
        <v>0.08</v>
      </c>
      <c r="D686" s="2">
        <v>4.91</v>
      </c>
      <c r="E686" s="2">
        <v>4.97</v>
      </c>
      <c r="F686">
        <v>1212</v>
      </c>
      <c r="G686" t="s">
        <v>1294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1295</v>
      </c>
      <c r="N686">
        <v>0.38</v>
      </c>
      <c r="O686" t="s">
        <v>33</v>
      </c>
      <c r="P686" t="s">
        <v>61</v>
      </c>
      <c r="Q686" t="s">
        <v>695</v>
      </c>
      <c r="R686" t="s">
        <v>1296</v>
      </c>
      <c r="S686">
        <v>46404</v>
      </c>
      <c r="T686" s="1">
        <v>42019</v>
      </c>
      <c r="U686" s="1">
        <v>42020</v>
      </c>
      <c r="V686" s="2">
        <v>-99.762500000000003</v>
      </c>
      <c r="W686">
        <v>12</v>
      </c>
      <c r="X686" s="2">
        <v>58.95</v>
      </c>
      <c r="Y686">
        <v>88600</v>
      </c>
      <c r="Z686">
        <f t="shared" si="10"/>
        <v>707.40000000000009</v>
      </c>
    </row>
    <row r="687" spans="1:26" x14ac:dyDescent="0.25">
      <c r="A687">
        <v>22529</v>
      </c>
      <c r="B687" t="s">
        <v>25</v>
      </c>
      <c r="C687" s="2">
        <v>0.01</v>
      </c>
      <c r="D687" s="2">
        <v>3499.99</v>
      </c>
      <c r="E687" s="2">
        <v>24.49</v>
      </c>
      <c r="F687">
        <v>1212</v>
      </c>
      <c r="G687" t="s">
        <v>1294</v>
      </c>
      <c r="H687" t="s">
        <v>49</v>
      </c>
      <c r="I687" t="s">
        <v>28</v>
      </c>
      <c r="J687" t="s">
        <v>77</v>
      </c>
      <c r="K687" t="s">
        <v>580</v>
      </c>
      <c r="L687" t="s">
        <v>231</v>
      </c>
      <c r="M687" t="s">
        <v>1297</v>
      </c>
      <c r="N687">
        <v>0.37</v>
      </c>
      <c r="O687" t="s">
        <v>33</v>
      </c>
      <c r="P687" t="s">
        <v>61</v>
      </c>
      <c r="Q687" t="s">
        <v>695</v>
      </c>
      <c r="R687" t="s">
        <v>1296</v>
      </c>
      <c r="S687">
        <v>46404</v>
      </c>
      <c r="T687" s="1">
        <v>42019</v>
      </c>
      <c r="U687" s="1">
        <v>42020</v>
      </c>
      <c r="V687" s="2">
        <v>-3061.82</v>
      </c>
      <c r="W687">
        <v>1</v>
      </c>
      <c r="X687" s="2">
        <v>3672.89</v>
      </c>
      <c r="Y687">
        <v>88600</v>
      </c>
      <c r="Z687">
        <f t="shared" si="10"/>
        <v>3672.89</v>
      </c>
    </row>
    <row r="688" spans="1:26" x14ac:dyDescent="0.25">
      <c r="A688">
        <v>24270</v>
      </c>
      <c r="B688" t="s">
        <v>106</v>
      </c>
      <c r="C688" s="2">
        <v>7.0000000000000007E-2</v>
      </c>
      <c r="D688" s="2">
        <v>29.89</v>
      </c>
      <c r="E688" s="2">
        <v>1.99</v>
      </c>
      <c r="F688">
        <v>1213</v>
      </c>
      <c r="G688" t="s">
        <v>1298</v>
      </c>
      <c r="H688" t="s">
        <v>27</v>
      </c>
      <c r="I688" t="s">
        <v>28</v>
      </c>
      <c r="J688" t="s">
        <v>77</v>
      </c>
      <c r="K688" t="s">
        <v>177</v>
      </c>
      <c r="L688" t="s">
        <v>51</v>
      </c>
      <c r="M688" t="s">
        <v>1299</v>
      </c>
      <c r="N688">
        <v>0.5</v>
      </c>
      <c r="O688" t="s">
        <v>33</v>
      </c>
      <c r="P688" t="s">
        <v>61</v>
      </c>
      <c r="Q688" t="s">
        <v>695</v>
      </c>
      <c r="R688" t="s">
        <v>1300</v>
      </c>
      <c r="S688">
        <v>46530</v>
      </c>
      <c r="T688" s="1">
        <v>42039</v>
      </c>
      <c r="U688" s="1">
        <v>42044</v>
      </c>
      <c r="V688" s="2">
        <v>258.6189</v>
      </c>
      <c r="W688">
        <v>13</v>
      </c>
      <c r="X688" s="2">
        <v>374.81</v>
      </c>
      <c r="Y688">
        <v>88599</v>
      </c>
      <c r="Z688">
        <f t="shared" si="10"/>
        <v>4872.53</v>
      </c>
    </row>
    <row r="689" spans="1:26" x14ac:dyDescent="0.25">
      <c r="A689">
        <v>24271</v>
      </c>
      <c r="B689" t="s">
        <v>106</v>
      </c>
      <c r="C689" s="2">
        <v>0.03</v>
      </c>
      <c r="D689" s="2">
        <v>8.34</v>
      </c>
      <c r="E689" s="2">
        <v>4.82</v>
      </c>
      <c r="F689">
        <v>1213</v>
      </c>
      <c r="G689" t="s">
        <v>1298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909</v>
      </c>
      <c r="N689">
        <v>0.4</v>
      </c>
      <c r="O689" t="s">
        <v>33</v>
      </c>
      <c r="P689" t="s">
        <v>61</v>
      </c>
      <c r="Q689" t="s">
        <v>695</v>
      </c>
      <c r="R689" t="s">
        <v>1300</v>
      </c>
      <c r="S689">
        <v>46530</v>
      </c>
      <c r="T689" s="1">
        <v>42039</v>
      </c>
      <c r="U689" s="1">
        <v>42043</v>
      </c>
      <c r="V689" s="2">
        <v>-6.71</v>
      </c>
      <c r="W689">
        <v>5</v>
      </c>
      <c r="X689" s="2">
        <v>43.27</v>
      </c>
      <c r="Y689">
        <v>88599</v>
      </c>
      <c r="Z689">
        <f t="shared" si="10"/>
        <v>216.35000000000002</v>
      </c>
    </row>
    <row r="690" spans="1:26" x14ac:dyDescent="0.25">
      <c r="A690">
        <v>22530</v>
      </c>
      <c r="B690" t="s">
        <v>25</v>
      </c>
      <c r="C690" s="2">
        <v>0.03</v>
      </c>
      <c r="D690" s="2">
        <v>5.84</v>
      </c>
      <c r="E690" s="2">
        <v>1.2</v>
      </c>
      <c r="F690">
        <v>1213</v>
      </c>
      <c r="G690" t="s">
        <v>1298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1301</v>
      </c>
      <c r="N690">
        <v>0.55000000000000004</v>
      </c>
      <c r="O690" t="s">
        <v>33</v>
      </c>
      <c r="P690" t="s">
        <v>61</v>
      </c>
      <c r="Q690" t="s">
        <v>695</v>
      </c>
      <c r="R690" t="s">
        <v>1300</v>
      </c>
      <c r="S690">
        <v>46530</v>
      </c>
      <c r="T690" s="1">
        <v>42019</v>
      </c>
      <c r="U690" s="1">
        <v>42021</v>
      </c>
      <c r="V690" s="2">
        <v>-0.01</v>
      </c>
      <c r="W690">
        <v>2</v>
      </c>
      <c r="X690" s="2">
        <v>11.74</v>
      </c>
      <c r="Y690">
        <v>88600</v>
      </c>
      <c r="Z690">
        <f t="shared" si="10"/>
        <v>23.48</v>
      </c>
    </row>
    <row r="691" spans="1:26" x14ac:dyDescent="0.25">
      <c r="A691">
        <v>7632</v>
      </c>
      <c r="B691" t="s">
        <v>56</v>
      </c>
      <c r="C691" s="2">
        <v>0.09</v>
      </c>
      <c r="D691" s="2">
        <v>130.97999999999999</v>
      </c>
      <c r="E691" s="2">
        <v>30</v>
      </c>
      <c r="F691">
        <v>1217</v>
      </c>
      <c r="G691" t="s">
        <v>1302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539</v>
      </c>
      <c r="N691">
        <v>0.78</v>
      </c>
      <c r="O691" t="s">
        <v>33</v>
      </c>
      <c r="P691" t="s">
        <v>53</v>
      </c>
      <c r="Q691" t="s">
        <v>189</v>
      </c>
      <c r="R691" t="s">
        <v>190</v>
      </c>
      <c r="S691">
        <v>2112</v>
      </c>
      <c r="T691" s="1">
        <v>42122</v>
      </c>
      <c r="U691" s="1">
        <v>42125</v>
      </c>
      <c r="V691" s="2">
        <v>-421.76</v>
      </c>
      <c r="W691">
        <v>41</v>
      </c>
      <c r="X691" s="2">
        <v>5258.94</v>
      </c>
      <c r="Y691">
        <v>54595</v>
      </c>
      <c r="Z691">
        <f t="shared" si="10"/>
        <v>215616.53999999998</v>
      </c>
    </row>
    <row r="692" spans="1:26" x14ac:dyDescent="0.25">
      <c r="A692">
        <v>25631</v>
      </c>
      <c r="B692" t="s">
        <v>56</v>
      </c>
      <c r="C692" s="2">
        <v>0.02</v>
      </c>
      <c r="D692" s="2">
        <v>8.34</v>
      </c>
      <c r="E692" s="2">
        <v>2.64</v>
      </c>
      <c r="F692">
        <v>1226</v>
      </c>
      <c r="G692" t="s">
        <v>1303</v>
      </c>
      <c r="H692" t="s">
        <v>49</v>
      </c>
      <c r="I692" t="s">
        <v>58</v>
      </c>
      <c r="J692" t="s">
        <v>29</v>
      </c>
      <c r="K692" t="s">
        <v>171</v>
      </c>
      <c r="L692" t="s">
        <v>51</v>
      </c>
      <c r="M692" t="s">
        <v>352</v>
      </c>
      <c r="N692">
        <v>0.59</v>
      </c>
      <c r="O692" t="s">
        <v>33</v>
      </c>
      <c r="P692" t="s">
        <v>53</v>
      </c>
      <c r="Q692" t="s">
        <v>463</v>
      </c>
      <c r="R692" t="s">
        <v>1304</v>
      </c>
      <c r="S692">
        <v>2861</v>
      </c>
      <c r="T692" s="1">
        <v>42122</v>
      </c>
      <c r="U692" s="1">
        <v>42124</v>
      </c>
      <c r="V692" s="2">
        <v>6.79</v>
      </c>
      <c r="W692">
        <v>8</v>
      </c>
      <c r="X692" s="2">
        <v>66.739999999999995</v>
      </c>
      <c r="Y692">
        <v>90800</v>
      </c>
      <c r="Z692">
        <f t="shared" si="10"/>
        <v>533.91999999999996</v>
      </c>
    </row>
    <row r="693" spans="1:26" x14ac:dyDescent="0.25">
      <c r="A693">
        <v>25632</v>
      </c>
      <c r="B693" t="s">
        <v>56</v>
      </c>
      <c r="C693" s="2">
        <v>0.09</v>
      </c>
      <c r="D693" s="2">
        <v>130.97999999999999</v>
      </c>
      <c r="E693" s="2">
        <v>30</v>
      </c>
      <c r="F693">
        <v>1227</v>
      </c>
      <c r="G693" t="s">
        <v>1305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539</v>
      </c>
      <c r="N693">
        <v>0.78</v>
      </c>
      <c r="O693" t="s">
        <v>33</v>
      </c>
      <c r="P693" t="s">
        <v>53</v>
      </c>
      <c r="Q693" t="s">
        <v>147</v>
      </c>
      <c r="R693" t="s">
        <v>769</v>
      </c>
      <c r="S693">
        <v>5403</v>
      </c>
      <c r="T693" s="1">
        <v>42122</v>
      </c>
      <c r="U693" s="1">
        <v>42125</v>
      </c>
      <c r="V693" s="2">
        <v>-421.76</v>
      </c>
      <c r="W693">
        <v>10</v>
      </c>
      <c r="X693" s="2">
        <v>1282.67</v>
      </c>
      <c r="Y693">
        <v>90800</v>
      </c>
      <c r="Z693">
        <f t="shared" si="10"/>
        <v>12826.7</v>
      </c>
    </row>
    <row r="694" spans="1:26" x14ac:dyDescent="0.25">
      <c r="A694">
        <v>7810</v>
      </c>
      <c r="B694" t="s">
        <v>56</v>
      </c>
      <c r="C694" s="2">
        <v>0</v>
      </c>
      <c r="D694" s="2">
        <v>7.1</v>
      </c>
      <c r="E694" s="2">
        <v>6.05</v>
      </c>
      <c r="F694">
        <v>1228</v>
      </c>
      <c r="G694" t="s">
        <v>1306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644</v>
      </c>
      <c r="N694">
        <v>0.39</v>
      </c>
      <c r="O694" t="s">
        <v>33</v>
      </c>
      <c r="P694" t="s">
        <v>53</v>
      </c>
      <c r="Q694" t="s">
        <v>229</v>
      </c>
      <c r="R694" t="s">
        <v>1307</v>
      </c>
      <c r="S694">
        <v>19140</v>
      </c>
      <c r="T694" s="1">
        <v>42051</v>
      </c>
      <c r="U694" s="1">
        <v>42052</v>
      </c>
      <c r="V694" s="2">
        <v>-60.145000000000003</v>
      </c>
      <c r="W694">
        <v>28</v>
      </c>
      <c r="X694" s="2">
        <v>208.83</v>
      </c>
      <c r="Y694">
        <v>55874</v>
      </c>
      <c r="Z694">
        <f t="shared" si="10"/>
        <v>5847.2400000000007</v>
      </c>
    </row>
    <row r="695" spans="1:26" x14ac:dyDescent="0.25">
      <c r="A695">
        <v>7811</v>
      </c>
      <c r="B695" t="s">
        <v>56</v>
      </c>
      <c r="C695" s="2">
        <v>0.01</v>
      </c>
      <c r="D695" s="2">
        <v>4.9800000000000004</v>
      </c>
      <c r="E695" s="2">
        <v>4.62</v>
      </c>
      <c r="F695">
        <v>1228</v>
      </c>
      <c r="G695" t="s">
        <v>1306</v>
      </c>
      <c r="H695" t="s">
        <v>27</v>
      </c>
      <c r="I695" t="s">
        <v>58</v>
      </c>
      <c r="J695" t="s">
        <v>77</v>
      </c>
      <c r="K695" t="s">
        <v>177</v>
      </c>
      <c r="L695" t="s">
        <v>51</v>
      </c>
      <c r="M695" t="s">
        <v>405</v>
      </c>
      <c r="N695">
        <v>0.64</v>
      </c>
      <c r="O695" t="s">
        <v>33</v>
      </c>
      <c r="P695" t="s">
        <v>53</v>
      </c>
      <c r="Q695" t="s">
        <v>229</v>
      </c>
      <c r="R695" t="s">
        <v>1307</v>
      </c>
      <c r="S695">
        <v>19140</v>
      </c>
      <c r="T695" s="1">
        <v>42051</v>
      </c>
      <c r="U695" s="1">
        <v>42053</v>
      </c>
      <c r="V695" s="2">
        <v>-111.72</v>
      </c>
      <c r="W695">
        <v>41</v>
      </c>
      <c r="X695" s="2">
        <v>228.3</v>
      </c>
      <c r="Y695">
        <v>55874</v>
      </c>
      <c r="Z695">
        <f t="shared" si="10"/>
        <v>9360.3000000000011</v>
      </c>
    </row>
    <row r="696" spans="1:26" x14ac:dyDescent="0.25">
      <c r="A696">
        <v>7812</v>
      </c>
      <c r="B696" t="s">
        <v>56</v>
      </c>
      <c r="C696" s="2">
        <v>0.06</v>
      </c>
      <c r="D696" s="2">
        <v>5.68</v>
      </c>
      <c r="E696" s="2">
        <v>1.39</v>
      </c>
      <c r="F696">
        <v>1228</v>
      </c>
      <c r="G696" t="s">
        <v>1306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989</v>
      </c>
      <c r="N696">
        <v>0.38</v>
      </c>
      <c r="O696" t="s">
        <v>33</v>
      </c>
      <c r="P696" t="s">
        <v>53</v>
      </c>
      <c r="Q696" t="s">
        <v>229</v>
      </c>
      <c r="R696" t="s">
        <v>1307</v>
      </c>
      <c r="S696">
        <v>19140</v>
      </c>
      <c r="T696" s="1">
        <v>42051</v>
      </c>
      <c r="U696" s="1">
        <v>42051</v>
      </c>
      <c r="V696" s="2">
        <v>33.01</v>
      </c>
      <c r="W696">
        <v>24</v>
      </c>
      <c r="X696" s="2">
        <v>129.53</v>
      </c>
      <c r="Y696">
        <v>55874</v>
      </c>
      <c r="Z696">
        <f t="shared" si="10"/>
        <v>3108.7200000000003</v>
      </c>
    </row>
    <row r="697" spans="1:26" x14ac:dyDescent="0.25">
      <c r="A697">
        <v>25811</v>
      </c>
      <c r="B697" t="s">
        <v>56</v>
      </c>
      <c r="C697" s="2">
        <v>0.01</v>
      </c>
      <c r="D697" s="2">
        <v>4.9800000000000004</v>
      </c>
      <c r="E697" s="2">
        <v>4.62</v>
      </c>
      <c r="F697">
        <v>1229</v>
      </c>
      <c r="G697" t="s">
        <v>1308</v>
      </c>
      <c r="H697" t="s">
        <v>27</v>
      </c>
      <c r="I697" t="s">
        <v>58</v>
      </c>
      <c r="J697" t="s">
        <v>77</v>
      </c>
      <c r="K697" t="s">
        <v>177</v>
      </c>
      <c r="L697" t="s">
        <v>51</v>
      </c>
      <c r="M697" t="s">
        <v>405</v>
      </c>
      <c r="N697">
        <v>0.64</v>
      </c>
      <c r="O697" t="s">
        <v>33</v>
      </c>
      <c r="P697" t="s">
        <v>61</v>
      </c>
      <c r="Q697" t="s">
        <v>129</v>
      </c>
      <c r="R697" t="s">
        <v>1309</v>
      </c>
      <c r="S697">
        <v>75482</v>
      </c>
      <c r="T697" s="1">
        <v>42051</v>
      </c>
      <c r="U697" s="1">
        <v>42053</v>
      </c>
      <c r="V697" s="2">
        <v>-111.72</v>
      </c>
      <c r="W697">
        <v>10</v>
      </c>
      <c r="X697" s="2">
        <v>55.68</v>
      </c>
      <c r="Y697">
        <v>90378</v>
      </c>
      <c r="Z697">
        <f t="shared" si="10"/>
        <v>556.79999999999995</v>
      </c>
    </row>
    <row r="698" spans="1:26" x14ac:dyDescent="0.25">
      <c r="A698">
        <v>21206</v>
      </c>
      <c r="B698" t="s">
        <v>47</v>
      </c>
      <c r="C698" s="2">
        <v>0.1</v>
      </c>
      <c r="D698" s="2">
        <v>120.98</v>
      </c>
      <c r="E698" s="2">
        <v>9.07</v>
      </c>
      <c r="F698">
        <v>1233</v>
      </c>
      <c r="G698" t="s">
        <v>1310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1311</v>
      </c>
      <c r="N698">
        <v>0.35</v>
      </c>
      <c r="O698" t="s">
        <v>33</v>
      </c>
      <c r="P698" t="s">
        <v>61</v>
      </c>
      <c r="Q698" t="s">
        <v>129</v>
      </c>
      <c r="R698" t="s">
        <v>1312</v>
      </c>
      <c r="S698">
        <v>75028</v>
      </c>
      <c r="T698" s="1">
        <v>42103</v>
      </c>
      <c r="U698" s="1">
        <v>42105</v>
      </c>
      <c r="V698" s="2">
        <v>297.45715999999999</v>
      </c>
      <c r="W698">
        <v>5</v>
      </c>
      <c r="X698" s="2">
        <v>568.24</v>
      </c>
      <c r="Y698">
        <v>89375</v>
      </c>
      <c r="Z698">
        <f t="shared" si="10"/>
        <v>2841.2</v>
      </c>
    </row>
    <row r="699" spans="1:26" x14ac:dyDescent="0.25">
      <c r="A699">
        <v>21207</v>
      </c>
      <c r="B699" t="s">
        <v>47</v>
      </c>
      <c r="C699" s="2">
        <v>0.02</v>
      </c>
      <c r="D699" s="2">
        <v>152.47999999999999</v>
      </c>
      <c r="E699" s="2">
        <v>6.5</v>
      </c>
      <c r="F699">
        <v>1233</v>
      </c>
      <c r="G699" t="s">
        <v>1310</v>
      </c>
      <c r="H699" t="s">
        <v>27</v>
      </c>
      <c r="I699" t="s">
        <v>114</v>
      </c>
      <c r="J699" t="s">
        <v>77</v>
      </c>
      <c r="K699" t="s">
        <v>177</v>
      </c>
      <c r="L699" t="s">
        <v>59</v>
      </c>
      <c r="M699" t="s">
        <v>602</v>
      </c>
      <c r="N699">
        <v>0.74</v>
      </c>
      <c r="O699" t="s">
        <v>33</v>
      </c>
      <c r="P699" t="s">
        <v>61</v>
      </c>
      <c r="Q699" t="s">
        <v>129</v>
      </c>
      <c r="R699" t="s">
        <v>1312</v>
      </c>
      <c r="S699">
        <v>75028</v>
      </c>
      <c r="T699" s="1">
        <v>42103</v>
      </c>
      <c r="U699" s="1">
        <v>42105</v>
      </c>
      <c r="V699" s="2">
        <v>-564.60239999999999</v>
      </c>
      <c r="W699">
        <v>1</v>
      </c>
      <c r="X699" s="2">
        <v>162.91</v>
      </c>
      <c r="Y699">
        <v>89375</v>
      </c>
      <c r="Z699">
        <f t="shared" si="10"/>
        <v>162.91</v>
      </c>
    </row>
    <row r="700" spans="1:26" x14ac:dyDescent="0.25">
      <c r="A700">
        <v>19874</v>
      </c>
      <c r="B700" t="s">
        <v>25</v>
      </c>
      <c r="C700" s="2">
        <v>0.09</v>
      </c>
      <c r="D700" s="2">
        <v>99.99</v>
      </c>
      <c r="E700" s="2">
        <v>19.989999999999998</v>
      </c>
      <c r="F700">
        <v>1233</v>
      </c>
      <c r="G700" t="s">
        <v>1310</v>
      </c>
      <c r="H700" t="s">
        <v>49</v>
      </c>
      <c r="I700" t="s">
        <v>114</v>
      </c>
      <c r="J700" t="s">
        <v>77</v>
      </c>
      <c r="K700" t="s">
        <v>177</v>
      </c>
      <c r="L700" t="s">
        <v>59</v>
      </c>
      <c r="M700" t="s">
        <v>1140</v>
      </c>
      <c r="N700">
        <v>0.52</v>
      </c>
      <c r="O700" t="s">
        <v>33</v>
      </c>
      <c r="P700" t="s">
        <v>61</v>
      </c>
      <c r="Q700" t="s">
        <v>129</v>
      </c>
      <c r="R700" t="s">
        <v>1312</v>
      </c>
      <c r="S700">
        <v>75028</v>
      </c>
      <c r="T700" s="1">
        <v>42159</v>
      </c>
      <c r="U700" s="1">
        <v>42161</v>
      </c>
      <c r="V700" s="2">
        <v>-161.47499999999999</v>
      </c>
      <c r="W700">
        <v>1</v>
      </c>
      <c r="X700" s="2">
        <v>97.65</v>
      </c>
      <c r="Y700">
        <v>89376</v>
      </c>
      <c r="Z700">
        <f t="shared" si="10"/>
        <v>97.65</v>
      </c>
    </row>
    <row r="701" spans="1:26" x14ac:dyDescent="0.25">
      <c r="A701">
        <v>19875</v>
      </c>
      <c r="B701" t="s">
        <v>25</v>
      </c>
      <c r="C701" s="2">
        <v>0.04</v>
      </c>
      <c r="D701" s="2">
        <v>205.99</v>
      </c>
      <c r="E701" s="2">
        <v>5.26</v>
      </c>
      <c r="F701">
        <v>1233</v>
      </c>
      <c r="G701" t="s">
        <v>1310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815</v>
      </c>
      <c r="N701">
        <v>0.56000000000000005</v>
      </c>
      <c r="O701" t="s">
        <v>33</v>
      </c>
      <c r="P701" t="s">
        <v>61</v>
      </c>
      <c r="Q701" t="s">
        <v>129</v>
      </c>
      <c r="R701" t="s">
        <v>1312</v>
      </c>
      <c r="S701">
        <v>75028</v>
      </c>
      <c r="T701" s="1">
        <v>42159</v>
      </c>
      <c r="U701" s="1">
        <v>42160</v>
      </c>
      <c r="V701" s="2">
        <v>-0.81399999999999995</v>
      </c>
      <c r="W701">
        <v>6</v>
      </c>
      <c r="X701" s="2">
        <v>1018.61</v>
      </c>
      <c r="Y701">
        <v>89376</v>
      </c>
      <c r="Z701">
        <f t="shared" si="10"/>
        <v>6111.66</v>
      </c>
    </row>
    <row r="702" spans="1:26" x14ac:dyDescent="0.25">
      <c r="A702">
        <v>20592</v>
      </c>
      <c r="B702" t="s">
        <v>56</v>
      </c>
      <c r="C702" s="2">
        <v>0.03</v>
      </c>
      <c r="D702" s="2">
        <v>128.24</v>
      </c>
      <c r="E702" s="2">
        <v>12.65</v>
      </c>
      <c r="F702">
        <v>1237</v>
      </c>
      <c r="G702" t="s">
        <v>1313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612</v>
      </c>
      <c r="O702" t="s">
        <v>33</v>
      </c>
      <c r="P702" t="s">
        <v>61</v>
      </c>
      <c r="Q702" t="s">
        <v>129</v>
      </c>
      <c r="R702" t="s">
        <v>1314</v>
      </c>
      <c r="S702">
        <v>75007</v>
      </c>
      <c r="T702" s="1">
        <v>42035</v>
      </c>
      <c r="U702" s="1">
        <v>42037</v>
      </c>
      <c r="V702" s="2">
        <v>790.46400000000006</v>
      </c>
      <c r="W702">
        <v>9</v>
      </c>
      <c r="X702" s="2">
        <v>1145.5999999999999</v>
      </c>
      <c r="Y702">
        <v>86075</v>
      </c>
      <c r="Z702">
        <f t="shared" si="10"/>
        <v>10310.4</v>
      </c>
    </row>
    <row r="703" spans="1:26" x14ac:dyDescent="0.25">
      <c r="A703">
        <v>18625</v>
      </c>
      <c r="B703" t="s">
        <v>37</v>
      </c>
      <c r="C703" s="2">
        <v>0.02</v>
      </c>
      <c r="D703" s="2">
        <v>7.38</v>
      </c>
      <c r="E703" s="2">
        <v>5.21</v>
      </c>
      <c r="F703">
        <v>1237</v>
      </c>
      <c r="G703" t="s">
        <v>1313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418</v>
      </c>
      <c r="N703">
        <v>0.56000000000000005</v>
      </c>
      <c r="O703" t="s">
        <v>33</v>
      </c>
      <c r="P703" t="s">
        <v>61</v>
      </c>
      <c r="Q703" t="s">
        <v>129</v>
      </c>
      <c r="R703" t="s">
        <v>1314</v>
      </c>
      <c r="S703">
        <v>75007</v>
      </c>
      <c r="T703" s="1">
        <v>42092</v>
      </c>
      <c r="U703" s="1">
        <v>42093</v>
      </c>
      <c r="V703" s="2">
        <v>7.74</v>
      </c>
      <c r="W703">
        <v>3</v>
      </c>
      <c r="X703" s="2">
        <v>24.52</v>
      </c>
      <c r="Y703">
        <v>86076</v>
      </c>
      <c r="Z703">
        <f t="shared" si="10"/>
        <v>73.56</v>
      </c>
    </row>
    <row r="704" spans="1:26" x14ac:dyDescent="0.25">
      <c r="A704">
        <v>20432</v>
      </c>
      <c r="B704" t="s">
        <v>56</v>
      </c>
      <c r="C704" s="2">
        <v>0.05</v>
      </c>
      <c r="D704" s="2">
        <v>300.98</v>
      </c>
      <c r="E704" s="2">
        <v>13.99</v>
      </c>
      <c r="F704">
        <v>1237</v>
      </c>
      <c r="G704" t="s">
        <v>1313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1315</v>
      </c>
      <c r="N704">
        <v>0.39</v>
      </c>
      <c r="O704" t="s">
        <v>33</v>
      </c>
      <c r="P704" t="s">
        <v>61</v>
      </c>
      <c r="Q704" t="s">
        <v>129</v>
      </c>
      <c r="R704" t="s">
        <v>1314</v>
      </c>
      <c r="S704">
        <v>75007</v>
      </c>
      <c r="T704" s="1">
        <v>42149</v>
      </c>
      <c r="U704" s="1">
        <v>42150</v>
      </c>
      <c r="V704" s="2">
        <v>3985.3089</v>
      </c>
      <c r="W704">
        <v>20</v>
      </c>
      <c r="X704" s="2">
        <v>5775.81</v>
      </c>
      <c r="Y704">
        <v>86077</v>
      </c>
      <c r="Z704">
        <f t="shared" si="10"/>
        <v>115516.20000000001</v>
      </c>
    </row>
    <row r="705" spans="1:26" x14ac:dyDescent="0.25">
      <c r="A705">
        <v>20433</v>
      </c>
      <c r="B705" t="s">
        <v>56</v>
      </c>
      <c r="C705" s="2">
        <v>0.04</v>
      </c>
      <c r="D705" s="2">
        <v>205.99</v>
      </c>
      <c r="E705" s="2">
        <v>5</v>
      </c>
      <c r="F705">
        <v>1237</v>
      </c>
      <c r="G705" t="s">
        <v>1313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1316</v>
      </c>
      <c r="N705">
        <v>0.59</v>
      </c>
      <c r="O705" t="s">
        <v>33</v>
      </c>
      <c r="P705" t="s">
        <v>61</v>
      </c>
      <c r="Q705" t="s">
        <v>129</v>
      </c>
      <c r="R705" t="s">
        <v>1314</v>
      </c>
      <c r="S705">
        <v>75007</v>
      </c>
      <c r="T705" s="1">
        <v>42149</v>
      </c>
      <c r="U705" s="1">
        <v>42150</v>
      </c>
      <c r="V705" s="2">
        <v>13.956799999999999</v>
      </c>
      <c r="W705">
        <v>11</v>
      </c>
      <c r="X705" s="2">
        <v>1878.24</v>
      </c>
      <c r="Y705">
        <v>86077</v>
      </c>
      <c r="Z705">
        <f t="shared" si="10"/>
        <v>20660.64</v>
      </c>
    </row>
    <row r="706" spans="1:26" x14ac:dyDescent="0.25">
      <c r="A706">
        <v>20593</v>
      </c>
      <c r="B706" t="s">
        <v>56</v>
      </c>
      <c r="C706" s="2">
        <v>0.01</v>
      </c>
      <c r="D706" s="2">
        <v>160.97999999999999</v>
      </c>
      <c r="E706" s="2">
        <v>30</v>
      </c>
      <c r="F706">
        <v>1238</v>
      </c>
      <c r="G706" t="s">
        <v>1317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174</v>
      </c>
      <c r="N706">
        <v>0.62</v>
      </c>
      <c r="O706" t="s">
        <v>33</v>
      </c>
      <c r="P706" t="s">
        <v>61</v>
      </c>
      <c r="Q706" t="s">
        <v>129</v>
      </c>
      <c r="R706" t="s">
        <v>1318</v>
      </c>
      <c r="S706">
        <v>75104</v>
      </c>
      <c r="T706" s="1">
        <v>42035</v>
      </c>
      <c r="U706" s="1">
        <v>42037</v>
      </c>
      <c r="V706" s="2">
        <v>788.79</v>
      </c>
      <c r="W706">
        <v>10</v>
      </c>
      <c r="X706" s="2">
        <v>1634.67</v>
      </c>
      <c r="Y706">
        <v>86075</v>
      </c>
      <c r="Z706">
        <f t="shared" si="10"/>
        <v>16346.7</v>
      </c>
    </row>
    <row r="707" spans="1:26" x14ac:dyDescent="0.25">
      <c r="A707">
        <v>20920</v>
      </c>
      <c r="B707" t="s">
        <v>37</v>
      </c>
      <c r="C707" s="2">
        <v>0</v>
      </c>
      <c r="D707" s="2">
        <v>387.99</v>
      </c>
      <c r="E707" s="2">
        <v>19.989999999999998</v>
      </c>
      <c r="F707">
        <v>1241</v>
      </c>
      <c r="G707" t="s">
        <v>1319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1320</v>
      </c>
      <c r="N707">
        <v>0.38</v>
      </c>
      <c r="O707" t="s">
        <v>33</v>
      </c>
      <c r="P707" t="s">
        <v>135</v>
      </c>
      <c r="Q707" t="s">
        <v>1266</v>
      </c>
      <c r="R707" t="s">
        <v>504</v>
      </c>
      <c r="S707">
        <v>36830</v>
      </c>
      <c r="T707" s="1">
        <v>42079</v>
      </c>
      <c r="U707" s="1">
        <v>42080</v>
      </c>
      <c r="V707" s="2">
        <v>-70.14</v>
      </c>
      <c r="W707">
        <v>23</v>
      </c>
      <c r="X707" s="2">
        <v>9280.7199999999993</v>
      </c>
      <c r="Y707">
        <v>90880</v>
      </c>
      <c r="Z707">
        <f t="shared" ref="Z707:Z770" si="11">W707*X707</f>
        <v>213456.56</v>
      </c>
    </row>
    <row r="708" spans="1:26" x14ac:dyDescent="0.25">
      <c r="A708">
        <v>20233</v>
      </c>
      <c r="B708" t="s">
        <v>47</v>
      </c>
      <c r="C708" s="2">
        <v>0.06</v>
      </c>
      <c r="D708" s="2">
        <v>200.97</v>
      </c>
      <c r="E708" s="2">
        <v>15.59</v>
      </c>
      <c r="F708">
        <v>1241</v>
      </c>
      <c r="G708" t="s">
        <v>1319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1321</v>
      </c>
      <c r="N708">
        <v>0.36</v>
      </c>
      <c r="O708" t="s">
        <v>33</v>
      </c>
      <c r="P708" t="s">
        <v>135</v>
      </c>
      <c r="Q708" t="s">
        <v>1266</v>
      </c>
      <c r="R708" t="s">
        <v>504</v>
      </c>
      <c r="S708">
        <v>36830</v>
      </c>
      <c r="T708" s="1">
        <v>42088</v>
      </c>
      <c r="U708" s="1">
        <v>42088</v>
      </c>
      <c r="V708" s="2">
        <v>531.61800000000005</v>
      </c>
      <c r="W708">
        <v>7</v>
      </c>
      <c r="X708" s="2">
        <v>1348.83</v>
      </c>
      <c r="Y708">
        <v>90881</v>
      </c>
      <c r="Z708">
        <f t="shared" si="11"/>
        <v>9441.81</v>
      </c>
    </row>
    <row r="709" spans="1:26" x14ac:dyDescent="0.25">
      <c r="A709">
        <v>5117</v>
      </c>
      <c r="B709" t="s">
        <v>25</v>
      </c>
      <c r="C709" s="2">
        <v>0.1</v>
      </c>
      <c r="D709" s="2">
        <v>22.38</v>
      </c>
      <c r="E709" s="2">
        <v>15.1</v>
      </c>
      <c r="F709">
        <v>1246</v>
      </c>
      <c r="G709" t="s">
        <v>1322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1164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1">
        <v>42099</v>
      </c>
      <c r="U709" s="1">
        <v>42100</v>
      </c>
      <c r="V709" s="2">
        <v>-107.51349999999999</v>
      </c>
      <c r="W709">
        <v>26</v>
      </c>
      <c r="X709" s="2">
        <v>564.98</v>
      </c>
      <c r="Y709">
        <v>36452</v>
      </c>
      <c r="Z709">
        <f t="shared" si="11"/>
        <v>14689.48</v>
      </c>
    </row>
    <row r="710" spans="1:26" x14ac:dyDescent="0.25">
      <c r="A710">
        <v>5118</v>
      </c>
      <c r="B710" t="s">
        <v>25</v>
      </c>
      <c r="C710" s="2">
        <v>0.04</v>
      </c>
      <c r="D710" s="2">
        <v>6.98</v>
      </c>
      <c r="E710" s="2">
        <v>2.83</v>
      </c>
      <c r="F710">
        <v>1246</v>
      </c>
      <c r="G710" t="s">
        <v>1322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1323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1">
        <v>42099</v>
      </c>
      <c r="U710" s="1">
        <v>42101</v>
      </c>
      <c r="V710" s="2">
        <v>46.01</v>
      </c>
      <c r="W710">
        <v>18</v>
      </c>
      <c r="X710" s="2">
        <v>129.47999999999999</v>
      </c>
      <c r="Y710">
        <v>36452</v>
      </c>
      <c r="Z710">
        <f t="shared" si="11"/>
        <v>2330.64</v>
      </c>
    </row>
    <row r="711" spans="1:26" x14ac:dyDescent="0.25">
      <c r="A711">
        <v>6581</v>
      </c>
      <c r="B711" t="s">
        <v>106</v>
      </c>
      <c r="C711" s="2">
        <v>0.03</v>
      </c>
      <c r="D711" s="2">
        <v>256.99</v>
      </c>
      <c r="E711" s="2">
        <v>11.25</v>
      </c>
      <c r="F711">
        <v>1246</v>
      </c>
      <c r="G711" t="s">
        <v>1322</v>
      </c>
      <c r="H711" t="s">
        <v>49</v>
      </c>
      <c r="I711" t="s">
        <v>40</v>
      </c>
      <c r="J711" t="s">
        <v>77</v>
      </c>
      <c r="K711" t="s">
        <v>177</v>
      </c>
      <c r="L711" t="s">
        <v>59</v>
      </c>
      <c r="M711" t="s">
        <v>1324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1">
        <v>42146</v>
      </c>
      <c r="U711" s="1">
        <v>42146</v>
      </c>
      <c r="V711" s="2">
        <v>1489.8</v>
      </c>
      <c r="W711">
        <v>32</v>
      </c>
      <c r="X711" s="2">
        <v>8216.2800000000007</v>
      </c>
      <c r="Y711">
        <v>46853</v>
      </c>
      <c r="Z711">
        <f t="shared" si="11"/>
        <v>262920.96000000002</v>
      </c>
    </row>
    <row r="712" spans="1:26" x14ac:dyDescent="0.25">
      <c r="A712">
        <v>23117</v>
      </c>
      <c r="B712" t="s">
        <v>25</v>
      </c>
      <c r="C712" s="2">
        <v>0.1</v>
      </c>
      <c r="D712" s="2">
        <v>22.38</v>
      </c>
      <c r="E712" s="2">
        <v>15.1</v>
      </c>
      <c r="F712">
        <v>1247</v>
      </c>
      <c r="G712" t="s">
        <v>1325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1164</v>
      </c>
      <c r="N712">
        <v>0.38</v>
      </c>
      <c r="O712" t="s">
        <v>33</v>
      </c>
      <c r="P712" t="s">
        <v>61</v>
      </c>
      <c r="Q712" t="s">
        <v>129</v>
      </c>
      <c r="R712" t="s">
        <v>1326</v>
      </c>
      <c r="S712">
        <v>78641</v>
      </c>
      <c r="T712" s="1">
        <v>42099</v>
      </c>
      <c r="U712" s="1">
        <v>42100</v>
      </c>
      <c r="V712" s="2">
        <v>-107.51349999999999</v>
      </c>
      <c r="W712">
        <v>7</v>
      </c>
      <c r="X712" s="2">
        <v>152.11000000000001</v>
      </c>
      <c r="Y712">
        <v>91555</v>
      </c>
      <c r="Z712">
        <f t="shared" si="11"/>
        <v>1064.77</v>
      </c>
    </row>
    <row r="713" spans="1:26" x14ac:dyDescent="0.25">
      <c r="A713">
        <v>23118</v>
      </c>
      <c r="B713" t="s">
        <v>25</v>
      </c>
      <c r="C713" s="2">
        <v>0.04</v>
      </c>
      <c r="D713" s="2">
        <v>6.98</v>
      </c>
      <c r="E713" s="2">
        <v>2.83</v>
      </c>
      <c r="F713">
        <v>1247</v>
      </c>
      <c r="G713" t="s">
        <v>1325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1323</v>
      </c>
      <c r="N713">
        <v>0.37</v>
      </c>
      <c r="O713" t="s">
        <v>33</v>
      </c>
      <c r="P713" t="s">
        <v>61</v>
      </c>
      <c r="Q713" t="s">
        <v>129</v>
      </c>
      <c r="R713" t="s">
        <v>1326</v>
      </c>
      <c r="S713">
        <v>78641</v>
      </c>
      <c r="T713" s="1">
        <v>42099</v>
      </c>
      <c r="U713" s="1">
        <v>42101</v>
      </c>
      <c r="V713" s="2">
        <v>24.819299999999998</v>
      </c>
      <c r="W713">
        <v>5</v>
      </c>
      <c r="X713" s="2">
        <v>35.97</v>
      </c>
      <c r="Y713">
        <v>91555</v>
      </c>
      <c r="Z713">
        <f t="shared" si="11"/>
        <v>179.85</v>
      </c>
    </row>
    <row r="714" spans="1:26" x14ac:dyDescent="0.25">
      <c r="A714">
        <v>18413</v>
      </c>
      <c r="B714" t="s">
        <v>25</v>
      </c>
      <c r="C714" s="2">
        <v>0</v>
      </c>
      <c r="D714" s="2">
        <v>3.89</v>
      </c>
      <c r="E714" s="2">
        <v>7.01</v>
      </c>
      <c r="F714">
        <v>1250</v>
      </c>
      <c r="G714" t="s">
        <v>1327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1328</v>
      </c>
      <c r="N714">
        <v>0.37</v>
      </c>
      <c r="O714" t="s">
        <v>33</v>
      </c>
      <c r="P714" t="s">
        <v>61</v>
      </c>
      <c r="Q714" t="s">
        <v>175</v>
      </c>
      <c r="R714" t="s">
        <v>1329</v>
      </c>
      <c r="S714">
        <v>60110</v>
      </c>
      <c r="T714" s="1">
        <v>42103</v>
      </c>
      <c r="U714" s="1">
        <v>42103</v>
      </c>
      <c r="V714" s="2">
        <v>-255.16890000000001</v>
      </c>
      <c r="W714">
        <v>21</v>
      </c>
      <c r="X714" s="2">
        <v>85.64</v>
      </c>
      <c r="Y714">
        <v>87877</v>
      </c>
      <c r="Z714">
        <f t="shared" si="11"/>
        <v>1798.44</v>
      </c>
    </row>
    <row r="715" spans="1:26" x14ac:dyDescent="0.25">
      <c r="A715">
        <v>18414</v>
      </c>
      <c r="B715" t="s">
        <v>25</v>
      </c>
      <c r="C715" s="2">
        <v>0.09</v>
      </c>
      <c r="D715" s="2">
        <v>120.98</v>
      </c>
      <c r="E715" s="2">
        <v>30</v>
      </c>
      <c r="F715">
        <v>1250</v>
      </c>
      <c r="G715" t="s">
        <v>1327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1330</v>
      </c>
      <c r="N715">
        <v>0.64</v>
      </c>
      <c r="O715" t="s">
        <v>33</v>
      </c>
      <c r="P715" t="s">
        <v>61</v>
      </c>
      <c r="Q715" t="s">
        <v>175</v>
      </c>
      <c r="R715" t="s">
        <v>1329</v>
      </c>
      <c r="S715">
        <v>60110</v>
      </c>
      <c r="T715" s="1">
        <v>42103</v>
      </c>
      <c r="U715" s="1">
        <v>42105</v>
      </c>
      <c r="V715" s="2">
        <v>74.004800000000003</v>
      </c>
      <c r="W715">
        <v>22</v>
      </c>
      <c r="X715" s="2">
        <v>2508.15</v>
      </c>
      <c r="Y715">
        <v>87877</v>
      </c>
      <c r="Z715">
        <f t="shared" si="11"/>
        <v>55179.3</v>
      </c>
    </row>
    <row r="716" spans="1:26" x14ac:dyDescent="0.25">
      <c r="A716">
        <v>18415</v>
      </c>
      <c r="B716" t="s">
        <v>25</v>
      </c>
      <c r="C716" s="2">
        <v>0.1</v>
      </c>
      <c r="D716" s="2">
        <v>30.98</v>
      </c>
      <c r="E716" s="2">
        <v>5.76</v>
      </c>
      <c r="F716">
        <v>1250</v>
      </c>
      <c r="G716" t="s">
        <v>1327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1331</v>
      </c>
      <c r="N716">
        <v>0.4</v>
      </c>
      <c r="O716" t="s">
        <v>33</v>
      </c>
      <c r="P716" t="s">
        <v>61</v>
      </c>
      <c r="Q716" t="s">
        <v>175</v>
      </c>
      <c r="R716" t="s">
        <v>1329</v>
      </c>
      <c r="S716">
        <v>60110</v>
      </c>
      <c r="T716" s="1">
        <v>42103</v>
      </c>
      <c r="U716" s="1">
        <v>42104</v>
      </c>
      <c r="V716" s="2">
        <v>109.4248</v>
      </c>
      <c r="W716">
        <v>8</v>
      </c>
      <c r="X716" s="2">
        <v>225.62</v>
      </c>
      <c r="Y716">
        <v>87877</v>
      </c>
      <c r="Z716">
        <f t="shared" si="11"/>
        <v>1804.96</v>
      </c>
    </row>
    <row r="717" spans="1:26" x14ac:dyDescent="0.25">
      <c r="A717">
        <v>19322</v>
      </c>
      <c r="B717" t="s">
        <v>106</v>
      </c>
      <c r="C717" s="2">
        <v>0.02</v>
      </c>
      <c r="D717" s="2">
        <v>46.89</v>
      </c>
      <c r="E717" s="2">
        <v>5.0999999999999996</v>
      </c>
      <c r="F717">
        <v>1253</v>
      </c>
      <c r="G717" t="s">
        <v>1332</v>
      </c>
      <c r="H717" t="s">
        <v>49</v>
      </c>
      <c r="I717" t="s">
        <v>40</v>
      </c>
      <c r="J717" t="s">
        <v>29</v>
      </c>
      <c r="K717" t="s">
        <v>252</v>
      </c>
      <c r="L717" t="s">
        <v>86</v>
      </c>
      <c r="M717" t="s">
        <v>1333</v>
      </c>
      <c r="N717">
        <v>0.46</v>
      </c>
      <c r="O717" t="s">
        <v>33</v>
      </c>
      <c r="P717" t="s">
        <v>61</v>
      </c>
      <c r="Q717" t="s">
        <v>129</v>
      </c>
      <c r="R717" t="s">
        <v>1334</v>
      </c>
      <c r="S717">
        <v>78613</v>
      </c>
      <c r="T717" s="1">
        <v>42117</v>
      </c>
      <c r="U717" s="1">
        <v>42117</v>
      </c>
      <c r="V717" s="2">
        <v>421.3485</v>
      </c>
      <c r="W717">
        <v>13</v>
      </c>
      <c r="X717" s="2">
        <v>610.65</v>
      </c>
      <c r="Y717">
        <v>89981</v>
      </c>
      <c r="Z717">
        <f t="shared" si="11"/>
        <v>7938.45</v>
      </c>
    </row>
    <row r="718" spans="1:26" x14ac:dyDescent="0.25">
      <c r="A718">
        <v>19323</v>
      </c>
      <c r="B718" t="s">
        <v>106</v>
      </c>
      <c r="C718" s="2">
        <v>0.05</v>
      </c>
      <c r="D718" s="2">
        <v>140.97999999999999</v>
      </c>
      <c r="E718" s="2">
        <v>36.090000000000003</v>
      </c>
      <c r="F718">
        <v>1253</v>
      </c>
      <c r="G718" t="s">
        <v>1332</v>
      </c>
      <c r="H718" t="s">
        <v>39</v>
      </c>
      <c r="I718" t="s">
        <v>40</v>
      </c>
      <c r="J718" t="s">
        <v>41</v>
      </c>
      <c r="K718" t="s">
        <v>187</v>
      </c>
      <c r="L718" t="s">
        <v>120</v>
      </c>
      <c r="M718" t="s">
        <v>1335</v>
      </c>
      <c r="N718">
        <v>0.77</v>
      </c>
      <c r="O718" t="s">
        <v>33</v>
      </c>
      <c r="P718" t="s">
        <v>61</v>
      </c>
      <c r="Q718" t="s">
        <v>129</v>
      </c>
      <c r="R718" t="s">
        <v>1334</v>
      </c>
      <c r="S718">
        <v>78613</v>
      </c>
      <c r="T718" s="1">
        <v>42117</v>
      </c>
      <c r="U718" s="1">
        <v>42119</v>
      </c>
      <c r="V718" s="2">
        <v>-373.09</v>
      </c>
      <c r="W718">
        <v>5</v>
      </c>
      <c r="X718" s="2">
        <v>699.24</v>
      </c>
      <c r="Y718">
        <v>89981</v>
      </c>
      <c r="Z718">
        <f t="shared" si="11"/>
        <v>3496.2</v>
      </c>
    </row>
    <row r="719" spans="1:26" x14ac:dyDescent="0.25">
      <c r="A719">
        <v>19324</v>
      </c>
      <c r="B719" t="s">
        <v>106</v>
      </c>
      <c r="C719" s="2">
        <v>0.1</v>
      </c>
      <c r="D719" s="2">
        <v>212.6</v>
      </c>
      <c r="E719" s="2">
        <v>110.2</v>
      </c>
      <c r="F719">
        <v>1253</v>
      </c>
      <c r="G719" t="s">
        <v>1332</v>
      </c>
      <c r="H719" t="s">
        <v>39</v>
      </c>
      <c r="I719" t="s">
        <v>40</v>
      </c>
      <c r="J719" t="s">
        <v>41</v>
      </c>
      <c r="K719" t="s">
        <v>150</v>
      </c>
      <c r="L719" t="s">
        <v>120</v>
      </c>
      <c r="M719" t="s">
        <v>1336</v>
      </c>
      <c r="N719">
        <v>0.73</v>
      </c>
      <c r="O719" t="s">
        <v>33</v>
      </c>
      <c r="P719" t="s">
        <v>61</v>
      </c>
      <c r="Q719" t="s">
        <v>129</v>
      </c>
      <c r="R719" t="s">
        <v>1334</v>
      </c>
      <c r="S719">
        <v>78613</v>
      </c>
      <c r="T719" s="1">
        <v>42117</v>
      </c>
      <c r="U719" s="1">
        <v>42119</v>
      </c>
      <c r="V719" s="2">
        <v>-3465.0720000000001</v>
      </c>
      <c r="W719">
        <v>12</v>
      </c>
      <c r="X719" s="2">
        <v>2346.0300000000002</v>
      </c>
      <c r="Y719">
        <v>89981</v>
      </c>
      <c r="Z719">
        <f t="shared" si="11"/>
        <v>28152.36</v>
      </c>
    </row>
    <row r="720" spans="1:26" x14ac:dyDescent="0.25">
      <c r="A720">
        <v>23455</v>
      </c>
      <c r="B720" t="s">
        <v>56</v>
      </c>
      <c r="C720" s="2">
        <v>0.04</v>
      </c>
      <c r="D720" s="2">
        <v>2.08</v>
      </c>
      <c r="E720" s="2">
        <v>1.49</v>
      </c>
      <c r="F720">
        <v>1254</v>
      </c>
      <c r="G720" t="s">
        <v>1337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1338</v>
      </c>
      <c r="N720">
        <v>0.36</v>
      </c>
      <c r="O720" t="s">
        <v>33</v>
      </c>
      <c r="P720" t="s">
        <v>61</v>
      </c>
      <c r="Q720" t="s">
        <v>129</v>
      </c>
      <c r="R720" t="s">
        <v>1339</v>
      </c>
      <c r="S720">
        <v>77530</v>
      </c>
      <c r="T720" s="1">
        <v>42145</v>
      </c>
      <c r="U720" s="1">
        <v>42147</v>
      </c>
      <c r="V720" s="2">
        <v>-11.281499999999999</v>
      </c>
      <c r="W720">
        <v>16</v>
      </c>
      <c r="X720" s="2">
        <v>33.770000000000003</v>
      </c>
      <c r="Y720">
        <v>89982</v>
      </c>
      <c r="Z720">
        <f t="shared" si="11"/>
        <v>540.32000000000005</v>
      </c>
    </row>
    <row r="721" spans="1:26" x14ac:dyDescent="0.25">
      <c r="A721">
        <v>23815</v>
      </c>
      <c r="B721" t="s">
        <v>47</v>
      </c>
      <c r="C721" s="2">
        <v>0.06</v>
      </c>
      <c r="D721" s="2">
        <v>80.98</v>
      </c>
      <c r="E721" s="2">
        <v>35</v>
      </c>
      <c r="F721">
        <v>1254</v>
      </c>
      <c r="G721" t="s">
        <v>1337</v>
      </c>
      <c r="H721" t="s">
        <v>49</v>
      </c>
      <c r="I721" t="s">
        <v>40</v>
      </c>
      <c r="J721" t="s">
        <v>29</v>
      </c>
      <c r="K721" t="s">
        <v>139</v>
      </c>
      <c r="L721" t="s">
        <v>231</v>
      </c>
      <c r="M721" t="s">
        <v>1340</v>
      </c>
      <c r="N721">
        <v>0.81</v>
      </c>
      <c r="O721" t="s">
        <v>33</v>
      </c>
      <c r="P721" t="s">
        <v>61</v>
      </c>
      <c r="Q721" t="s">
        <v>129</v>
      </c>
      <c r="R721" t="s">
        <v>1339</v>
      </c>
      <c r="S721">
        <v>77530</v>
      </c>
      <c r="T721" s="1">
        <v>42075</v>
      </c>
      <c r="U721" s="1">
        <v>42076</v>
      </c>
      <c r="V721" s="2">
        <v>-218.77</v>
      </c>
      <c r="W721">
        <v>2</v>
      </c>
      <c r="X721" s="2">
        <v>172.79</v>
      </c>
      <c r="Y721">
        <v>89983</v>
      </c>
      <c r="Z721">
        <f t="shared" si="11"/>
        <v>345.58</v>
      </c>
    </row>
    <row r="722" spans="1:26" x14ac:dyDescent="0.25">
      <c r="A722">
        <v>23926</v>
      </c>
      <c r="B722" t="s">
        <v>56</v>
      </c>
      <c r="C722" s="2">
        <v>0.06</v>
      </c>
      <c r="D722" s="2">
        <v>3.95</v>
      </c>
      <c r="E722" s="2">
        <v>2</v>
      </c>
      <c r="F722">
        <v>1254</v>
      </c>
      <c r="G722" t="s">
        <v>1337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1341</v>
      </c>
      <c r="N722">
        <v>0.53</v>
      </c>
      <c r="O722" t="s">
        <v>33</v>
      </c>
      <c r="P722" t="s">
        <v>61</v>
      </c>
      <c r="Q722" t="s">
        <v>129</v>
      </c>
      <c r="R722" t="s">
        <v>1339</v>
      </c>
      <c r="S722">
        <v>77530</v>
      </c>
      <c r="T722" s="1">
        <v>42087</v>
      </c>
      <c r="U722" s="1">
        <v>42088</v>
      </c>
      <c r="V722" s="2">
        <v>-9.68</v>
      </c>
      <c r="W722">
        <v>5</v>
      </c>
      <c r="X722" s="2">
        <v>19.66</v>
      </c>
      <c r="Y722">
        <v>89984</v>
      </c>
      <c r="Z722">
        <f t="shared" si="11"/>
        <v>98.3</v>
      </c>
    </row>
    <row r="723" spans="1:26" x14ac:dyDescent="0.25">
      <c r="A723">
        <v>18131</v>
      </c>
      <c r="B723" t="s">
        <v>56</v>
      </c>
      <c r="C723" s="2">
        <v>0.01</v>
      </c>
      <c r="D723" s="2">
        <v>115.99</v>
      </c>
      <c r="E723" s="2">
        <v>56.14</v>
      </c>
      <c r="F723">
        <v>1257</v>
      </c>
      <c r="G723" t="s">
        <v>1342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1343</v>
      </c>
      <c r="N723">
        <v>0.4</v>
      </c>
      <c r="O723" t="s">
        <v>33</v>
      </c>
      <c r="P723" t="s">
        <v>34</v>
      </c>
      <c r="Q723" t="s">
        <v>250</v>
      </c>
      <c r="R723" t="s">
        <v>282</v>
      </c>
      <c r="S723">
        <v>80013</v>
      </c>
      <c r="T723" s="1">
        <v>42146</v>
      </c>
      <c r="U723" s="1">
        <v>42147</v>
      </c>
      <c r="V723" s="2">
        <v>-164.39519999999999</v>
      </c>
      <c r="W723">
        <v>5</v>
      </c>
      <c r="X723" s="2">
        <v>604.35</v>
      </c>
      <c r="Y723">
        <v>86535</v>
      </c>
      <c r="Z723">
        <f t="shared" si="11"/>
        <v>3021.75</v>
      </c>
    </row>
    <row r="724" spans="1:26" x14ac:dyDescent="0.25">
      <c r="A724">
        <v>18693</v>
      </c>
      <c r="B724" t="s">
        <v>47</v>
      </c>
      <c r="C724" s="2">
        <v>0.04</v>
      </c>
      <c r="D724" s="2">
        <v>2.52</v>
      </c>
      <c r="E724" s="2">
        <v>1.92</v>
      </c>
      <c r="F724">
        <v>1257</v>
      </c>
      <c r="G724" t="s">
        <v>1342</v>
      </c>
      <c r="H724" t="s">
        <v>49</v>
      </c>
      <c r="I724" t="s">
        <v>40</v>
      </c>
      <c r="J724" t="s">
        <v>29</v>
      </c>
      <c r="K724" t="s">
        <v>171</v>
      </c>
      <c r="L724" t="s">
        <v>31</v>
      </c>
      <c r="M724" t="s">
        <v>1344</v>
      </c>
      <c r="N724">
        <v>0.82</v>
      </c>
      <c r="O724" t="s">
        <v>33</v>
      </c>
      <c r="P724" t="s">
        <v>34</v>
      </c>
      <c r="Q724" t="s">
        <v>250</v>
      </c>
      <c r="R724" t="s">
        <v>282</v>
      </c>
      <c r="S724">
        <v>80013</v>
      </c>
      <c r="T724" s="1">
        <v>42118</v>
      </c>
      <c r="U724" s="1">
        <v>42118</v>
      </c>
      <c r="V724" s="2">
        <v>-8.2080000000000002</v>
      </c>
      <c r="W724">
        <v>1</v>
      </c>
      <c r="X724" s="2">
        <v>3.13</v>
      </c>
      <c r="Y724">
        <v>86536</v>
      </c>
      <c r="Z724">
        <f t="shared" si="11"/>
        <v>3.13</v>
      </c>
    </row>
    <row r="725" spans="1:26" x14ac:dyDescent="0.25">
      <c r="A725">
        <v>24939</v>
      </c>
      <c r="B725" t="s">
        <v>25</v>
      </c>
      <c r="C725" s="2">
        <v>0.03</v>
      </c>
      <c r="D725" s="2">
        <v>3.69</v>
      </c>
      <c r="E725" s="2">
        <v>2.5</v>
      </c>
      <c r="F725">
        <v>1259</v>
      </c>
      <c r="G725" t="s">
        <v>1345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1346</v>
      </c>
      <c r="N725">
        <v>0.39</v>
      </c>
      <c r="O725" t="s">
        <v>33</v>
      </c>
      <c r="P725" t="s">
        <v>135</v>
      </c>
      <c r="Q725" t="s">
        <v>606</v>
      </c>
      <c r="R725" t="s">
        <v>1347</v>
      </c>
      <c r="S725">
        <v>40422</v>
      </c>
      <c r="T725" s="1">
        <v>42114</v>
      </c>
      <c r="U725" s="1">
        <v>42114</v>
      </c>
      <c r="V725" s="2">
        <v>-2196.6840000000002</v>
      </c>
      <c r="W725">
        <v>9</v>
      </c>
      <c r="X725" s="2">
        <v>38.65</v>
      </c>
      <c r="Y725">
        <v>86534</v>
      </c>
      <c r="Z725">
        <f t="shared" si="11"/>
        <v>347.84999999999997</v>
      </c>
    </row>
    <row r="726" spans="1:26" x14ac:dyDescent="0.25">
      <c r="A726">
        <v>21771</v>
      </c>
      <c r="B726" t="s">
        <v>47</v>
      </c>
      <c r="C726" s="2">
        <v>0.02</v>
      </c>
      <c r="D726" s="2">
        <v>73.98</v>
      </c>
      <c r="E726" s="2">
        <v>14.52</v>
      </c>
      <c r="F726">
        <v>1261</v>
      </c>
      <c r="G726" t="s">
        <v>1348</v>
      </c>
      <c r="H726" t="s">
        <v>49</v>
      </c>
      <c r="I726" t="s">
        <v>40</v>
      </c>
      <c r="J726" t="s">
        <v>77</v>
      </c>
      <c r="K726" t="s">
        <v>177</v>
      </c>
      <c r="L726" t="s">
        <v>59</v>
      </c>
      <c r="M726" t="s">
        <v>1129</v>
      </c>
      <c r="N726">
        <v>0.65</v>
      </c>
      <c r="O726" t="s">
        <v>33</v>
      </c>
      <c r="P726" t="s">
        <v>34</v>
      </c>
      <c r="Q726" t="s">
        <v>250</v>
      </c>
      <c r="R726" t="s">
        <v>1349</v>
      </c>
      <c r="S726">
        <v>80020</v>
      </c>
      <c r="T726" s="1">
        <v>42131</v>
      </c>
      <c r="U726" s="1">
        <v>42134</v>
      </c>
      <c r="V726" s="2">
        <v>43.537999999999997</v>
      </c>
      <c r="W726">
        <v>5</v>
      </c>
      <c r="X726" s="2">
        <v>378.23</v>
      </c>
      <c r="Y726">
        <v>89730</v>
      </c>
      <c r="Z726">
        <f t="shared" si="11"/>
        <v>1891.15</v>
      </c>
    </row>
    <row r="727" spans="1:26" x14ac:dyDescent="0.25">
      <c r="A727">
        <v>24559</v>
      </c>
      <c r="B727" t="s">
        <v>47</v>
      </c>
      <c r="C727" s="2">
        <v>0.05</v>
      </c>
      <c r="D727" s="2">
        <v>5.28</v>
      </c>
      <c r="E727" s="2">
        <v>6.26</v>
      </c>
      <c r="F727">
        <v>1265</v>
      </c>
      <c r="G727" t="s">
        <v>1350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1351</v>
      </c>
      <c r="N727">
        <v>0.4</v>
      </c>
      <c r="O727" t="s">
        <v>33</v>
      </c>
      <c r="P727" t="s">
        <v>61</v>
      </c>
      <c r="Q727" t="s">
        <v>299</v>
      </c>
      <c r="R727" t="s">
        <v>1352</v>
      </c>
      <c r="S727">
        <v>73521</v>
      </c>
      <c r="T727" s="1">
        <v>42166</v>
      </c>
      <c r="U727" s="1">
        <v>42167</v>
      </c>
      <c r="V727" s="2">
        <v>-11.375999999999999</v>
      </c>
      <c r="W727">
        <v>1</v>
      </c>
      <c r="X727" s="2">
        <v>7.15</v>
      </c>
      <c r="Y727">
        <v>89729</v>
      </c>
      <c r="Z727">
        <f t="shared" si="11"/>
        <v>7.15</v>
      </c>
    </row>
    <row r="728" spans="1:26" x14ac:dyDescent="0.25">
      <c r="A728">
        <v>22363</v>
      </c>
      <c r="B728" t="s">
        <v>47</v>
      </c>
      <c r="C728" s="2">
        <v>0.01</v>
      </c>
      <c r="D728" s="2">
        <v>13.99</v>
      </c>
      <c r="E728" s="2">
        <v>7.51</v>
      </c>
      <c r="F728">
        <v>1267</v>
      </c>
      <c r="G728" t="s">
        <v>1353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1354</v>
      </c>
      <c r="N728">
        <v>0.39</v>
      </c>
      <c r="O728" t="s">
        <v>33</v>
      </c>
      <c r="P728" t="s">
        <v>135</v>
      </c>
      <c r="Q728" t="s">
        <v>356</v>
      </c>
      <c r="R728" t="s">
        <v>1355</v>
      </c>
      <c r="S728">
        <v>33433</v>
      </c>
      <c r="T728" s="1">
        <v>42045</v>
      </c>
      <c r="U728" s="1">
        <v>42046</v>
      </c>
      <c r="V728" s="2">
        <v>533.74199999999996</v>
      </c>
      <c r="W728">
        <v>2</v>
      </c>
      <c r="X728" s="2">
        <v>29.85</v>
      </c>
      <c r="Y728">
        <v>89514</v>
      </c>
      <c r="Z728">
        <f t="shared" si="11"/>
        <v>59.7</v>
      </c>
    </row>
    <row r="729" spans="1:26" x14ac:dyDescent="0.25">
      <c r="A729">
        <v>21848</v>
      </c>
      <c r="B729" t="s">
        <v>37</v>
      </c>
      <c r="C729" s="2">
        <v>0.08</v>
      </c>
      <c r="D729" s="2">
        <v>128.24</v>
      </c>
      <c r="E729" s="2">
        <v>12.65</v>
      </c>
      <c r="F729">
        <v>1267</v>
      </c>
      <c r="G729" t="s">
        <v>1353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612</v>
      </c>
      <c r="O729" t="s">
        <v>33</v>
      </c>
      <c r="P729" t="s">
        <v>135</v>
      </c>
      <c r="Q729" t="s">
        <v>356</v>
      </c>
      <c r="R729" t="s">
        <v>1355</v>
      </c>
      <c r="S729">
        <v>33433</v>
      </c>
      <c r="T729" s="1">
        <v>42136</v>
      </c>
      <c r="U729" s="1">
        <v>42137</v>
      </c>
      <c r="V729" s="2">
        <v>-379.34399999999999</v>
      </c>
      <c r="W729">
        <v>3</v>
      </c>
      <c r="X729" s="2">
        <v>366.44</v>
      </c>
      <c r="Y729">
        <v>89515</v>
      </c>
      <c r="Z729">
        <f t="shared" si="11"/>
        <v>1099.32</v>
      </c>
    </row>
    <row r="730" spans="1:26" x14ac:dyDescent="0.25">
      <c r="A730">
        <v>21849</v>
      </c>
      <c r="B730" t="s">
        <v>37</v>
      </c>
      <c r="C730" s="2">
        <v>0.04</v>
      </c>
      <c r="D730" s="2">
        <v>5.98</v>
      </c>
      <c r="E730" s="2">
        <v>4.38</v>
      </c>
      <c r="F730">
        <v>1267</v>
      </c>
      <c r="G730" t="s">
        <v>1353</v>
      </c>
      <c r="H730" t="s">
        <v>49</v>
      </c>
      <c r="I730" t="s">
        <v>28</v>
      </c>
      <c r="J730" t="s">
        <v>77</v>
      </c>
      <c r="K730" t="s">
        <v>177</v>
      </c>
      <c r="L730" t="s">
        <v>51</v>
      </c>
      <c r="M730" t="s">
        <v>1356</v>
      </c>
      <c r="N730">
        <v>0.75</v>
      </c>
      <c r="O730" t="s">
        <v>33</v>
      </c>
      <c r="P730" t="s">
        <v>135</v>
      </c>
      <c r="Q730" t="s">
        <v>356</v>
      </c>
      <c r="R730" t="s">
        <v>1355</v>
      </c>
      <c r="S730">
        <v>33433</v>
      </c>
      <c r="T730" s="1">
        <v>42136</v>
      </c>
      <c r="U730" s="1">
        <v>42138</v>
      </c>
      <c r="V730" s="2">
        <v>-1522.3040000000001</v>
      </c>
      <c r="W730">
        <v>11</v>
      </c>
      <c r="X730" s="2">
        <v>69.75</v>
      </c>
      <c r="Y730">
        <v>89515</v>
      </c>
      <c r="Z730">
        <f t="shared" si="11"/>
        <v>767.25</v>
      </c>
    </row>
    <row r="731" spans="1:26" x14ac:dyDescent="0.25">
      <c r="A731">
        <v>19550</v>
      </c>
      <c r="B731" t="s">
        <v>56</v>
      </c>
      <c r="C731" s="2">
        <v>7.0000000000000007E-2</v>
      </c>
      <c r="D731" s="2">
        <v>125.99</v>
      </c>
      <c r="E731" s="2">
        <v>7.69</v>
      </c>
      <c r="F731">
        <v>1271</v>
      </c>
      <c r="G731" t="s">
        <v>1357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1358</v>
      </c>
      <c r="S731">
        <v>91941</v>
      </c>
      <c r="T731" s="1">
        <v>42103</v>
      </c>
      <c r="U731" s="1">
        <v>42104</v>
      </c>
      <c r="V731" s="2">
        <v>588.24570000000006</v>
      </c>
      <c r="W731">
        <v>8</v>
      </c>
      <c r="X731" s="2">
        <v>852.53</v>
      </c>
      <c r="Y731">
        <v>88410</v>
      </c>
      <c r="Z731">
        <f t="shared" si="11"/>
        <v>6820.24</v>
      </c>
    </row>
    <row r="732" spans="1:26" x14ac:dyDescent="0.25">
      <c r="A732">
        <v>19398</v>
      </c>
      <c r="B732" t="s">
        <v>106</v>
      </c>
      <c r="C732" s="2">
        <v>0.1</v>
      </c>
      <c r="D732" s="2">
        <v>34.229999999999997</v>
      </c>
      <c r="E732" s="2">
        <v>5.0199999999999996</v>
      </c>
      <c r="F732">
        <v>1271</v>
      </c>
      <c r="G732" t="s">
        <v>1357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1359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1358</v>
      </c>
      <c r="S732">
        <v>91941</v>
      </c>
      <c r="T732" s="1">
        <v>42125</v>
      </c>
      <c r="U732" s="1">
        <v>42130</v>
      </c>
      <c r="V732" s="2">
        <v>151.56540000000001</v>
      </c>
      <c r="W732">
        <v>7</v>
      </c>
      <c r="X732" s="2">
        <v>219.66</v>
      </c>
      <c r="Y732">
        <v>88411</v>
      </c>
      <c r="Z732">
        <f t="shared" si="11"/>
        <v>1537.62</v>
      </c>
    </row>
    <row r="733" spans="1:26" x14ac:dyDescent="0.25">
      <c r="A733">
        <v>20628</v>
      </c>
      <c r="B733" t="s">
        <v>47</v>
      </c>
      <c r="C733" s="2">
        <v>7.0000000000000007E-2</v>
      </c>
      <c r="D733" s="2">
        <v>40.98</v>
      </c>
      <c r="E733" s="2">
        <v>7.47</v>
      </c>
      <c r="F733">
        <v>1279</v>
      </c>
      <c r="G733" t="s">
        <v>1360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1361</v>
      </c>
      <c r="N733">
        <v>0.37</v>
      </c>
      <c r="O733" t="s">
        <v>33</v>
      </c>
      <c r="P733" t="s">
        <v>61</v>
      </c>
      <c r="Q733" t="s">
        <v>695</v>
      </c>
      <c r="R733" t="s">
        <v>1362</v>
      </c>
      <c r="S733">
        <v>46324</v>
      </c>
      <c r="T733" s="1">
        <v>42064</v>
      </c>
      <c r="U733" s="1">
        <v>42065</v>
      </c>
      <c r="V733" s="2">
        <v>54.901499999999999</v>
      </c>
      <c r="W733">
        <v>2</v>
      </c>
      <c r="X733" s="2">
        <v>81.900000000000006</v>
      </c>
      <c r="Y733">
        <v>90114</v>
      </c>
      <c r="Z733">
        <f t="shared" si="11"/>
        <v>163.80000000000001</v>
      </c>
    </row>
    <row r="734" spans="1:26" x14ac:dyDescent="0.25">
      <c r="A734">
        <v>25005</v>
      </c>
      <c r="B734" t="s">
        <v>37</v>
      </c>
      <c r="C734" s="2">
        <v>0</v>
      </c>
      <c r="D734" s="2">
        <v>442.14</v>
      </c>
      <c r="E734" s="2">
        <v>14.7</v>
      </c>
      <c r="F734">
        <v>1279</v>
      </c>
      <c r="G734" t="s">
        <v>1360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330</v>
      </c>
      <c r="N734">
        <v>0.56000000000000005</v>
      </c>
      <c r="O734" t="s">
        <v>33</v>
      </c>
      <c r="P734" t="s">
        <v>61</v>
      </c>
      <c r="Q734" t="s">
        <v>695</v>
      </c>
      <c r="R734" t="s">
        <v>1362</v>
      </c>
      <c r="S734">
        <v>46324</v>
      </c>
      <c r="T734" s="1">
        <v>42068</v>
      </c>
      <c r="U734" s="1">
        <v>42068</v>
      </c>
      <c r="V734" s="2">
        <v>501.51</v>
      </c>
      <c r="W734">
        <v>5</v>
      </c>
      <c r="X734" s="2">
        <v>2343.34</v>
      </c>
      <c r="Y734">
        <v>90115</v>
      </c>
      <c r="Z734">
        <f t="shared" si="11"/>
        <v>11716.7</v>
      </c>
    </row>
    <row r="735" spans="1:26" x14ac:dyDescent="0.25">
      <c r="A735">
        <v>2628</v>
      </c>
      <c r="B735" t="s">
        <v>47</v>
      </c>
      <c r="C735" s="2">
        <v>7.0000000000000007E-2</v>
      </c>
      <c r="D735" s="2">
        <v>40.98</v>
      </c>
      <c r="E735" s="2">
        <v>7.47</v>
      </c>
      <c r="F735">
        <v>1280</v>
      </c>
      <c r="G735" t="s">
        <v>1363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1361</v>
      </c>
      <c r="N735">
        <v>0.37</v>
      </c>
      <c r="O735" t="s">
        <v>33</v>
      </c>
      <c r="P735" t="s">
        <v>34</v>
      </c>
      <c r="Q735" t="s">
        <v>35</v>
      </c>
      <c r="R735" t="s">
        <v>205</v>
      </c>
      <c r="S735">
        <v>98119</v>
      </c>
      <c r="T735" s="1">
        <v>42064</v>
      </c>
      <c r="U735" s="1">
        <v>42065</v>
      </c>
      <c r="V735" s="2">
        <v>54.901499999999999</v>
      </c>
      <c r="W735">
        <v>8</v>
      </c>
      <c r="X735" s="2">
        <v>327.61</v>
      </c>
      <c r="Y735">
        <v>19042</v>
      </c>
      <c r="Z735">
        <f t="shared" si="11"/>
        <v>2620.88</v>
      </c>
    </row>
    <row r="736" spans="1:26" x14ac:dyDescent="0.25">
      <c r="A736">
        <v>22125</v>
      </c>
      <c r="B736" t="s">
        <v>106</v>
      </c>
      <c r="C736" s="2">
        <v>0.1</v>
      </c>
      <c r="D736" s="2">
        <v>238.4</v>
      </c>
      <c r="E736" s="2">
        <v>24.49</v>
      </c>
      <c r="F736">
        <v>1281</v>
      </c>
      <c r="G736" t="s">
        <v>1364</v>
      </c>
      <c r="H736" t="s">
        <v>49</v>
      </c>
      <c r="I736" t="s">
        <v>58</v>
      </c>
      <c r="J736" t="s">
        <v>41</v>
      </c>
      <c r="K736" t="s">
        <v>42</v>
      </c>
      <c r="L736" t="s">
        <v>231</v>
      </c>
      <c r="M736" t="s">
        <v>1365</v>
      </c>
      <c r="O736" t="s">
        <v>33</v>
      </c>
      <c r="P736" t="s">
        <v>61</v>
      </c>
      <c r="Q736" t="s">
        <v>695</v>
      </c>
      <c r="R736" t="s">
        <v>1366</v>
      </c>
      <c r="S736">
        <v>47591</v>
      </c>
      <c r="T736" s="1">
        <v>42028</v>
      </c>
      <c r="U736" s="1">
        <v>42030</v>
      </c>
      <c r="V736" s="2">
        <v>875.28440000000001</v>
      </c>
      <c r="W736">
        <v>8</v>
      </c>
      <c r="X736" s="2">
        <v>1774.5</v>
      </c>
      <c r="Y736">
        <v>89112</v>
      </c>
      <c r="Z736">
        <f t="shared" si="11"/>
        <v>14196</v>
      </c>
    </row>
    <row r="737" spans="1:26" x14ac:dyDescent="0.25">
      <c r="A737">
        <v>22126</v>
      </c>
      <c r="B737" t="s">
        <v>106</v>
      </c>
      <c r="C737" s="2">
        <v>0.03</v>
      </c>
      <c r="D737" s="2">
        <v>199.99</v>
      </c>
      <c r="E737" s="2">
        <v>24.49</v>
      </c>
      <c r="F737">
        <v>1281</v>
      </c>
      <c r="G737" t="s">
        <v>1364</v>
      </c>
      <c r="H737" t="s">
        <v>27</v>
      </c>
      <c r="I737" t="s">
        <v>58</v>
      </c>
      <c r="J737" t="s">
        <v>77</v>
      </c>
      <c r="K737" t="s">
        <v>580</v>
      </c>
      <c r="L737" t="s">
        <v>231</v>
      </c>
      <c r="M737" t="s">
        <v>1367</v>
      </c>
      <c r="N737">
        <v>0.46</v>
      </c>
      <c r="O737" t="s">
        <v>33</v>
      </c>
      <c r="P737" t="s">
        <v>61</v>
      </c>
      <c r="Q737" t="s">
        <v>695</v>
      </c>
      <c r="R737" t="s">
        <v>1366</v>
      </c>
      <c r="S737">
        <v>47591</v>
      </c>
      <c r="T737" s="1">
        <v>42028</v>
      </c>
      <c r="U737" s="1">
        <v>42030</v>
      </c>
      <c r="V737" s="2">
        <v>727.73609999999996</v>
      </c>
      <c r="W737">
        <v>5</v>
      </c>
      <c r="X737" s="2">
        <v>1054.69</v>
      </c>
      <c r="Y737">
        <v>89112</v>
      </c>
      <c r="Z737">
        <f t="shared" si="11"/>
        <v>5273.4500000000007</v>
      </c>
    </row>
    <row r="738" spans="1:26" x14ac:dyDescent="0.25">
      <c r="A738">
        <v>4125</v>
      </c>
      <c r="B738" t="s">
        <v>106</v>
      </c>
      <c r="C738" s="2">
        <v>0.1</v>
      </c>
      <c r="D738" s="2">
        <v>238.4</v>
      </c>
      <c r="E738" s="2">
        <v>24.49</v>
      </c>
      <c r="F738">
        <v>1282</v>
      </c>
      <c r="G738" t="s">
        <v>1368</v>
      </c>
      <c r="H738" t="s">
        <v>49</v>
      </c>
      <c r="I738" t="s">
        <v>58</v>
      </c>
      <c r="J738" t="s">
        <v>41</v>
      </c>
      <c r="K738" t="s">
        <v>42</v>
      </c>
      <c r="L738" t="s">
        <v>231</v>
      </c>
      <c r="M738" t="s">
        <v>1365</v>
      </c>
      <c r="O738" t="s">
        <v>33</v>
      </c>
      <c r="P738" t="s">
        <v>53</v>
      </c>
      <c r="Q738" t="s">
        <v>229</v>
      </c>
      <c r="R738" t="s">
        <v>1307</v>
      </c>
      <c r="S738">
        <v>19134</v>
      </c>
      <c r="T738" s="1">
        <v>42028</v>
      </c>
      <c r="U738" s="1">
        <v>42030</v>
      </c>
      <c r="V738" s="2">
        <v>460.67599999999999</v>
      </c>
      <c r="W738">
        <v>30</v>
      </c>
      <c r="X738" s="2">
        <v>6654.39</v>
      </c>
      <c r="Y738">
        <v>29319</v>
      </c>
      <c r="Z738">
        <f t="shared" si="11"/>
        <v>199631.7</v>
      </c>
    </row>
    <row r="739" spans="1:26" x14ac:dyDescent="0.25">
      <c r="A739">
        <v>4126</v>
      </c>
      <c r="B739" t="s">
        <v>106</v>
      </c>
      <c r="C739" s="2">
        <v>0.03</v>
      </c>
      <c r="D739" s="2">
        <v>199.99</v>
      </c>
      <c r="E739" s="2">
        <v>24.49</v>
      </c>
      <c r="F739">
        <v>1282</v>
      </c>
      <c r="G739" t="s">
        <v>1368</v>
      </c>
      <c r="H739" t="s">
        <v>27</v>
      </c>
      <c r="I739" t="s">
        <v>58</v>
      </c>
      <c r="J739" t="s">
        <v>77</v>
      </c>
      <c r="K739" t="s">
        <v>580</v>
      </c>
      <c r="L739" t="s">
        <v>231</v>
      </c>
      <c r="M739" t="s">
        <v>1367</v>
      </c>
      <c r="N739">
        <v>0.46</v>
      </c>
      <c r="O739" t="s">
        <v>33</v>
      </c>
      <c r="P739" t="s">
        <v>53</v>
      </c>
      <c r="Q739" t="s">
        <v>229</v>
      </c>
      <c r="R739" t="s">
        <v>1307</v>
      </c>
      <c r="S739">
        <v>19134</v>
      </c>
      <c r="T739" s="1">
        <v>42028</v>
      </c>
      <c r="U739" s="1">
        <v>42030</v>
      </c>
      <c r="V739" s="2">
        <v>393.42</v>
      </c>
      <c r="W739">
        <v>21</v>
      </c>
      <c r="X739" s="2">
        <v>4429.6899999999996</v>
      </c>
      <c r="Y739">
        <v>29319</v>
      </c>
      <c r="Z739">
        <f t="shared" si="11"/>
        <v>93023.489999999991</v>
      </c>
    </row>
    <row r="740" spans="1:26" x14ac:dyDescent="0.25">
      <c r="A740">
        <v>19990</v>
      </c>
      <c r="B740" t="s">
        <v>37</v>
      </c>
      <c r="C740" s="2">
        <v>0.04</v>
      </c>
      <c r="D740" s="2">
        <v>150.97999999999999</v>
      </c>
      <c r="E740" s="2">
        <v>13.99</v>
      </c>
      <c r="F740">
        <v>1298</v>
      </c>
      <c r="G740" t="s">
        <v>1369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620</v>
      </c>
      <c r="N740">
        <v>0.38</v>
      </c>
      <c r="O740" t="s">
        <v>33</v>
      </c>
      <c r="P740" t="s">
        <v>61</v>
      </c>
      <c r="Q740" t="s">
        <v>129</v>
      </c>
      <c r="R740" t="s">
        <v>1309</v>
      </c>
      <c r="S740">
        <v>75482</v>
      </c>
      <c r="T740" s="1">
        <v>42047</v>
      </c>
      <c r="U740" s="1">
        <v>42050</v>
      </c>
      <c r="V740" s="2">
        <v>606.05460000000005</v>
      </c>
      <c r="W740">
        <v>6</v>
      </c>
      <c r="X740" s="2">
        <v>878.34</v>
      </c>
      <c r="Y740">
        <v>90662</v>
      </c>
      <c r="Z740">
        <f t="shared" si="11"/>
        <v>5270.04</v>
      </c>
    </row>
    <row r="741" spans="1:26" x14ac:dyDescent="0.25">
      <c r="A741">
        <v>19991</v>
      </c>
      <c r="B741" t="s">
        <v>37</v>
      </c>
      <c r="C741" s="2">
        <v>0.04</v>
      </c>
      <c r="D741" s="2">
        <v>176.19</v>
      </c>
      <c r="E741" s="2">
        <v>11.87</v>
      </c>
      <c r="F741">
        <v>1298</v>
      </c>
      <c r="G741" t="s">
        <v>1369</v>
      </c>
      <c r="H741" t="s">
        <v>49</v>
      </c>
      <c r="I741" t="s">
        <v>40</v>
      </c>
      <c r="J741" t="s">
        <v>29</v>
      </c>
      <c r="K741" t="s">
        <v>139</v>
      </c>
      <c r="L741" t="s">
        <v>59</v>
      </c>
      <c r="M741" t="s">
        <v>1370</v>
      </c>
      <c r="N741">
        <v>0.62</v>
      </c>
      <c r="O741" t="s">
        <v>33</v>
      </c>
      <c r="P741" t="s">
        <v>61</v>
      </c>
      <c r="Q741" t="s">
        <v>129</v>
      </c>
      <c r="R741" t="s">
        <v>1309</v>
      </c>
      <c r="S741">
        <v>75482</v>
      </c>
      <c r="T741" s="1">
        <v>42047</v>
      </c>
      <c r="U741" s="1">
        <v>42049</v>
      </c>
      <c r="V741" s="2">
        <v>320.10000000000002</v>
      </c>
      <c r="W741">
        <v>4</v>
      </c>
      <c r="X741" s="2">
        <v>676.57</v>
      </c>
      <c r="Y741">
        <v>90662</v>
      </c>
      <c r="Z741">
        <f t="shared" si="11"/>
        <v>2706.28</v>
      </c>
    </row>
    <row r="742" spans="1:26" x14ac:dyDescent="0.25">
      <c r="A742">
        <v>23120</v>
      </c>
      <c r="B742" t="s">
        <v>25</v>
      </c>
      <c r="C742" s="2">
        <v>0.03</v>
      </c>
      <c r="D742" s="2">
        <v>39.479999999999997</v>
      </c>
      <c r="E742" s="2">
        <v>1.99</v>
      </c>
      <c r="F742">
        <v>1303</v>
      </c>
      <c r="G742" t="s">
        <v>1371</v>
      </c>
      <c r="H742" t="s">
        <v>49</v>
      </c>
      <c r="I742" t="s">
        <v>114</v>
      </c>
      <c r="J742" t="s">
        <v>77</v>
      </c>
      <c r="K742" t="s">
        <v>177</v>
      </c>
      <c r="L742" t="s">
        <v>51</v>
      </c>
      <c r="M742" t="s">
        <v>697</v>
      </c>
      <c r="N742">
        <v>0.54</v>
      </c>
      <c r="O742" t="s">
        <v>33</v>
      </c>
      <c r="P742" t="s">
        <v>34</v>
      </c>
      <c r="Q742" t="s">
        <v>208</v>
      </c>
      <c r="R742" t="s">
        <v>1372</v>
      </c>
      <c r="S742">
        <v>84074</v>
      </c>
      <c r="T742" s="1">
        <v>42054</v>
      </c>
      <c r="U742" s="1">
        <v>42056</v>
      </c>
      <c r="V742" s="2">
        <v>317.08949999999999</v>
      </c>
      <c r="W742">
        <v>12</v>
      </c>
      <c r="X742" s="2">
        <v>459.55</v>
      </c>
      <c r="Y742">
        <v>87003</v>
      </c>
      <c r="Z742">
        <f t="shared" si="11"/>
        <v>5514.6</v>
      </c>
    </row>
    <row r="743" spans="1:26" x14ac:dyDescent="0.25">
      <c r="A743">
        <v>20652</v>
      </c>
      <c r="B743" t="s">
        <v>106</v>
      </c>
      <c r="C743" s="2">
        <v>0.01</v>
      </c>
      <c r="D743" s="2">
        <v>65.989999999999995</v>
      </c>
      <c r="E743" s="2">
        <v>5.31</v>
      </c>
      <c r="F743">
        <v>1303</v>
      </c>
      <c r="G743" t="s">
        <v>1371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>
        <v>3390</v>
      </c>
      <c r="N743">
        <v>0.56999999999999995</v>
      </c>
      <c r="O743" t="s">
        <v>33</v>
      </c>
      <c r="P743" t="s">
        <v>34</v>
      </c>
      <c r="Q743" t="s">
        <v>208</v>
      </c>
      <c r="R743" t="s">
        <v>1372</v>
      </c>
      <c r="S743">
        <v>84074</v>
      </c>
      <c r="T743" s="1">
        <v>42054</v>
      </c>
      <c r="U743" s="1">
        <v>42061</v>
      </c>
      <c r="V743" s="2">
        <v>250.36272</v>
      </c>
      <c r="W743">
        <v>9</v>
      </c>
      <c r="X743" s="2">
        <v>536.9</v>
      </c>
      <c r="Y743">
        <v>87005</v>
      </c>
      <c r="Z743">
        <f t="shared" si="11"/>
        <v>4832.0999999999995</v>
      </c>
    </row>
    <row r="744" spans="1:26" x14ac:dyDescent="0.25">
      <c r="A744">
        <v>25092</v>
      </c>
      <c r="B744" t="s">
        <v>56</v>
      </c>
      <c r="C744" s="2">
        <v>0.08</v>
      </c>
      <c r="D744" s="2">
        <v>2.88</v>
      </c>
      <c r="E744" s="2">
        <v>0.5</v>
      </c>
      <c r="F744">
        <v>1304</v>
      </c>
      <c r="G744" t="s">
        <v>1373</v>
      </c>
      <c r="H744" t="s">
        <v>49</v>
      </c>
      <c r="I744" t="s">
        <v>114</v>
      </c>
      <c r="J744" t="s">
        <v>29</v>
      </c>
      <c r="K744" t="s">
        <v>133</v>
      </c>
      <c r="L744" t="s">
        <v>59</v>
      </c>
      <c r="M744" t="s">
        <v>1374</v>
      </c>
      <c r="N744">
        <v>0.39</v>
      </c>
      <c r="O744" t="s">
        <v>33</v>
      </c>
      <c r="P744" t="s">
        <v>34</v>
      </c>
      <c r="Q744" t="s">
        <v>208</v>
      </c>
      <c r="R744" t="s">
        <v>1375</v>
      </c>
      <c r="S744">
        <v>84084</v>
      </c>
      <c r="T744" s="1">
        <v>42117</v>
      </c>
      <c r="U744" s="1">
        <v>42118</v>
      </c>
      <c r="V744" s="2">
        <v>6.0305999999999997</v>
      </c>
      <c r="W744">
        <v>3</v>
      </c>
      <c r="X744" s="2">
        <v>8.74</v>
      </c>
      <c r="Y744">
        <v>87004</v>
      </c>
      <c r="Z744">
        <f t="shared" si="11"/>
        <v>26.22</v>
      </c>
    </row>
    <row r="745" spans="1:26" x14ac:dyDescent="0.25">
      <c r="A745">
        <v>26274</v>
      </c>
      <c r="B745" t="s">
        <v>25</v>
      </c>
      <c r="C745" s="2">
        <v>0.04</v>
      </c>
      <c r="D745" s="2">
        <v>62.18</v>
      </c>
      <c r="E745" s="2">
        <v>10.84</v>
      </c>
      <c r="F745">
        <v>1305</v>
      </c>
      <c r="G745" t="s">
        <v>1376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1377</v>
      </c>
      <c r="N745">
        <v>0.63</v>
      </c>
      <c r="O745" t="s">
        <v>33</v>
      </c>
      <c r="P745" t="s">
        <v>34</v>
      </c>
      <c r="Q745" t="s">
        <v>208</v>
      </c>
      <c r="R745" t="s">
        <v>1378</v>
      </c>
      <c r="S745">
        <v>84120</v>
      </c>
      <c r="T745" s="1">
        <v>42052</v>
      </c>
      <c r="U745" s="1">
        <v>42054</v>
      </c>
      <c r="V745" s="2">
        <v>125.8077</v>
      </c>
      <c r="W745">
        <v>3</v>
      </c>
      <c r="X745" s="2">
        <v>182.33</v>
      </c>
      <c r="Y745">
        <v>87002</v>
      </c>
      <c r="Z745">
        <f t="shared" si="11"/>
        <v>546.99</v>
      </c>
    </row>
    <row r="746" spans="1:26" x14ac:dyDescent="0.25">
      <c r="A746">
        <v>22832</v>
      </c>
      <c r="B746" t="s">
        <v>106</v>
      </c>
      <c r="C746" s="2">
        <v>0.04</v>
      </c>
      <c r="D746" s="2">
        <v>8.33</v>
      </c>
      <c r="E746" s="2">
        <v>1.99</v>
      </c>
      <c r="F746">
        <v>1307</v>
      </c>
      <c r="G746" t="s">
        <v>1379</v>
      </c>
      <c r="H746" t="s">
        <v>49</v>
      </c>
      <c r="I746" t="s">
        <v>58</v>
      </c>
      <c r="J746" t="s">
        <v>77</v>
      </c>
      <c r="K746" t="s">
        <v>177</v>
      </c>
      <c r="L746" t="s">
        <v>51</v>
      </c>
      <c r="M746" t="s">
        <v>408</v>
      </c>
      <c r="N746">
        <v>0.52</v>
      </c>
      <c r="O746" t="s">
        <v>33</v>
      </c>
      <c r="P746" t="s">
        <v>34</v>
      </c>
      <c r="Q746" t="s">
        <v>102</v>
      </c>
      <c r="R746" t="s">
        <v>1380</v>
      </c>
      <c r="S746">
        <v>97420</v>
      </c>
      <c r="T746" s="1">
        <v>42185</v>
      </c>
      <c r="U746" s="1">
        <v>42192</v>
      </c>
      <c r="V746" s="2">
        <v>44.892000000000003</v>
      </c>
      <c r="W746">
        <v>16</v>
      </c>
      <c r="X746" s="2">
        <v>131.26</v>
      </c>
      <c r="Y746">
        <v>91451</v>
      </c>
      <c r="Z746">
        <f t="shared" si="11"/>
        <v>2100.16</v>
      </c>
    </row>
    <row r="747" spans="1:26" x14ac:dyDescent="0.25">
      <c r="A747">
        <v>3167</v>
      </c>
      <c r="B747" t="s">
        <v>56</v>
      </c>
      <c r="C747" s="2">
        <v>0.04</v>
      </c>
      <c r="D747" s="2">
        <v>5.34</v>
      </c>
      <c r="E747" s="2">
        <v>2.99</v>
      </c>
      <c r="F747">
        <v>1314</v>
      </c>
      <c r="G747" t="s">
        <v>1381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813</v>
      </c>
      <c r="N747">
        <v>0.38</v>
      </c>
      <c r="O747" t="s">
        <v>33</v>
      </c>
      <c r="P747" t="s">
        <v>34</v>
      </c>
      <c r="Q747" t="s">
        <v>45</v>
      </c>
      <c r="R747" t="s">
        <v>655</v>
      </c>
      <c r="S747">
        <v>90058</v>
      </c>
      <c r="T747" s="1">
        <v>42093</v>
      </c>
      <c r="U747" s="1">
        <v>42095</v>
      </c>
      <c r="V747" s="2">
        <v>3.4510000000000001</v>
      </c>
      <c r="W747">
        <v>45</v>
      </c>
      <c r="X747" s="2">
        <v>240.6</v>
      </c>
      <c r="Y747">
        <v>22755</v>
      </c>
      <c r="Z747">
        <f t="shared" si="11"/>
        <v>10827</v>
      </c>
    </row>
    <row r="748" spans="1:26" x14ac:dyDescent="0.25">
      <c r="A748">
        <v>3168</v>
      </c>
      <c r="B748" t="s">
        <v>56</v>
      </c>
      <c r="C748" s="2">
        <v>0.06</v>
      </c>
      <c r="D748" s="2">
        <v>55.99</v>
      </c>
      <c r="E748" s="2">
        <v>5</v>
      </c>
      <c r="F748">
        <v>1314</v>
      </c>
      <c r="G748" t="s">
        <v>1381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681</v>
      </c>
      <c r="N748">
        <v>0.8</v>
      </c>
      <c r="O748" t="s">
        <v>33</v>
      </c>
      <c r="P748" t="s">
        <v>34</v>
      </c>
      <c r="Q748" t="s">
        <v>45</v>
      </c>
      <c r="R748" t="s">
        <v>655</v>
      </c>
      <c r="S748">
        <v>90058</v>
      </c>
      <c r="T748" s="1">
        <v>42093</v>
      </c>
      <c r="U748" s="1">
        <v>42095</v>
      </c>
      <c r="V748" s="2">
        <v>-275.25299999999999</v>
      </c>
      <c r="W748">
        <v>5</v>
      </c>
      <c r="X748" s="2">
        <v>236.88</v>
      </c>
      <c r="Y748">
        <v>22755</v>
      </c>
      <c r="Z748">
        <f t="shared" si="11"/>
        <v>1184.4000000000001</v>
      </c>
    </row>
    <row r="749" spans="1:26" x14ac:dyDescent="0.25">
      <c r="A749">
        <v>3791</v>
      </c>
      <c r="B749" t="s">
        <v>106</v>
      </c>
      <c r="C749" s="2">
        <v>0.05</v>
      </c>
      <c r="D749" s="2">
        <v>80.98</v>
      </c>
      <c r="E749" s="2">
        <v>35</v>
      </c>
      <c r="F749">
        <v>1314</v>
      </c>
      <c r="G749" t="s">
        <v>1381</v>
      </c>
      <c r="H749" t="s">
        <v>49</v>
      </c>
      <c r="I749" t="s">
        <v>40</v>
      </c>
      <c r="J749" t="s">
        <v>29</v>
      </c>
      <c r="K749" t="s">
        <v>139</v>
      </c>
      <c r="L749" t="s">
        <v>231</v>
      </c>
      <c r="M749" t="s">
        <v>1340</v>
      </c>
      <c r="N749">
        <v>0.81</v>
      </c>
      <c r="O749" t="s">
        <v>33</v>
      </c>
      <c r="P749" t="s">
        <v>34</v>
      </c>
      <c r="Q749" t="s">
        <v>45</v>
      </c>
      <c r="R749" t="s">
        <v>655</v>
      </c>
      <c r="S749">
        <v>90058</v>
      </c>
      <c r="T749" s="1">
        <v>42009</v>
      </c>
      <c r="U749" s="1">
        <v>42013</v>
      </c>
      <c r="V749" s="2">
        <v>-746.44</v>
      </c>
      <c r="W749">
        <v>34</v>
      </c>
      <c r="X749" s="2">
        <v>2710.47</v>
      </c>
      <c r="Y749">
        <v>27013</v>
      </c>
      <c r="Z749">
        <f t="shared" si="11"/>
        <v>92155.98</v>
      </c>
    </row>
    <row r="750" spans="1:26" x14ac:dyDescent="0.25">
      <c r="A750">
        <v>3792</v>
      </c>
      <c r="B750" t="s">
        <v>106</v>
      </c>
      <c r="C750" s="2">
        <v>0.05</v>
      </c>
      <c r="D750" s="2">
        <v>279.48</v>
      </c>
      <c r="E750" s="2">
        <v>35</v>
      </c>
      <c r="F750">
        <v>1314</v>
      </c>
      <c r="G750" t="s">
        <v>1381</v>
      </c>
      <c r="H750" t="s">
        <v>49</v>
      </c>
      <c r="I750" t="s">
        <v>40</v>
      </c>
      <c r="J750" t="s">
        <v>29</v>
      </c>
      <c r="K750" t="s">
        <v>139</v>
      </c>
      <c r="L750" t="s">
        <v>231</v>
      </c>
      <c r="M750" t="s">
        <v>801</v>
      </c>
      <c r="N750">
        <v>0.8</v>
      </c>
      <c r="O750" t="s">
        <v>33</v>
      </c>
      <c r="P750" t="s">
        <v>34</v>
      </c>
      <c r="Q750" t="s">
        <v>45</v>
      </c>
      <c r="R750" t="s">
        <v>655</v>
      </c>
      <c r="S750">
        <v>90058</v>
      </c>
      <c r="T750" s="1">
        <v>42009</v>
      </c>
      <c r="U750" s="1">
        <v>42009</v>
      </c>
      <c r="V750" s="2">
        <v>-274.95</v>
      </c>
      <c r="W750">
        <v>31</v>
      </c>
      <c r="X750" s="2">
        <v>8354.73</v>
      </c>
      <c r="Y750">
        <v>27013</v>
      </c>
      <c r="Z750">
        <f t="shared" si="11"/>
        <v>258996.62999999998</v>
      </c>
    </row>
    <row r="751" spans="1:26" x14ac:dyDescent="0.25">
      <c r="A751">
        <v>21166</v>
      </c>
      <c r="B751" t="s">
        <v>56</v>
      </c>
      <c r="C751" s="2">
        <v>0</v>
      </c>
      <c r="D751" s="2">
        <v>4.91</v>
      </c>
      <c r="E751" s="2">
        <v>5.68</v>
      </c>
      <c r="F751">
        <v>1315</v>
      </c>
      <c r="G751" t="s">
        <v>1382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1383</v>
      </c>
      <c r="N751">
        <v>0.36</v>
      </c>
      <c r="O751" t="s">
        <v>33</v>
      </c>
      <c r="P751" t="s">
        <v>34</v>
      </c>
      <c r="Q751" t="s">
        <v>250</v>
      </c>
      <c r="R751" t="s">
        <v>1384</v>
      </c>
      <c r="S751">
        <v>80906</v>
      </c>
      <c r="T751" s="1">
        <v>42093</v>
      </c>
      <c r="U751" s="1">
        <v>42094</v>
      </c>
      <c r="V751" s="2">
        <v>-95.047499999999999</v>
      </c>
      <c r="W751">
        <v>9</v>
      </c>
      <c r="X751" s="2">
        <v>48.3</v>
      </c>
      <c r="Y751">
        <v>87602</v>
      </c>
      <c r="Z751">
        <f t="shared" si="11"/>
        <v>434.7</v>
      </c>
    </row>
    <row r="752" spans="1:26" x14ac:dyDescent="0.25">
      <c r="A752">
        <v>21167</v>
      </c>
      <c r="B752" t="s">
        <v>56</v>
      </c>
      <c r="C752" s="2">
        <v>0.04</v>
      </c>
      <c r="D752" s="2">
        <v>5.34</v>
      </c>
      <c r="E752" s="2">
        <v>2.99</v>
      </c>
      <c r="F752">
        <v>1316</v>
      </c>
      <c r="G752" t="s">
        <v>1385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813</v>
      </c>
      <c r="N752">
        <v>0.38</v>
      </c>
      <c r="O752" t="s">
        <v>33</v>
      </c>
      <c r="P752" t="s">
        <v>34</v>
      </c>
      <c r="Q752" t="s">
        <v>250</v>
      </c>
      <c r="R752" t="s">
        <v>1386</v>
      </c>
      <c r="S752">
        <v>80022</v>
      </c>
      <c r="T752" s="1">
        <v>42093</v>
      </c>
      <c r="U752" s="1">
        <v>42095</v>
      </c>
      <c r="V752" s="2">
        <v>3.4510000000000001</v>
      </c>
      <c r="W752">
        <v>11</v>
      </c>
      <c r="X752" s="2">
        <v>58.81</v>
      </c>
      <c r="Y752">
        <v>87602</v>
      </c>
      <c r="Z752">
        <f t="shared" si="11"/>
        <v>646.91000000000008</v>
      </c>
    </row>
    <row r="753" spans="1:26" x14ac:dyDescent="0.25">
      <c r="A753">
        <v>21168</v>
      </c>
      <c r="B753" t="s">
        <v>56</v>
      </c>
      <c r="C753" s="2">
        <v>0.06</v>
      </c>
      <c r="D753" s="2">
        <v>55.99</v>
      </c>
      <c r="E753" s="2">
        <v>5</v>
      </c>
      <c r="F753">
        <v>1316</v>
      </c>
      <c r="G753" t="s">
        <v>1385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681</v>
      </c>
      <c r="N753">
        <v>0.8</v>
      </c>
      <c r="O753" t="s">
        <v>33</v>
      </c>
      <c r="P753" t="s">
        <v>34</v>
      </c>
      <c r="Q753" t="s">
        <v>250</v>
      </c>
      <c r="R753" t="s">
        <v>1386</v>
      </c>
      <c r="S753">
        <v>80022</v>
      </c>
      <c r="T753" s="1">
        <v>42093</v>
      </c>
      <c r="U753" s="1">
        <v>42095</v>
      </c>
      <c r="V753" s="2">
        <v>-275.25299999999999</v>
      </c>
      <c r="W753">
        <v>1</v>
      </c>
      <c r="X753" s="2">
        <v>47.38</v>
      </c>
      <c r="Y753">
        <v>87602</v>
      </c>
      <c r="Z753">
        <f t="shared" si="11"/>
        <v>47.38</v>
      </c>
    </row>
    <row r="754" spans="1:26" x14ac:dyDescent="0.25">
      <c r="A754">
        <v>21791</v>
      </c>
      <c r="B754" t="s">
        <v>106</v>
      </c>
      <c r="C754" s="2">
        <v>0.05</v>
      </c>
      <c r="D754" s="2">
        <v>80.98</v>
      </c>
      <c r="E754" s="2">
        <v>35</v>
      </c>
      <c r="F754">
        <v>1316</v>
      </c>
      <c r="G754" t="s">
        <v>1385</v>
      </c>
      <c r="H754" t="s">
        <v>49</v>
      </c>
      <c r="I754" t="s">
        <v>40</v>
      </c>
      <c r="J754" t="s">
        <v>29</v>
      </c>
      <c r="K754" t="s">
        <v>139</v>
      </c>
      <c r="L754" t="s">
        <v>231</v>
      </c>
      <c r="M754" t="s">
        <v>1340</v>
      </c>
      <c r="N754">
        <v>0.81</v>
      </c>
      <c r="O754" t="s">
        <v>33</v>
      </c>
      <c r="P754" t="s">
        <v>34</v>
      </c>
      <c r="Q754" t="s">
        <v>250</v>
      </c>
      <c r="R754" t="s">
        <v>1386</v>
      </c>
      <c r="S754">
        <v>80022</v>
      </c>
      <c r="T754" s="1">
        <v>42009</v>
      </c>
      <c r="U754" s="1">
        <v>42013</v>
      </c>
      <c r="V754" s="2">
        <v>-746.44</v>
      </c>
      <c r="W754">
        <v>8</v>
      </c>
      <c r="X754" s="2">
        <v>637.76</v>
      </c>
      <c r="Y754">
        <v>87603</v>
      </c>
      <c r="Z754">
        <f t="shared" si="11"/>
        <v>5102.08</v>
      </c>
    </row>
    <row r="755" spans="1:26" x14ac:dyDescent="0.25">
      <c r="A755">
        <v>21792</v>
      </c>
      <c r="B755" t="s">
        <v>106</v>
      </c>
      <c r="C755" s="2">
        <v>0.05</v>
      </c>
      <c r="D755" s="2">
        <v>279.48</v>
      </c>
      <c r="E755" s="2">
        <v>35</v>
      </c>
      <c r="F755">
        <v>1316</v>
      </c>
      <c r="G755" t="s">
        <v>1385</v>
      </c>
      <c r="H755" t="s">
        <v>49</v>
      </c>
      <c r="I755" t="s">
        <v>40</v>
      </c>
      <c r="J755" t="s">
        <v>29</v>
      </c>
      <c r="K755" t="s">
        <v>139</v>
      </c>
      <c r="L755" t="s">
        <v>231</v>
      </c>
      <c r="M755" t="s">
        <v>801</v>
      </c>
      <c r="N755">
        <v>0.8</v>
      </c>
      <c r="O755" t="s">
        <v>33</v>
      </c>
      <c r="P755" t="s">
        <v>34</v>
      </c>
      <c r="Q755" t="s">
        <v>250</v>
      </c>
      <c r="R755" t="s">
        <v>1386</v>
      </c>
      <c r="S755">
        <v>80022</v>
      </c>
      <c r="T755" s="1">
        <v>42009</v>
      </c>
      <c r="U755" s="1">
        <v>42009</v>
      </c>
      <c r="V755" s="2">
        <v>-274.95</v>
      </c>
      <c r="W755">
        <v>8</v>
      </c>
      <c r="X755" s="2">
        <v>2156.06</v>
      </c>
      <c r="Y755">
        <v>87603</v>
      </c>
      <c r="Z755">
        <f t="shared" si="11"/>
        <v>17248.48</v>
      </c>
    </row>
    <row r="756" spans="1:26" x14ac:dyDescent="0.25">
      <c r="A756">
        <v>21006</v>
      </c>
      <c r="B756" t="s">
        <v>106</v>
      </c>
      <c r="C756" s="2">
        <v>0.02</v>
      </c>
      <c r="D756" s="2">
        <v>55.99</v>
      </c>
      <c r="E756" s="2">
        <v>3.3</v>
      </c>
      <c r="F756">
        <v>1338</v>
      </c>
      <c r="G756" t="s">
        <v>1387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1388</v>
      </c>
      <c r="N756">
        <v>0.59</v>
      </c>
      <c r="O756" t="s">
        <v>33</v>
      </c>
      <c r="P756" t="s">
        <v>61</v>
      </c>
      <c r="Q756" t="s">
        <v>175</v>
      </c>
      <c r="R756" t="s">
        <v>176</v>
      </c>
      <c r="S756">
        <v>60623</v>
      </c>
      <c r="T756" s="1">
        <v>42045</v>
      </c>
      <c r="U756" s="1">
        <v>42045</v>
      </c>
      <c r="V756" s="2">
        <v>525.20039999999995</v>
      </c>
      <c r="W756">
        <v>16</v>
      </c>
      <c r="X756" s="2">
        <v>761.16</v>
      </c>
      <c r="Y756">
        <v>91244</v>
      </c>
      <c r="Z756">
        <f t="shared" si="11"/>
        <v>12178.56</v>
      </c>
    </row>
    <row r="757" spans="1:26" x14ac:dyDescent="0.25">
      <c r="A757">
        <v>3004</v>
      </c>
      <c r="B757" t="s">
        <v>106</v>
      </c>
      <c r="C757" s="2">
        <v>0</v>
      </c>
      <c r="D757" s="2">
        <v>22.38</v>
      </c>
      <c r="E757" s="2">
        <v>15.1</v>
      </c>
      <c r="F757">
        <v>1340</v>
      </c>
      <c r="G757" t="s">
        <v>1389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1164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1">
        <v>42045</v>
      </c>
      <c r="U757" s="1">
        <v>42052</v>
      </c>
      <c r="V757" s="2">
        <v>-52.646999999999998</v>
      </c>
      <c r="W757">
        <v>29</v>
      </c>
      <c r="X757" s="2">
        <v>682.68</v>
      </c>
      <c r="Y757">
        <v>21636</v>
      </c>
      <c r="Z757">
        <f t="shared" si="11"/>
        <v>19797.719999999998</v>
      </c>
    </row>
    <row r="758" spans="1:26" x14ac:dyDescent="0.25">
      <c r="A758">
        <v>3005</v>
      </c>
      <c r="B758" t="s">
        <v>106</v>
      </c>
      <c r="C758" s="2">
        <v>7.0000000000000007E-2</v>
      </c>
      <c r="D758" s="2">
        <v>5.98</v>
      </c>
      <c r="E758" s="2">
        <v>4.6900000000000004</v>
      </c>
      <c r="F758">
        <v>1340</v>
      </c>
      <c r="G758" t="s">
        <v>1389</v>
      </c>
      <c r="H758" t="s">
        <v>49</v>
      </c>
      <c r="I758" t="s">
        <v>40</v>
      </c>
      <c r="J758" t="s">
        <v>29</v>
      </c>
      <c r="K758" t="s">
        <v>139</v>
      </c>
      <c r="L758" t="s">
        <v>59</v>
      </c>
      <c r="M758" t="s">
        <v>1390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1">
        <v>42045</v>
      </c>
      <c r="U758" s="1">
        <v>42050</v>
      </c>
      <c r="V758" s="2">
        <v>-24.44</v>
      </c>
      <c r="W758">
        <v>11</v>
      </c>
      <c r="X758" s="2">
        <v>73.44</v>
      </c>
      <c r="Y758">
        <v>21636</v>
      </c>
      <c r="Z758">
        <f t="shared" si="11"/>
        <v>807.83999999999992</v>
      </c>
    </row>
    <row r="759" spans="1:26" x14ac:dyDescent="0.25">
      <c r="A759">
        <v>3006</v>
      </c>
      <c r="B759" t="s">
        <v>106</v>
      </c>
      <c r="C759" s="2">
        <v>0.02</v>
      </c>
      <c r="D759" s="2">
        <v>55.99</v>
      </c>
      <c r="E759" s="2">
        <v>3.3</v>
      </c>
      <c r="F759">
        <v>1340</v>
      </c>
      <c r="G759" t="s">
        <v>1389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1388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1">
        <v>42045</v>
      </c>
      <c r="U759" s="1">
        <v>42045</v>
      </c>
      <c r="V759" s="2">
        <v>366.50700000000001</v>
      </c>
      <c r="W759">
        <v>63</v>
      </c>
      <c r="X759" s="2">
        <v>2997.07</v>
      </c>
      <c r="Y759">
        <v>21636</v>
      </c>
      <c r="Z759">
        <f t="shared" si="11"/>
        <v>188815.41</v>
      </c>
    </row>
    <row r="760" spans="1:26" x14ac:dyDescent="0.25">
      <c r="A760">
        <v>3431</v>
      </c>
      <c r="B760" t="s">
        <v>37</v>
      </c>
      <c r="C760" s="2">
        <v>7.0000000000000007E-2</v>
      </c>
      <c r="D760" s="2">
        <v>3.98</v>
      </c>
      <c r="E760" s="2">
        <v>0.83</v>
      </c>
      <c r="F760">
        <v>1340</v>
      </c>
      <c r="G760" t="s">
        <v>1389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1391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1">
        <v>42161</v>
      </c>
      <c r="U760" s="1">
        <v>42164</v>
      </c>
      <c r="V760" s="2">
        <v>27.38</v>
      </c>
      <c r="W760">
        <v>76</v>
      </c>
      <c r="X760" s="2">
        <v>282.85000000000002</v>
      </c>
      <c r="Y760">
        <v>24455</v>
      </c>
      <c r="Z760">
        <f t="shared" si="11"/>
        <v>21496.600000000002</v>
      </c>
    </row>
    <row r="761" spans="1:26" x14ac:dyDescent="0.25">
      <c r="A761">
        <v>21005</v>
      </c>
      <c r="B761" t="s">
        <v>106</v>
      </c>
      <c r="C761" s="2">
        <v>7.0000000000000007E-2</v>
      </c>
      <c r="D761" s="2">
        <v>5.98</v>
      </c>
      <c r="E761" s="2">
        <v>4.6900000000000004</v>
      </c>
      <c r="F761">
        <v>1341</v>
      </c>
      <c r="G761" t="s">
        <v>1392</v>
      </c>
      <c r="H761" t="s">
        <v>49</v>
      </c>
      <c r="I761" t="s">
        <v>40</v>
      </c>
      <c r="J761" t="s">
        <v>29</v>
      </c>
      <c r="K761" t="s">
        <v>139</v>
      </c>
      <c r="L761" t="s">
        <v>59</v>
      </c>
      <c r="M761" t="s">
        <v>1390</v>
      </c>
      <c r="N761">
        <v>0.68</v>
      </c>
      <c r="O761" t="s">
        <v>33</v>
      </c>
      <c r="P761" t="s">
        <v>53</v>
      </c>
      <c r="Q761" t="s">
        <v>229</v>
      </c>
      <c r="R761" t="s">
        <v>1393</v>
      </c>
      <c r="S761">
        <v>17201</v>
      </c>
      <c r="T761" s="1">
        <v>42045</v>
      </c>
      <c r="U761" s="1">
        <v>42050</v>
      </c>
      <c r="V761" s="2">
        <v>-12.7088</v>
      </c>
      <c r="W761">
        <v>3</v>
      </c>
      <c r="X761" s="2">
        <v>20.03</v>
      </c>
      <c r="Y761">
        <v>91244</v>
      </c>
      <c r="Z761">
        <f t="shared" si="11"/>
        <v>60.09</v>
      </c>
    </row>
    <row r="762" spans="1:26" x14ac:dyDescent="0.25">
      <c r="A762">
        <v>21430</v>
      </c>
      <c r="B762" t="s">
        <v>37</v>
      </c>
      <c r="C762" s="2">
        <v>0</v>
      </c>
      <c r="D762" s="2">
        <v>20.89</v>
      </c>
      <c r="E762" s="2">
        <v>1.99</v>
      </c>
      <c r="F762">
        <v>1341</v>
      </c>
      <c r="G762" t="s">
        <v>1392</v>
      </c>
      <c r="H762" t="s">
        <v>49</v>
      </c>
      <c r="I762" t="s">
        <v>40</v>
      </c>
      <c r="J762" t="s">
        <v>77</v>
      </c>
      <c r="K762" t="s">
        <v>177</v>
      </c>
      <c r="L762" t="s">
        <v>51</v>
      </c>
      <c r="M762" t="s">
        <v>1394</v>
      </c>
      <c r="N762">
        <v>0.48</v>
      </c>
      <c r="O762" t="s">
        <v>33</v>
      </c>
      <c r="P762" t="s">
        <v>53</v>
      </c>
      <c r="Q762" t="s">
        <v>229</v>
      </c>
      <c r="R762" t="s">
        <v>1393</v>
      </c>
      <c r="S762">
        <v>17201</v>
      </c>
      <c r="T762" s="1">
        <v>42161</v>
      </c>
      <c r="U762" s="1">
        <v>42163</v>
      </c>
      <c r="V762" s="2">
        <v>-5.2949999999999999</v>
      </c>
      <c r="W762">
        <v>4</v>
      </c>
      <c r="X762" s="2">
        <v>84.56</v>
      </c>
      <c r="Y762">
        <v>91245</v>
      </c>
      <c r="Z762">
        <f t="shared" si="11"/>
        <v>338.24</v>
      </c>
    </row>
    <row r="763" spans="1:26" x14ac:dyDescent="0.25">
      <c r="A763">
        <v>21431</v>
      </c>
      <c r="B763" t="s">
        <v>37</v>
      </c>
      <c r="C763" s="2">
        <v>7.0000000000000007E-2</v>
      </c>
      <c r="D763" s="2">
        <v>3.98</v>
      </c>
      <c r="E763" s="2">
        <v>0.83</v>
      </c>
      <c r="F763">
        <v>1341</v>
      </c>
      <c r="G763" t="s">
        <v>1392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1391</v>
      </c>
      <c r="N763">
        <v>0.51</v>
      </c>
      <c r="O763" t="s">
        <v>33</v>
      </c>
      <c r="P763" t="s">
        <v>53</v>
      </c>
      <c r="Q763" t="s">
        <v>229</v>
      </c>
      <c r="R763" t="s">
        <v>1393</v>
      </c>
      <c r="S763">
        <v>17201</v>
      </c>
      <c r="T763" s="1">
        <v>42161</v>
      </c>
      <c r="U763" s="1">
        <v>42164</v>
      </c>
      <c r="V763" s="2">
        <v>41.07</v>
      </c>
      <c r="W763">
        <v>19</v>
      </c>
      <c r="X763" s="2">
        <v>70.709999999999994</v>
      </c>
      <c r="Y763">
        <v>91245</v>
      </c>
      <c r="Z763">
        <f t="shared" si="11"/>
        <v>1343.4899999999998</v>
      </c>
    </row>
    <row r="764" spans="1:26" x14ac:dyDescent="0.25">
      <c r="A764">
        <v>20804</v>
      </c>
      <c r="B764" t="s">
        <v>106</v>
      </c>
      <c r="C764" s="2">
        <v>0.1</v>
      </c>
      <c r="D764" s="2">
        <v>2.62</v>
      </c>
      <c r="E764" s="2">
        <v>0.8</v>
      </c>
      <c r="F764">
        <v>1347</v>
      </c>
      <c r="G764" t="s">
        <v>1395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1396</v>
      </c>
      <c r="N764">
        <v>0.39</v>
      </c>
      <c r="O764" t="s">
        <v>33</v>
      </c>
      <c r="P764" t="s">
        <v>135</v>
      </c>
      <c r="Q764" t="s">
        <v>356</v>
      </c>
      <c r="R764" t="s">
        <v>1397</v>
      </c>
      <c r="S764">
        <v>33511</v>
      </c>
      <c r="T764" s="1">
        <v>42124</v>
      </c>
      <c r="U764" s="1">
        <v>42130</v>
      </c>
      <c r="V764" s="2">
        <v>-94.490899999999996</v>
      </c>
      <c r="W764">
        <v>21</v>
      </c>
      <c r="X764" s="2">
        <v>51.86</v>
      </c>
      <c r="Y764">
        <v>89686</v>
      </c>
      <c r="Z764">
        <f t="shared" si="11"/>
        <v>1089.06</v>
      </c>
    </row>
    <row r="765" spans="1:26" x14ac:dyDescent="0.25">
      <c r="A765">
        <v>22414</v>
      </c>
      <c r="B765" t="s">
        <v>25</v>
      </c>
      <c r="C765" s="2">
        <v>0</v>
      </c>
      <c r="D765" s="2">
        <v>12.2</v>
      </c>
      <c r="E765" s="2">
        <v>6.02</v>
      </c>
      <c r="F765">
        <v>1350</v>
      </c>
      <c r="G765" t="s">
        <v>1398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1399</v>
      </c>
      <c r="N765">
        <v>0.43</v>
      </c>
      <c r="O765" t="s">
        <v>33</v>
      </c>
      <c r="P765" t="s">
        <v>135</v>
      </c>
      <c r="Q765" t="s">
        <v>356</v>
      </c>
      <c r="R765" t="s">
        <v>1400</v>
      </c>
      <c r="S765">
        <v>33055</v>
      </c>
      <c r="T765" s="1">
        <v>42111</v>
      </c>
      <c r="U765" s="1">
        <v>42112</v>
      </c>
      <c r="V765" s="2">
        <v>-172.298</v>
      </c>
      <c r="W765">
        <v>4</v>
      </c>
      <c r="X765" s="2">
        <v>56.24</v>
      </c>
      <c r="Y765">
        <v>88233</v>
      </c>
      <c r="Z765">
        <f t="shared" si="11"/>
        <v>224.96</v>
      </c>
    </row>
    <row r="766" spans="1:26" x14ac:dyDescent="0.25">
      <c r="A766">
        <v>18499</v>
      </c>
      <c r="B766" t="s">
        <v>37</v>
      </c>
      <c r="C766" s="2">
        <v>0.1</v>
      </c>
      <c r="D766" s="2">
        <v>110.99</v>
      </c>
      <c r="E766" s="2">
        <v>8.99</v>
      </c>
      <c r="F766">
        <v>1351</v>
      </c>
      <c r="G766" t="s">
        <v>1401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1402</v>
      </c>
      <c r="N766">
        <v>0.56999999999999995</v>
      </c>
      <c r="O766" t="s">
        <v>33</v>
      </c>
      <c r="P766" t="s">
        <v>135</v>
      </c>
      <c r="Q766" t="s">
        <v>356</v>
      </c>
      <c r="R766" t="s">
        <v>1403</v>
      </c>
      <c r="S766">
        <v>33063</v>
      </c>
      <c r="T766" s="1">
        <v>42031</v>
      </c>
      <c r="U766" s="1">
        <v>42033</v>
      </c>
      <c r="V766" s="2">
        <v>3285.48</v>
      </c>
      <c r="W766">
        <v>7</v>
      </c>
      <c r="X766" s="2">
        <v>627.78</v>
      </c>
      <c r="Y766">
        <v>88232</v>
      </c>
      <c r="Z766">
        <f t="shared" si="11"/>
        <v>4394.46</v>
      </c>
    </row>
    <row r="767" spans="1:26" x14ac:dyDescent="0.25">
      <c r="A767">
        <v>24232</v>
      </c>
      <c r="B767" t="s">
        <v>25</v>
      </c>
      <c r="C767" s="2">
        <v>0.05</v>
      </c>
      <c r="D767" s="2">
        <v>17.670000000000002</v>
      </c>
      <c r="E767" s="2">
        <v>8.99</v>
      </c>
      <c r="F767">
        <v>1352</v>
      </c>
      <c r="G767" t="s">
        <v>1404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798</v>
      </c>
      <c r="N767">
        <v>0.47</v>
      </c>
      <c r="O767" t="s">
        <v>33</v>
      </c>
      <c r="P767" t="s">
        <v>53</v>
      </c>
      <c r="Q767" t="s">
        <v>409</v>
      </c>
      <c r="R767" t="s">
        <v>1405</v>
      </c>
      <c r="S767">
        <v>20746</v>
      </c>
      <c r="T767" s="1">
        <v>42124</v>
      </c>
      <c r="U767" s="1">
        <v>42125</v>
      </c>
      <c r="V767" s="2">
        <v>46.036799999999999</v>
      </c>
      <c r="W767">
        <v>16</v>
      </c>
      <c r="X767" s="2">
        <v>283.44</v>
      </c>
      <c r="Y767">
        <v>88234</v>
      </c>
      <c r="Z767">
        <f t="shared" si="11"/>
        <v>4535.04</v>
      </c>
    </row>
    <row r="768" spans="1:26" x14ac:dyDescent="0.25">
      <c r="A768">
        <v>20870</v>
      </c>
      <c r="B768" t="s">
        <v>25</v>
      </c>
      <c r="C768" s="2">
        <v>0.1</v>
      </c>
      <c r="D768" s="2">
        <v>4.13</v>
      </c>
      <c r="E768" s="2">
        <v>0.99</v>
      </c>
      <c r="F768">
        <v>1354</v>
      </c>
      <c r="G768" t="s">
        <v>1406</v>
      </c>
      <c r="H768" t="s">
        <v>49</v>
      </c>
      <c r="I768" t="s">
        <v>114</v>
      </c>
      <c r="J768" t="s">
        <v>29</v>
      </c>
      <c r="K768" t="s">
        <v>133</v>
      </c>
      <c r="L768" t="s">
        <v>59</v>
      </c>
      <c r="M768" t="s">
        <v>1407</v>
      </c>
      <c r="N768">
        <v>0.39</v>
      </c>
      <c r="O768" t="s">
        <v>33</v>
      </c>
      <c r="P768" t="s">
        <v>61</v>
      </c>
      <c r="Q768" t="s">
        <v>129</v>
      </c>
      <c r="R768" t="s">
        <v>1408</v>
      </c>
      <c r="S768">
        <v>76086</v>
      </c>
      <c r="T768" s="1">
        <v>42046</v>
      </c>
      <c r="U768" s="1">
        <v>42046</v>
      </c>
      <c r="V768" s="2">
        <v>-1.0711999999999999</v>
      </c>
      <c r="W768">
        <v>2</v>
      </c>
      <c r="X768" s="2">
        <v>8.3000000000000007</v>
      </c>
      <c r="Y768">
        <v>91209</v>
      </c>
      <c r="Z768">
        <f t="shared" si="11"/>
        <v>16.600000000000001</v>
      </c>
    </row>
    <row r="769" spans="1:26" x14ac:dyDescent="0.25">
      <c r="A769">
        <v>20871</v>
      </c>
      <c r="B769" t="s">
        <v>25</v>
      </c>
      <c r="C769" s="2">
        <v>0.04</v>
      </c>
      <c r="D769" s="2">
        <v>4.9800000000000004</v>
      </c>
      <c r="E769" s="2">
        <v>0.49</v>
      </c>
      <c r="F769">
        <v>1354</v>
      </c>
      <c r="G769" t="s">
        <v>1406</v>
      </c>
      <c r="H769" t="s">
        <v>49</v>
      </c>
      <c r="I769" t="s">
        <v>114</v>
      </c>
      <c r="J769" t="s">
        <v>29</v>
      </c>
      <c r="K769" t="s">
        <v>133</v>
      </c>
      <c r="L769" t="s">
        <v>59</v>
      </c>
      <c r="M769" t="s">
        <v>1409</v>
      </c>
      <c r="N769">
        <v>0.39</v>
      </c>
      <c r="O769" t="s">
        <v>33</v>
      </c>
      <c r="P769" t="s">
        <v>61</v>
      </c>
      <c r="Q769" t="s">
        <v>129</v>
      </c>
      <c r="R769" t="s">
        <v>1408</v>
      </c>
      <c r="S769">
        <v>76086</v>
      </c>
      <c r="T769" s="1">
        <v>42046</v>
      </c>
      <c r="U769" s="1">
        <v>42048</v>
      </c>
      <c r="V769" s="2">
        <v>4.4104000000000001</v>
      </c>
      <c r="W769">
        <v>2</v>
      </c>
      <c r="X769" s="2">
        <v>10.039999999999999</v>
      </c>
      <c r="Y769">
        <v>91209</v>
      </c>
      <c r="Z769">
        <f t="shared" si="11"/>
        <v>20.079999999999998</v>
      </c>
    </row>
    <row r="770" spans="1:26" x14ac:dyDescent="0.25">
      <c r="A770">
        <v>18733</v>
      </c>
      <c r="B770" t="s">
        <v>56</v>
      </c>
      <c r="C770" s="2">
        <v>0.03</v>
      </c>
      <c r="D770" s="2">
        <v>125.99</v>
      </c>
      <c r="E770" s="2">
        <v>7.69</v>
      </c>
      <c r="F770">
        <v>1357</v>
      </c>
      <c r="G770" t="s">
        <v>1410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1214</v>
      </c>
      <c r="N770">
        <v>0.57999999999999996</v>
      </c>
      <c r="O770" t="s">
        <v>33</v>
      </c>
      <c r="P770" t="s">
        <v>61</v>
      </c>
      <c r="Q770" t="s">
        <v>129</v>
      </c>
      <c r="R770" t="s">
        <v>1411</v>
      </c>
      <c r="S770">
        <v>78596</v>
      </c>
      <c r="T770" s="1">
        <v>42158</v>
      </c>
      <c r="U770" s="1">
        <v>42160</v>
      </c>
      <c r="V770" s="2">
        <v>500.95800000000003</v>
      </c>
      <c r="W770">
        <v>9</v>
      </c>
      <c r="X770" s="2">
        <v>981.65</v>
      </c>
      <c r="Y770">
        <v>88184</v>
      </c>
      <c r="Z770">
        <f t="shared" si="11"/>
        <v>8834.85</v>
      </c>
    </row>
    <row r="771" spans="1:26" x14ac:dyDescent="0.25">
      <c r="A771">
        <v>18645</v>
      </c>
      <c r="B771" t="s">
        <v>25</v>
      </c>
      <c r="C771" s="2">
        <v>7.0000000000000007E-2</v>
      </c>
      <c r="D771" s="2">
        <v>119.99</v>
      </c>
      <c r="E771" s="2">
        <v>16.8</v>
      </c>
      <c r="F771">
        <v>1357</v>
      </c>
      <c r="G771" t="s">
        <v>1410</v>
      </c>
      <c r="H771" t="s">
        <v>39</v>
      </c>
      <c r="I771" t="s">
        <v>40</v>
      </c>
      <c r="J771" t="s">
        <v>77</v>
      </c>
      <c r="K771" t="s">
        <v>85</v>
      </c>
      <c r="L771" t="s">
        <v>120</v>
      </c>
      <c r="M771" t="s">
        <v>1412</v>
      </c>
      <c r="N771">
        <v>0.35</v>
      </c>
      <c r="O771" t="s">
        <v>33</v>
      </c>
      <c r="P771" t="s">
        <v>61</v>
      </c>
      <c r="Q771" t="s">
        <v>129</v>
      </c>
      <c r="R771" t="s">
        <v>1411</v>
      </c>
      <c r="S771">
        <v>78596</v>
      </c>
      <c r="T771" s="1">
        <v>42183</v>
      </c>
      <c r="U771" s="1">
        <v>42185</v>
      </c>
      <c r="V771" s="2">
        <v>1206.5961</v>
      </c>
      <c r="W771">
        <v>15</v>
      </c>
      <c r="X771" s="2">
        <v>1748.69</v>
      </c>
      <c r="Y771">
        <v>88185</v>
      </c>
      <c r="Z771">
        <f t="shared" ref="Z771:Z834" si="12">W771*X771</f>
        <v>26230.350000000002</v>
      </c>
    </row>
    <row r="772" spans="1:26" x14ac:dyDescent="0.25">
      <c r="A772">
        <v>20830</v>
      </c>
      <c r="B772" t="s">
        <v>25</v>
      </c>
      <c r="C772" s="2">
        <v>0.03</v>
      </c>
      <c r="D772" s="2">
        <v>14.34</v>
      </c>
      <c r="E772" s="2">
        <v>5</v>
      </c>
      <c r="F772">
        <v>1360</v>
      </c>
      <c r="G772" t="s">
        <v>1413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1414</v>
      </c>
      <c r="N772">
        <v>0.49</v>
      </c>
      <c r="O772" t="s">
        <v>33</v>
      </c>
      <c r="P772" t="s">
        <v>61</v>
      </c>
      <c r="Q772" t="s">
        <v>324</v>
      </c>
      <c r="R772" t="s">
        <v>1415</v>
      </c>
      <c r="S772">
        <v>52761</v>
      </c>
      <c r="T772" s="1">
        <v>42030</v>
      </c>
      <c r="U772" s="1">
        <v>42031</v>
      </c>
      <c r="V772" s="2">
        <v>82.310100000000006</v>
      </c>
      <c r="W772">
        <v>8</v>
      </c>
      <c r="X772" s="2">
        <v>119.29</v>
      </c>
      <c r="Y772">
        <v>89595</v>
      </c>
      <c r="Z772">
        <f t="shared" si="12"/>
        <v>954.32</v>
      </c>
    </row>
    <row r="773" spans="1:26" x14ac:dyDescent="0.25">
      <c r="A773">
        <v>20829</v>
      </c>
      <c r="B773" t="s">
        <v>25</v>
      </c>
      <c r="C773" s="2">
        <v>0.01</v>
      </c>
      <c r="D773" s="2">
        <v>2.89</v>
      </c>
      <c r="E773" s="2">
        <v>0.5</v>
      </c>
      <c r="F773">
        <v>1361</v>
      </c>
      <c r="G773" t="s">
        <v>1416</v>
      </c>
      <c r="H773" t="s">
        <v>49</v>
      </c>
      <c r="I773" t="s">
        <v>114</v>
      </c>
      <c r="J773" t="s">
        <v>29</v>
      </c>
      <c r="K773" t="s">
        <v>133</v>
      </c>
      <c r="L773" t="s">
        <v>59</v>
      </c>
      <c r="M773" t="s">
        <v>780</v>
      </c>
      <c r="N773">
        <v>0.38</v>
      </c>
      <c r="O773" t="s">
        <v>33</v>
      </c>
      <c r="P773" t="s">
        <v>61</v>
      </c>
      <c r="Q773" t="s">
        <v>295</v>
      </c>
      <c r="R773" t="s">
        <v>1417</v>
      </c>
      <c r="S773">
        <v>48101</v>
      </c>
      <c r="T773" s="1">
        <v>42030</v>
      </c>
      <c r="U773" s="1">
        <v>42032</v>
      </c>
      <c r="V773" s="2">
        <v>1.2236</v>
      </c>
      <c r="W773">
        <v>1</v>
      </c>
      <c r="X773" s="2">
        <v>3.08</v>
      </c>
      <c r="Y773">
        <v>89595</v>
      </c>
      <c r="Z773">
        <f t="shared" si="12"/>
        <v>3.08</v>
      </c>
    </row>
    <row r="774" spans="1:26" x14ac:dyDescent="0.25">
      <c r="A774">
        <v>24432</v>
      </c>
      <c r="B774" t="s">
        <v>47</v>
      </c>
      <c r="C774" s="2">
        <v>0.01</v>
      </c>
      <c r="D774" s="2">
        <v>6.48</v>
      </c>
      <c r="E774" s="2">
        <v>6.22</v>
      </c>
      <c r="F774">
        <v>1361</v>
      </c>
      <c r="G774" t="s">
        <v>1416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1418</v>
      </c>
      <c r="N774">
        <v>0.37</v>
      </c>
      <c r="O774" t="s">
        <v>33</v>
      </c>
      <c r="P774" t="s">
        <v>61</v>
      </c>
      <c r="Q774" t="s">
        <v>295</v>
      </c>
      <c r="R774" t="s">
        <v>1417</v>
      </c>
      <c r="S774">
        <v>48101</v>
      </c>
      <c r="T774" s="1">
        <v>42045</v>
      </c>
      <c r="U774" s="1">
        <v>42046</v>
      </c>
      <c r="V774" s="2">
        <v>-15.6312</v>
      </c>
      <c r="W774">
        <v>9</v>
      </c>
      <c r="X774" s="2">
        <v>69.459999999999994</v>
      </c>
      <c r="Y774">
        <v>89596</v>
      </c>
      <c r="Z774">
        <f t="shared" si="12"/>
        <v>625.14</v>
      </c>
    </row>
    <row r="775" spans="1:26" x14ac:dyDescent="0.25">
      <c r="A775">
        <v>24433</v>
      </c>
      <c r="B775" t="s">
        <v>47</v>
      </c>
      <c r="C775" s="2">
        <v>0.03</v>
      </c>
      <c r="D775" s="2">
        <v>85.99</v>
      </c>
      <c r="E775" s="2">
        <v>3.3</v>
      </c>
      <c r="F775">
        <v>1361</v>
      </c>
      <c r="G775" t="s">
        <v>1416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528</v>
      </c>
      <c r="N775">
        <v>0.37</v>
      </c>
      <c r="O775" t="s">
        <v>33</v>
      </c>
      <c r="P775" t="s">
        <v>61</v>
      </c>
      <c r="Q775" t="s">
        <v>295</v>
      </c>
      <c r="R775" t="s">
        <v>1417</v>
      </c>
      <c r="S775">
        <v>48101</v>
      </c>
      <c r="T775" s="1">
        <v>42045</v>
      </c>
      <c r="U775" s="1">
        <v>42047</v>
      </c>
      <c r="V775" s="2">
        <v>790.54679999999996</v>
      </c>
      <c r="W775">
        <v>16</v>
      </c>
      <c r="X775" s="2">
        <v>1145.72</v>
      </c>
      <c r="Y775">
        <v>89596</v>
      </c>
      <c r="Z775">
        <f t="shared" si="12"/>
        <v>18331.52</v>
      </c>
    </row>
    <row r="776" spans="1:26" x14ac:dyDescent="0.25">
      <c r="A776">
        <v>23011</v>
      </c>
      <c r="B776" t="s">
        <v>56</v>
      </c>
      <c r="C776" s="2">
        <v>0.05</v>
      </c>
      <c r="D776" s="2">
        <v>12.97</v>
      </c>
      <c r="E776" s="2">
        <v>1.49</v>
      </c>
      <c r="F776">
        <v>1363</v>
      </c>
      <c r="G776" t="s">
        <v>1419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1420</v>
      </c>
      <c r="N776">
        <v>0.35</v>
      </c>
      <c r="O776" t="s">
        <v>33</v>
      </c>
      <c r="P776" t="s">
        <v>135</v>
      </c>
      <c r="Q776" t="s">
        <v>356</v>
      </c>
      <c r="R776" t="s">
        <v>1421</v>
      </c>
      <c r="S776">
        <v>32707</v>
      </c>
      <c r="T776" s="1">
        <v>42039</v>
      </c>
      <c r="U776" s="1">
        <v>42041</v>
      </c>
      <c r="V776" s="2">
        <v>5.4660000000000002</v>
      </c>
      <c r="W776">
        <v>2</v>
      </c>
      <c r="X776" s="2">
        <v>26.37</v>
      </c>
      <c r="Y776">
        <v>89993</v>
      </c>
      <c r="Z776">
        <f t="shared" si="12"/>
        <v>52.74</v>
      </c>
    </row>
    <row r="777" spans="1:26" x14ac:dyDescent="0.25">
      <c r="A777">
        <v>23012</v>
      </c>
      <c r="B777" t="s">
        <v>56</v>
      </c>
      <c r="C777" s="2">
        <v>0.06</v>
      </c>
      <c r="D777" s="2">
        <v>5.81</v>
      </c>
      <c r="E777" s="2">
        <v>3.37</v>
      </c>
      <c r="F777">
        <v>1363</v>
      </c>
      <c r="G777" t="s">
        <v>1419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1422</v>
      </c>
      <c r="N777">
        <v>0.54</v>
      </c>
      <c r="O777" t="s">
        <v>33</v>
      </c>
      <c r="P777" t="s">
        <v>135</v>
      </c>
      <c r="Q777" t="s">
        <v>356</v>
      </c>
      <c r="R777" t="s">
        <v>1421</v>
      </c>
      <c r="S777">
        <v>32707</v>
      </c>
      <c r="T777" s="1">
        <v>42039</v>
      </c>
      <c r="U777" s="1">
        <v>42041</v>
      </c>
      <c r="V777" s="2">
        <v>-149.1182</v>
      </c>
      <c r="W777">
        <v>9</v>
      </c>
      <c r="X777" s="2">
        <v>53.44</v>
      </c>
      <c r="Y777">
        <v>89993</v>
      </c>
      <c r="Z777">
        <f t="shared" si="12"/>
        <v>480.96</v>
      </c>
    </row>
    <row r="778" spans="1:26" x14ac:dyDescent="0.25">
      <c r="A778">
        <v>19333</v>
      </c>
      <c r="B778" t="s">
        <v>37</v>
      </c>
      <c r="C778" s="2">
        <v>0.1</v>
      </c>
      <c r="D778" s="2">
        <v>5.98</v>
      </c>
      <c r="E778" s="2">
        <v>5.35</v>
      </c>
      <c r="F778">
        <v>1364</v>
      </c>
      <c r="G778" t="s">
        <v>1423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1424</v>
      </c>
      <c r="N778">
        <v>0.4</v>
      </c>
      <c r="O778" t="s">
        <v>33</v>
      </c>
      <c r="P778" t="s">
        <v>53</v>
      </c>
      <c r="Q778" t="s">
        <v>409</v>
      </c>
      <c r="R778" t="s">
        <v>1405</v>
      </c>
      <c r="S778">
        <v>20746</v>
      </c>
      <c r="T778" s="1">
        <v>42080</v>
      </c>
      <c r="U778" s="1">
        <v>42080</v>
      </c>
      <c r="V778" s="2">
        <v>-90.26</v>
      </c>
      <c r="W778">
        <v>10</v>
      </c>
      <c r="X778" s="2">
        <v>57.34</v>
      </c>
      <c r="Y778">
        <v>89994</v>
      </c>
      <c r="Z778">
        <f t="shared" si="12"/>
        <v>573.40000000000009</v>
      </c>
    </row>
    <row r="779" spans="1:26" x14ac:dyDescent="0.25">
      <c r="A779">
        <v>20539</v>
      </c>
      <c r="B779" t="s">
        <v>56</v>
      </c>
      <c r="C779" s="2">
        <v>0.03</v>
      </c>
      <c r="D779" s="2">
        <v>73.98</v>
      </c>
      <c r="E779" s="2">
        <v>14.52</v>
      </c>
      <c r="F779">
        <v>1367</v>
      </c>
      <c r="G779" t="s">
        <v>1425</v>
      </c>
      <c r="H779" t="s">
        <v>49</v>
      </c>
      <c r="I779" t="s">
        <v>114</v>
      </c>
      <c r="J779" t="s">
        <v>77</v>
      </c>
      <c r="K779" t="s">
        <v>177</v>
      </c>
      <c r="L779" t="s">
        <v>59</v>
      </c>
      <c r="M779" t="s">
        <v>1129</v>
      </c>
      <c r="N779">
        <v>0.65</v>
      </c>
      <c r="O779" t="s">
        <v>33</v>
      </c>
      <c r="P779" t="s">
        <v>61</v>
      </c>
      <c r="Q779" t="s">
        <v>129</v>
      </c>
      <c r="R779" t="s">
        <v>1426</v>
      </c>
      <c r="S779">
        <v>79424</v>
      </c>
      <c r="T779" s="1">
        <v>42011</v>
      </c>
      <c r="U779" s="1">
        <v>42014</v>
      </c>
      <c r="V779" s="2">
        <v>-326.23160000000001</v>
      </c>
      <c r="W779">
        <v>1</v>
      </c>
      <c r="X779" s="2">
        <v>79.02</v>
      </c>
      <c r="Y779">
        <v>90513</v>
      </c>
      <c r="Z779">
        <f t="shared" si="12"/>
        <v>79.02</v>
      </c>
    </row>
    <row r="780" spans="1:26" x14ac:dyDescent="0.25">
      <c r="A780">
        <v>26034</v>
      </c>
      <c r="B780" t="s">
        <v>56</v>
      </c>
      <c r="C780" s="2">
        <v>0.09</v>
      </c>
      <c r="D780" s="2">
        <v>4.55</v>
      </c>
      <c r="E780" s="2">
        <v>1.49</v>
      </c>
      <c r="F780">
        <v>1368</v>
      </c>
      <c r="G780" t="s">
        <v>1427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1428</v>
      </c>
      <c r="N780">
        <v>0.35</v>
      </c>
      <c r="O780" t="s">
        <v>33</v>
      </c>
      <c r="P780" t="s">
        <v>61</v>
      </c>
      <c r="Q780" t="s">
        <v>129</v>
      </c>
      <c r="R780" t="s">
        <v>1429</v>
      </c>
      <c r="S780">
        <v>75901</v>
      </c>
      <c r="T780" s="1">
        <v>42086</v>
      </c>
      <c r="U780" s="1">
        <v>42088</v>
      </c>
      <c r="V780" s="2">
        <v>16.898</v>
      </c>
      <c r="W780">
        <v>6</v>
      </c>
      <c r="X780" s="2">
        <v>25.45</v>
      </c>
      <c r="Y780">
        <v>90514</v>
      </c>
      <c r="Z780">
        <f t="shared" si="12"/>
        <v>152.69999999999999</v>
      </c>
    </row>
    <row r="781" spans="1:26" x14ac:dyDescent="0.25">
      <c r="A781">
        <v>26035</v>
      </c>
      <c r="B781" t="s">
        <v>56</v>
      </c>
      <c r="C781" s="2">
        <v>7.0000000000000007E-2</v>
      </c>
      <c r="D781" s="2">
        <v>9.7799999999999994</v>
      </c>
      <c r="E781" s="2">
        <v>5.76</v>
      </c>
      <c r="F781">
        <v>1369</v>
      </c>
      <c r="G781" t="s">
        <v>1430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1254</v>
      </c>
      <c r="N781">
        <v>0.35</v>
      </c>
      <c r="O781" t="s">
        <v>33</v>
      </c>
      <c r="P781" t="s">
        <v>61</v>
      </c>
      <c r="Q781" t="s">
        <v>129</v>
      </c>
      <c r="R781" t="s">
        <v>1431</v>
      </c>
      <c r="S781">
        <v>76063</v>
      </c>
      <c r="T781" s="1">
        <v>42086</v>
      </c>
      <c r="U781" s="1">
        <v>42088</v>
      </c>
      <c r="V781" s="2">
        <v>20.14</v>
      </c>
      <c r="W781">
        <v>11</v>
      </c>
      <c r="X781" s="2">
        <v>110.72</v>
      </c>
      <c r="Y781">
        <v>90514</v>
      </c>
      <c r="Z781">
        <f t="shared" si="12"/>
        <v>1217.92</v>
      </c>
    </row>
    <row r="782" spans="1:26" x14ac:dyDescent="0.25">
      <c r="A782">
        <v>24534</v>
      </c>
      <c r="B782" t="s">
        <v>47</v>
      </c>
      <c r="C782" s="2">
        <v>0.06</v>
      </c>
      <c r="D782" s="2">
        <v>44.01</v>
      </c>
      <c r="E782" s="2">
        <v>3.5</v>
      </c>
      <c r="F782">
        <v>1374</v>
      </c>
      <c r="G782" t="s">
        <v>1432</v>
      </c>
      <c r="H782" t="s">
        <v>49</v>
      </c>
      <c r="I782" t="s">
        <v>40</v>
      </c>
      <c r="J782" t="s">
        <v>29</v>
      </c>
      <c r="K782" t="s">
        <v>252</v>
      </c>
      <c r="L782" t="s">
        <v>59</v>
      </c>
      <c r="M782" t="s">
        <v>1433</v>
      </c>
      <c r="N782">
        <v>0.59</v>
      </c>
      <c r="O782" t="s">
        <v>33</v>
      </c>
      <c r="P782" t="s">
        <v>34</v>
      </c>
      <c r="Q782" t="s">
        <v>45</v>
      </c>
      <c r="R782" t="s">
        <v>1434</v>
      </c>
      <c r="S782">
        <v>95207</v>
      </c>
      <c r="T782" s="1">
        <v>42162</v>
      </c>
      <c r="U782" s="1">
        <v>42163</v>
      </c>
      <c r="V782" s="2">
        <v>-21.231999999999999</v>
      </c>
      <c r="W782">
        <v>1</v>
      </c>
      <c r="X782" s="2">
        <v>46.94</v>
      </c>
      <c r="Y782">
        <v>88212</v>
      </c>
      <c r="Z782">
        <f t="shared" si="12"/>
        <v>46.94</v>
      </c>
    </row>
    <row r="783" spans="1:26" x14ac:dyDescent="0.25">
      <c r="A783">
        <v>19932</v>
      </c>
      <c r="B783" t="s">
        <v>106</v>
      </c>
      <c r="C783" s="2">
        <v>0.05</v>
      </c>
      <c r="D783" s="2">
        <v>2.89</v>
      </c>
      <c r="E783" s="2">
        <v>0.5</v>
      </c>
      <c r="F783">
        <v>1380</v>
      </c>
      <c r="G783" t="s">
        <v>1435</v>
      </c>
      <c r="H783" t="s">
        <v>49</v>
      </c>
      <c r="I783" t="s">
        <v>40</v>
      </c>
      <c r="J783" t="s">
        <v>29</v>
      </c>
      <c r="K783" t="s">
        <v>133</v>
      </c>
      <c r="L783" t="s">
        <v>59</v>
      </c>
      <c r="M783" t="s">
        <v>780</v>
      </c>
      <c r="N783">
        <v>0.38</v>
      </c>
      <c r="O783" t="s">
        <v>33</v>
      </c>
      <c r="P783" t="s">
        <v>53</v>
      </c>
      <c r="Q783" t="s">
        <v>193</v>
      </c>
      <c r="R783" t="s">
        <v>1436</v>
      </c>
      <c r="S783">
        <v>3801</v>
      </c>
      <c r="T783" s="1">
        <v>42182</v>
      </c>
      <c r="U783" s="1">
        <v>42188</v>
      </c>
      <c r="V783" s="2">
        <v>18.0642</v>
      </c>
      <c r="W783">
        <v>9</v>
      </c>
      <c r="X783" s="2">
        <v>26.18</v>
      </c>
      <c r="Y783">
        <v>88213</v>
      </c>
      <c r="Z783">
        <f t="shared" si="12"/>
        <v>235.62</v>
      </c>
    </row>
    <row r="784" spans="1:26" x14ac:dyDescent="0.25">
      <c r="A784">
        <v>19018</v>
      </c>
      <c r="B784" t="s">
        <v>56</v>
      </c>
      <c r="C784" s="2">
        <v>0.03</v>
      </c>
      <c r="D784" s="2">
        <v>2.23</v>
      </c>
      <c r="E784" s="2">
        <v>4.57</v>
      </c>
      <c r="F784">
        <v>1383</v>
      </c>
      <c r="G784" t="s">
        <v>1437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1438</v>
      </c>
      <c r="N784">
        <v>0.41</v>
      </c>
      <c r="O784" t="s">
        <v>33</v>
      </c>
      <c r="P784" t="s">
        <v>34</v>
      </c>
      <c r="Q784" t="s">
        <v>208</v>
      </c>
      <c r="R784" t="s">
        <v>1378</v>
      </c>
      <c r="S784">
        <v>84120</v>
      </c>
      <c r="T784" s="1">
        <v>42125</v>
      </c>
      <c r="U784" s="1">
        <v>42126</v>
      </c>
      <c r="V784" s="2">
        <v>-93.25</v>
      </c>
      <c r="W784">
        <v>12</v>
      </c>
      <c r="X784" s="2">
        <v>28.66</v>
      </c>
      <c r="Y784">
        <v>89406</v>
      </c>
      <c r="Z784">
        <f t="shared" si="12"/>
        <v>343.92</v>
      </c>
    </row>
    <row r="785" spans="1:26" x14ac:dyDescent="0.25">
      <c r="A785">
        <v>25790</v>
      </c>
      <c r="B785" t="s">
        <v>37</v>
      </c>
      <c r="C785" s="2">
        <v>7.0000000000000007E-2</v>
      </c>
      <c r="D785" s="2">
        <v>11.29</v>
      </c>
      <c r="E785" s="2">
        <v>5.03</v>
      </c>
      <c r="F785">
        <v>1384</v>
      </c>
      <c r="G785" t="s">
        <v>1439</v>
      </c>
      <c r="H785" t="s">
        <v>49</v>
      </c>
      <c r="I785" t="s">
        <v>114</v>
      </c>
      <c r="J785" t="s">
        <v>29</v>
      </c>
      <c r="K785" t="s">
        <v>139</v>
      </c>
      <c r="L785" t="s">
        <v>59</v>
      </c>
      <c r="M785" t="s">
        <v>1440</v>
      </c>
      <c r="N785">
        <v>0.59</v>
      </c>
      <c r="O785" t="s">
        <v>33</v>
      </c>
      <c r="P785" t="s">
        <v>135</v>
      </c>
      <c r="Q785" t="s">
        <v>136</v>
      </c>
      <c r="R785" t="s">
        <v>1441</v>
      </c>
      <c r="S785">
        <v>22304</v>
      </c>
      <c r="T785" s="1">
        <v>42185</v>
      </c>
      <c r="U785" s="1">
        <v>42187</v>
      </c>
      <c r="V785" s="2">
        <v>-163.03</v>
      </c>
      <c r="W785">
        <v>11</v>
      </c>
      <c r="X785" s="2">
        <v>123.18</v>
      </c>
      <c r="Y785">
        <v>89407</v>
      </c>
      <c r="Z785">
        <f t="shared" si="12"/>
        <v>1354.98</v>
      </c>
    </row>
    <row r="786" spans="1:26" x14ac:dyDescent="0.25">
      <c r="A786">
        <v>22984</v>
      </c>
      <c r="B786" t="s">
        <v>106</v>
      </c>
      <c r="C786" s="2">
        <v>0.02</v>
      </c>
      <c r="D786" s="2">
        <v>70.97</v>
      </c>
      <c r="E786" s="2">
        <v>3.5</v>
      </c>
      <c r="F786">
        <v>1384</v>
      </c>
      <c r="G786" t="s">
        <v>1439</v>
      </c>
      <c r="H786" t="s">
        <v>49</v>
      </c>
      <c r="I786" t="s">
        <v>114</v>
      </c>
      <c r="J786" t="s">
        <v>29</v>
      </c>
      <c r="K786" t="s">
        <v>252</v>
      </c>
      <c r="L786" t="s">
        <v>59</v>
      </c>
      <c r="M786" t="s">
        <v>664</v>
      </c>
      <c r="N786">
        <v>0.59</v>
      </c>
      <c r="O786" t="s">
        <v>33</v>
      </c>
      <c r="P786" t="s">
        <v>135</v>
      </c>
      <c r="Q786" t="s">
        <v>136</v>
      </c>
      <c r="R786" t="s">
        <v>1441</v>
      </c>
      <c r="S786">
        <v>22304</v>
      </c>
      <c r="T786" s="1">
        <v>42162</v>
      </c>
      <c r="U786" s="1">
        <v>42169</v>
      </c>
      <c r="V786" s="2">
        <v>23.616</v>
      </c>
      <c r="W786">
        <v>21</v>
      </c>
      <c r="X786" s="2">
        <v>1533.59</v>
      </c>
      <c r="Y786">
        <v>89408</v>
      </c>
      <c r="Z786">
        <f t="shared" si="12"/>
        <v>32205.39</v>
      </c>
    </row>
    <row r="787" spans="1:26" x14ac:dyDescent="0.25">
      <c r="A787">
        <v>18970</v>
      </c>
      <c r="B787" t="s">
        <v>47</v>
      </c>
      <c r="C787" s="2">
        <v>0.06</v>
      </c>
      <c r="D787" s="2">
        <v>1.74</v>
      </c>
      <c r="E787" s="2">
        <v>4.08</v>
      </c>
      <c r="F787">
        <v>1389</v>
      </c>
      <c r="G787" t="s">
        <v>1442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214</v>
      </c>
      <c r="N787">
        <v>0.53</v>
      </c>
      <c r="O787" t="s">
        <v>33</v>
      </c>
      <c r="P787" t="s">
        <v>34</v>
      </c>
      <c r="Q787" t="s">
        <v>45</v>
      </c>
      <c r="R787" t="s">
        <v>1443</v>
      </c>
      <c r="S787">
        <v>94025</v>
      </c>
      <c r="T787" s="1">
        <v>42029</v>
      </c>
      <c r="U787" s="1">
        <v>42030</v>
      </c>
      <c r="V787" s="2">
        <v>-11.0732</v>
      </c>
      <c r="W787">
        <v>1</v>
      </c>
      <c r="X787" s="2">
        <v>2.77</v>
      </c>
      <c r="Y787">
        <v>88726</v>
      </c>
      <c r="Z787">
        <f t="shared" si="12"/>
        <v>2.77</v>
      </c>
    </row>
    <row r="788" spans="1:26" x14ac:dyDescent="0.25">
      <c r="A788">
        <v>19852</v>
      </c>
      <c r="B788" t="s">
        <v>25</v>
      </c>
      <c r="C788" s="2">
        <v>0.08</v>
      </c>
      <c r="D788" s="2">
        <v>2.62</v>
      </c>
      <c r="E788" s="2">
        <v>0.8</v>
      </c>
      <c r="F788">
        <v>1389</v>
      </c>
      <c r="G788" t="s">
        <v>1442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1396</v>
      </c>
      <c r="N788">
        <v>0.39</v>
      </c>
      <c r="O788" t="s">
        <v>33</v>
      </c>
      <c r="P788" t="s">
        <v>34</v>
      </c>
      <c r="Q788" t="s">
        <v>45</v>
      </c>
      <c r="R788" t="s">
        <v>1443</v>
      </c>
      <c r="S788">
        <v>94025</v>
      </c>
      <c r="T788" s="1">
        <v>42137</v>
      </c>
      <c r="U788" s="1">
        <v>42139</v>
      </c>
      <c r="V788" s="2">
        <v>21.769500000000001</v>
      </c>
      <c r="W788">
        <v>12</v>
      </c>
      <c r="X788" s="2">
        <v>31.55</v>
      </c>
      <c r="Y788">
        <v>88728</v>
      </c>
      <c r="Z788">
        <f t="shared" si="12"/>
        <v>378.6</v>
      </c>
    </row>
    <row r="789" spans="1:26" x14ac:dyDescent="0.25">
      <c r="A789">
        <v>19111</v>
      </c>
      <c r="B789" t="s">
        <v>25</v>
      </c>
      <c r="C789" s="2">
        <v>0.09</v>
      </c>
      <c r="D789" s="2">
        <v>2.61</v>
      </c>
      <c r="E789" s="2">
        <v>0.5</v>
      </c>
      <c r="F789">
        <v>1389</v>
      </c>
      <c r="G789" t="s">
        <v>1442</v>
      </c>
      <c r="H789" t="s">
        <v>49</v>
      </c>
      <c r="I789" t="s">
        <v>114</v>
      </c>
      <c r="J789" t="s">
        <v>29</v>
      </c>
      <c r="K789" t="s">
        <v>133</v>
      </c>
      <c r="L789" t="s">
        <v>59</v>
      </c>
      <c r="M789" t="s">
        <v>1127</v>
      </c>
      <c r="N789">
        <v>0.39</v>
      </c>
      <c r="O789" t="s">
        <v>33</v>
      </c>
      <c r="P789" t="s">
        <v>34</v>
      </c>
      <c r="Q789" t="s">
        <v>45</v>
      </c>
      <c r="R789" t="s">
        <v>1443</v>
      </c>
      <c r="S789">
        <v>94025</v>
      </c>
      <c r="T789" s="1">
        <v>42158</v>
      </c>
      <c r="U789" s="1">
        <v>42160</v>
      </c>
      <c r="V789" s="2">
        <v>29.380199999999999</v>
      </c>
      <c r="W789">
        <v>17</v>
      </c>
      <c r="X789" s="2">
        <v>42.58</v>
      </c>
      <c r="Y789">
        <v>88729</v>
      </c>
      <c r="Z789">
        <f t="shared" si="12"/>
        <v>723.86</v>
      </c>
    </row>
    <row r="790" spans="1:26" x14ac:dyDescent="0.25">
      <c r="A790">
        <v>18702</v>
      </c>
      <c r="B790" t="s">
        <v>47</v>
      </c>
      <c r="C790" s="2">
        <v>0.1</v>
      </c>
      <c r="D790" s="2">
        <v>8.17</v>
      </c>
      <c r="E790" s="2">
        <v>1.69</v>
      </c>
      <c r="F790">
        <v>1390</v>
      </c>
      <c r="G790" t="s">
        <v>1444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1445</v>
      </c>
      <c r="N790">
        <v>0.38</v>
      </c>
      <c r="O790" t="s">
        <v>33</v>
      </c>
      <c r="P790" t="s">
        <v>34</v>
      </c>
      <c r="Q790" t="s">
        <v>45</v>
      </c>
      <c r="R790" t="s">
        <v>1434</v>
      </c>
      <c r="S790">
        <v>95207</v>
      </c>
      <c r="T790" s="1">
        <v>42140</v>
      </c>
      <c r="U790" s="1">
        <v>42140</v>
      </c>
      <c r="V790" s="2">
        <v>100.2984</v>
      </c>
      <c r="W790">
        <v>19</v>
      </c>
      <c r="X790" s="2">
        <v>145.36000000000001</v>
      </c>
      <c r="Y790">
        <v>88731</v>
      </c>
      <c r="Z790">
        <f t="shared" si="12"/>
        <v>2761.84</v>
      </c>
    </row>
    <row r="791" spans="1:26" x14ac:dyDescent="0.25">
      <c r="A791">
        <v>18703</v>
      </c>
      <c r="B791" t="s">
        <v>47</v>
      </c>
      <c r="C791" s="2">
        <v>0.03</v>
      </c>
      <c r="D791" s="2">
        <v>110.99</v>
      </c>
      <c r="E791" s="2">
        <v>2.5</v>
      </c>
      <c r="F791">
        <v>1390</v>
      </c>
      <c r="G791" t="s">
        <v>1444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494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1434</v>
      </c>
      <c r="S791">
        <v>95207</v>
      </c>
      <c r="T791" s="1">
        <v>42140</v>
      </c>
      <c r="U791" s="1">
        <v>42142</v>
      </c>
      <c r="V791" s="2">
        <v>2495.3987999999999</v>
      </c>
      <c r="W791">
        <v>38</v>
      </c>
      <c r="X791" s="2">
        <v>3616.52</v>
      </c>
      <c r="Y791">
        <v>88731</v>
      </c>
      <c r="Z791">
        <f t="shared" si="12"/>
        <v>137427.76</v>
      </c>
    </row>
    <row r="792" spans="1:26" x14ac:dyDescent="0.25">
      <c r="A792">
        <v>20523</v>
      </c>
      <c r="B792" t="s">
        <v>37</v>
      </c>
      <c r="C792" s="2">
        <v>0</v>
      </c>
      <c r="D792" s="2">
        <v>2.88</v>
      </c>
      <c r="E792" s="2">
        <v>0.7</v>
      </c>
      <c r="F792">
        <v>1391</v>
      </c>
      <c r="G792" t="s">
        <v>1446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359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1447</v>
      </c>
      <c r="S792">
        <v>94086</v>
      </c>
      <c r="T792" s="1">
        <v>42118</v>
      </c>
      <c r="U792" s="1">
        <v>42118</v>
      </c>
      <c r="V792" s="2">
        <v>-0.11</v>
      </c>
      <c r="W792">
        <v>1</v>
      </c>
      <c r="X792" s="2">
        <v>7.96</v>
      </c>
      <c r="Y792">
        <v>88727</v>
      </c>
      <c r="Z792">
        <f t="shared" si="12"/>
        <v>7.96</v>
      </c>
    </row>
    <row r="793" spans="1:26" x14ac:dyDescent="0.25">
      <c r="A793">
        <v>20163</v>
      </c>
      <c r="B793" t="s">
        <v>106</v>
      </c>
      <c r="C793" s="2">
        <v>7.0000000000000007E-2</v>
      </c>
      <c r="D793" s="2">
        <v>12.28</v>
      </c>
      <c r="E793" s="2">
        <v>6.13</v>
      </c>
      <c r="F793">
        <v>1391</v>
      </c>
      <c r="G793" t="s">
        <v>1446</v>
      </c>
      <c r="H793" t="s">
        <v>49</v>
      </c>
      <c r="I793" t="s">
        <v>58</v>
      </c>
      <c r="J793" t="s">
        <v>29</v>
      </c>
      <c r="K793" t="s">
        <v>139</v>
      </c>
      <c r="L793" t="s">
        <v>59</v>
      </c>
      <c r="M793" t="s">
        <v>1448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1447</v>
      </c>
      <c r="S793">
        <v>94086</v>
      </c>
      <c r="T793" s="1">
        <v>42127</v>
      </c>
      <c r="U793" s="1">
        <v>42134</v>
      </c>
      <c r="V793" s="2">
        <v>15.236000000000001</v>
      </c>
      <c r="W793">
        <v>33</v>
      </c>
      <c r="X793" s="2">
        <v>389.59</v>
      </c>
      <c r="Y793">
        <v>88730</v>
      </c>
      <c r="Z793">
        <f t="shared" si="12"/>
        <v>12856.47</v>
      </c>
    </row>
    <row r="794" spans="1:26" x14ac:dyDescent="0.25">
      <c r="A794">
        <v>5297</v>
      </c>
      <c r="B794" t="s">
        <v>37</v>
      </c>
      <c r="C794" s="2">
        <v>0</v>
      </c>
      <c r="D794" s="2">
        <v>8.6</v>
      </c>
      <c r="E794" s="2">
        <v>6.19</v>
      </c>
      <c r="F794">
        <v>1402</v>
      </c>
      <c r="G794" t="s">
        <v>1449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915</v>
      </c>
      <c r="N794">
        <v>0.38</v>
      </c>
      <c r="O794" t="s">
        <v>33</v>
      </c>
      <c r="P794" t="s">
        <v>61</v>
      </c>
      <c r="Q794" t="s">
        <v>175</v>
      </c>
      <c r="R794" t="s">
        <v>176</v>
      </c>
      <c r="S794">
        <v>60653</v>
      </c>
      <c r="T794" s="1">
        <v>42019</v>
      </c>
      <c r="U794" s="1">
        <v>42019</v>
      </c>
      <c r="V794" s="2">
        <v>-42.8536</v>
      </c>
      <c r="W794">
        <v>48</v>
      </c>
      <c r="X794" s="2">
        <v>447.89</v>
      </c>
      <c r="Y794">
        <v>37729</v>
      </c>
      <c r="Z794">
        <f t="shared" si="12"/>
        <v>21498.720000000001</v>
      </c>
    </row>
    <row r="795" spans="1:26" x14ac:dyDescent="0.25">
      <c r="A795">
        <v>6080</v>
      </c>
      <c r="B795" t="s">
        <v>56</v>
      </c>
      <c r="C795" s="2">
        <v>0.04</v>
      </c>
      <c r="D795" s="2">
        <v>30.73</v>
      </c>
      <c r="E795" s="2">
        <v>4</v>
      </c>
      <c r="F795">
        <v>1402</v>
      </c>
      <c r="G795" t="s">
        <v>1449</v>
      </c>
      <c r="H795" t="s">
        <v>49</v>
      </c>
      <c r="I795" t="s">
        <v>40</v>
      </c>
      <c r="J795" t="s">
        <v>77</v>
      </c>
      <c r="K795" t="s">
        <v>177</v>
      </c>
      <c r="L795" t="s">
        <v>59</v>
      </c>
      <c r="M795" t="s">
        <v>283</v>
      </c>
      <c r="N795">
        <v>0.75</v>
      </c>
      <c r="O795" t="s">
        <v>33</v>
      </c>
      <c r="P795" t="s">
        <v>61</v>
      </c>
      <c r="Q795" t="s">
        <v>175</v>
      </c>
      <c r="R795" t="s">
        <v>176</v>
      </c>
      <c r="S795">
        <v>60653</v>
      </c>
      <c r="T795" s="1">
        <v>42025</v>
      </c>
      <c r="U795" s="1">
        <v>42026</v>
      </c>
      <c r="V795" s="2">
        <v>-20.79</v>
      </c>
      <c r="W795">
        <v>48</v>
      </c>
      <c r="X795" s="2">
        <v>1420.84</v>
      </c>
      <c r="Y795">
        <v>43079</v>
      </c>
      <c r="Z795">
        <f t="shared" si="12"/>
        <v>68200.319999999992</v>
      </c>
    </row>
    <row r="796" spans="1:26" x14ac:dyDescent="0.25">
      <c r="A796">
        <v>23297</v>
      </c>
      <c r="B796" t="s">
        <v>37</v>
      </c>
      <c r="C796" s="2">
        <v>0</v>
      </c>
      <c r="D796" s="2">
        <v>8.6</v>
      </c>
      <c r="E796" s="2">
        <v>6.19</v>
      </c>
      <c r="F796">
        <v>1405</v>
      </c>
      <c r="G796" t="s">
        <v>1450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915</v>
      </c>
      <c r="N796">
        <v>0.38</v>
      </c>
      <c r="O796" t="s">
        <v>33</v>
      </c>
      <c r="P796" t="s">
        <v>61</v>
      </c>
      <c r="Q796" t="s">
        <v>295</v>
      </c>
      <c r="R796" t="s">
        <v>1451</v>
      </c>
      <c r="S796">
        <v>49017</v>
      </c>
      <c r="T796" s="1">
        <v>42019</v>
      </c>
      <c r="U796" s="1">
        <v>42019</v>
      </c>
      <c r="V796" s="2">
        <v>-33.211539999999999</v>
      </c>
      <c r="W796">
        <v>12</v>
      </c>
      <c r="X796" s="2">
        <v>111.97</v>
      </c>
      <c r="Y796">
        <v>86144</v>
      </c>
      <c r="Z796">
        <f t="shared" si="12"/>
        <v>1343.6399999999999</v>
      </c>
    </row>
    <row r="797" spans="1:26" x14ac:dyDescent="0.25">
      <c r="A797">
        <v>24080</v>
      </c>
      <c r="B797" t="s">
        <v>56</v>
      </c>
      <c r="C797" s="2">
        <v>0.04</v>
      </c>
      <c r="D797" s="2">
        <v>30.73</v>
      </c>
      <c r="E797" s="2">
        <v>4</v>
      </c>
      <c r="F797">
        <v>1405</v>
      </c>
      <c r="G797" t="s">
        <v>1450</v>
      </c>
      <c r="H797" t="s">
        <v>49</v>
      </c>
      <c r="I797" t="s">
        <v>40</v>
      </c>
      <c r="J797" t="s">
        <v>77</v>
      </c>
      <c r="K797" t="s">
        <v>177</v>
      </c>
      <c r="L797" t="s">
        <v>59</v>
      </c>
      <c r="M797" t="s">
        <v>283</v>
      </c>
      <c r="N797">
        <v>0.75</v>
      </c>
      <c r="O797" t="s">
        <v>33</v>
      </c>
      <c r="P797" t="s">
        <v>61</v>
      </c>
      <c r="Q797" t="s">
        <v>295</v>
      </c>
      <c r="R797" t="s">
        <v>1451</v>
      </c>
      <c r="S797">
        <v>49017</v>
      </c>
      <c r="T797" s="1">
        <v>42025</v>
      </c>
      <c r="U797" s="1">
        <v>42026</v>
      </c>
      <c r="V797" s="2">
        <v>-20.79</v>
      </c>
      <c r="W797">
        <v>12</v>
      </c>
      <c r="X797" s="2">
        <v>355.21</v>
      </c>
      <c r="Y797">
        <v>86145</v>
      </c>
      <c r="Z797">
        <f t="shared" si="12"/>
        <v>4262.5199999999995</v>
      </c>
    </row>
    <row r="798" spans="1:26" x14ac:dyDescent="0.25">
      <c r="A798">
        <v>19417</v>
      </c>
      <c r="B798" t="s">
        <v>56</v>
      </c>
      <c r="C798" s="2">
        <v>0</v>
      </c>
      <c r="D798" s="2">
        <v>65.989999999999995</v>
      </c>
      <c r="E798" s="2">
        <v>5.26</v>
      </c>
      <c r="F798">
        <v>1410</v>
      </c>
      <c r="G798" t="s">
        <v>1452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1453</v>
      </c>
      <c r="N798">
        <v>0.59</v>
      </c>
      <c r="O798" t="s">
        <v>33</v>
      </c>
      <c r="P798" t="s">
        <v>34</v>
      </c>
      <c r="Q798" t="s">
        <v>45</v>
      </c>
      <c r="R798" t="s">
        <v>1454</v>
      </c>
      <c r="S798">
        <v>92553</v>
      </c>
      <c r="T798" s="1">
        <v>42101</v>
      </c>
      <c r="U798" s="1">
        <v>42102</v>
      </c>
      <c r="V798" s="2">
        <v>369.99869999999999</v>
      </c>
      <c r="W798">
        <v>9</v>
      </c>
      <c r="X798" s="2">
        <v>536.23</v>
      </c>
      <c r="Y798">
        <v>87086</v>
      </c>
      <c r="Z798">
        <f t="shared" si="12"/>
        <v>4826.07</v>
      </c>
    </row>
    <row r="799" spans="1:26" x14ac:dyDescent="0.25">
      <c r="A799">
        <v>24407</v>
      </c>
      <c r="B799" t="s">
        <v>37</v>
      </c>
      <c r="C799" s="2">
        <v>0.08</v>
      </c>
      <c r="D799" s="2">
        <v>3.38</v>
      </c>
      <c r="E799" s="2">
        <v>0.85</v>
      </c>
      <c r="F799">
        <v>1412</v>
      </c>
      <c r="G799" t="s">
        <v>1455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1456</v>
      </c>
      <c r="N799">
        <v>0.48</v>
      </c>
      <c r="O799" t="s">
        <v>33</v>
      </c>
      <c r="P799" t="s">
        <v>34</v>
      </c>
      <c r="Q799" t="s">
        <v>45</v>
      </c>
      <c r="R799" t="s">
        <v>1457</v>
      </c>
      <c r="S799">
        <v>94043</v>
      </c>
      <c r="T799" s="1">
        <v>42037</v>
      </c>
      <c r="U799" s="1">
        <v>42039</v>
      </c>
      <c r="V799" s="2">
        <v>20.453600000000002</v>
      </c>
      <c r="W799">
        <v>12</v>
      </c>
      <c r="X799" s="2">
        <v>38.81</v>
      </c>
      <c r="Y799">
        <v>87087</v>
      </c>
      <c r="Z799">
        <f t="shared" si="12"/>
        <v>465.72</v>
      </c>
    </row>
    <row r="800" spans="1:26" x14ac:dyDescent="0.25">
      <c r="A800">
        <v>1417</v>
      </c>
      <c r="B800" t="s">
        <v>56</v>
      </c>
      <c r="C800" s="2">
        <v>0</v>
      </c>
      <c r="D800" s="2">
        <v>65.989999999999995</v>
      </c>
      <c r="E800" s="2">
        <v>5.26</v>
      </c>
      <c r="F800">
        <v>1413</v>
      </c>
      <c r="G800" t="s">
        <v>1458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1453</v>
      </c>
      <c r="N800">
        <v>0.59</v>
      </c>
      <c r="O800" t="s">
        <v>33</v>
      </c>
      <c r="P800" t="s">
        <v>53</v>
      </c>
      <c r="Q800" t="s">
        <v>189</v>
      </c>
      <c r="R800" t="s">
        <v>190</v>
      </c>
      <c r="S800">
        <v>2113</v>
      </c>
      <c r="T800" s="1">
        <v>42101</v>
      </c>
      <c r="U800" s="1">
        <v>42102</v>
      </c>
      <c r="V800" s="2">
        <v>542.25</v>
      </c>
      <c r="W800">
        <v>36</v>
      </c>
      <c r="X800" s="2">
        <v>2144.92</v>
      </c>
      <c r="Y800">
        <v>10277</v>
      </c>
      <c r="Z800">
        <f t="shared" si="12"/>
        <v>77217.119999999995</v>
      </c>
    </row>
    <row r="801" spans="1:26" x14ac:dyDescent="0.25">
      <c r="A801">
        <v>6406</v>
      </c>
      <c r="B801" t="s">
        <v>37</v>
      </c>
      <c r="C801" s="2">
        <v>0.02</v>
      </c>
      <c r="D801" s="2">
        <v>16.48</v>
      </c>
      <c r="E801" s="2">
        <v>1.99</v>
      </c>
      <c r="F801">
        <v>1413</v>
      </c>
      <c r="G801" t="s">
        <v>1458</v>
      </c>
      <c r="H801" t="s">
        <v>27</v>
      </c>
      <c r="I801" t="s">
        <v>28</v>
      </c>
      <c r="J801" t="s">
        <v>77</v>
      </c>
      <c r="K801" t="s">
        <v>177</v>
      </c>
      <c r="L801" t="s">
        <v>51</v>
      </c>
      <c r="M801" t="s">
        <v>1459</v>
      </c>
      <c r="N801">
        <v>0.42</v>
      </c>
      <c r="O801" t="s">
        <v>33</v>
      </c>
      <c r="P801" t="s">
        <v>53</v>
      </c>
      <c r="Q801" t="s">
        <v>189</v>
      </c>
      <c r="R801" t="s">
        <v>190</v>
      </c>
      <c r="S801">
        <v>2113</v>
      </c>
      <c r="T801" s="1">
        <v>42037</v>
      </c>
      <c r="U801" s="1">
        <v>42039</v>
      </c>
      <c r="V801" s="2">
        <v>69.61</v>
      </c>
      <c r="W801">
        <v>27</v>
      </c>
      <c r="X801" s="2">
        <v>484.56</v>
      </c>
      <c r="Y801">
        <v>45539</v>
      </c>
      <c r="Z801">
        <f t="shared" si="12"/>
        <v>13083.12</v>
      </c>
    </row>
    <row r="802" spans="1:26" x14ac:dyDescent="0.25">
      <c r="A802">
        <v>25129</v>
      </c>
      <c r="B802" t="s">
        <v>47</v>
      </c>
      <c r="C802" s="2">
        <v>0.02</v>
      </c>
      <c r="D802" s="2">
        <v>417.4</v>
      </c>
      <c r="E802" s="2">
        <v>75.23</v>
      </c>
      <c r="F802">
        <v>1416</v>
      </c>
      <c r="G802" t="s">
        <v>1460</v>
      </c>
      <c r="H802" t="s">
        <v>39</v>
      </c>
      <c r="I802" t="s">
        <v>58</v>
      </c>
      <c r="J802" t="s">
        <v>41</v>
      </c>
      <c r="K802" t="s">
        <v>150</v>
      </c>
      <c r="L802" t="s">
        <v>120</v>
      </c>
      <c r="M802" t="s">
        <v>702</v>
      </c>
      <c r="N802">
        <v>0.79</v>
      </c>
      <c r="O802" t="s">
        <v>33</v>
      </c>
      <c r="P802" t="s">
        <v>61</v>
      </c>
      <c r="Q802" t="s">
        <v>695</v>
      </c>
      <c r="R802" t="s">
        <v>1461</v>
      </c>
      <c r="S802">
        <v>46203</v>
      </c>
      <c r="T802" s="1">
        <v>42130</v>
      </c>
      <c r="U802" s="1">
        <v>42131</v>
      </c>
      <c r="V802" s="2">
        <v>-634.86540000000002</v>
      </c>
      <c r="W802">
        <v>1</v>
      </c>
      <c r="X802" s="2">
        <v>471.21</v>
      </c>
      <c r="Y802">
        <v>90538</v>
      </c>
      <c r="Z802">
        <f t="shared" si="12"/>
        <v>471.21</v>
      </c>
    </row>
    <row r="803" spans="1:26" x14ac:dyDescent="0.25">
      <c r="A803">
        <v>24722</v>
      </c>
      <c r="B803" t="s">
        <v>25</v>
      </c>
      <c r="C803" s="2">
        <v>0.04</v>
      </c>
      <c r="D803" s="2">
        <v>46.89</v>
      </c>
      <c r="E803" s="2">
        <v>5.0999999999999996</v>
      </c>
      <c r="F803">
        <v>1416</v>
      </c>
      <c r="G803" t="s">
        <v>1460</v>
      </c>
      <c r="H803" t="s">
        <v>49</v>
      </c>
      <c r="I803" t="s">
        <v>58</v>
      </c>
      <c r="J803" t="s">
        <v>29</v>
      </c>
      <c r="K803" t="s">
        <v>252</v>
      </c>
      <c r="L803" t="s">
        <v>86</v>
      </c>
      <c r="M803" t="s">
        <v>1333</v>
      </c>
      <c r="N803">
        <v>0.46</v>
      </c>
      <c r="O803" t="s">
        <v>33</v>
      </c>
      <c r="P803" t="s">
        <v>61</v>
      </c>
      <c r="Q803" t="s">
        <v>695</v>
      </c>
      <c r="R803" t="s">
        <v>1461</v>
      </c>
      <c r="S803">
        <v>46203</v>
      </c>
      <c r="T803" s="1">
        <v>42180</v>
      </c>
      <c r="U803" s="1">
        <v>42182</v>
      </c>
      <c r="V803" s="2">
        <v>87.12</v>
      </c>
      <c r="W803">
        <v>4</v>
      </c>
      <c r="X803" s="2">
        <v>182.61</v>
      </c>
      <c r="Y803">
        <v>90540</v>
      </c>
      <c r="Z803">
        <f t="shared" si="12"/>
        <v>730.44</v>
      </c>
    </row>
    <row r="804" spans="1:26" x14ac:dyDescent="0.25">
      <c r="A804">
        <v>22823</v>
      </c>
      <c r="B804" t="s">
        <v>106</v>
      </c>
      <c r="C804" s="2">
        <v>7.0000000000000007E-2</v>
      </c>
      <c r="D804" s="2">
        <v>4.84</v>
      </c>
      <c r="E804" s="2">
        <v>0.71</v>
      </c>
      <c r="F804">
        <v>1418</v>
      </c>
      <c r="G804" t="s">
        <v>1462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1463</v>
      </c>
      <c r="N804">
        <v>0.52</v>
      </c>
      <c r="O804" t="s">
        <v>33</v>
      </c>
      <c r="P804" t="s">
        <v>61</v>
      </c>
      <c r="Q804" t="s">
        <v>695</v>
      </c>
      <c r="R804" t="s">
        <v>1464</v>
      </c>
      <c r="S804">
        <v>46901</v>
      </c>
      <c r="T804" s="1">
        <v>42005</v>
      </c>
      <c r="U804" s="1">
        <v>42007</v>
      </c>
      <c r="V804" s="2">
        <v>25.240200000000002</v>
      </c>
      <c r="W804">
        <v>8</v>
      </c>
      <c r="X804" s="2">
        <v>36.58</v>
      </c>
      <c r="Y804">
        <v>90539</v>
      </c>
      <c r="Z804">
        <f t="shared" si="12"/>
        <v>292.64</v>
      </c>
    </row>
    <row r="805" spans="1:26" x14ac:dyDescent="0.25">
      <c r="A805">
        <v>24295</v>
      </c>
      <c r="B805" t="s">
        <v>37</v>
      </c>
      <c r="C805" s="2">
        <v>0.01</v>
      </c>
      <c r="D805" s="2">
        <v>124.49</v>
      </c>
      <c r="E805" s="2">
        <v>51.94</v>
      </c>
      <c r="F805">
        <v>1419</v>
      </c>
      <c r="G805" t="s">
        <v>1465</v>
      </c>
      <c r="H805" t="s">
        <v>39</v>
      </c>
      <c r="I805" t="s">
        <v>58</v>
      </c>
      <c r="J805" t="s">
        <v>41</v>
      </c>
      <c r="K805" t="s">
        <v>150</v>
      </c>
      <c r="L805" t="s">
        <v>120</v>
      </c>
      <c r="M805" t="s">
        <v>456</v>
      </c>
      <c r="N805">
        <v>0.63</v>
      </c>
      <c r="O805" t="s">
        <v>33</v>
      </c>
      <c r="P805" t="s">
        <v>61</v>
      </c>
      <c r="Q805" t="s">
        <v>695</v>
      </c>
      <c r="R805" t="s">
        <v>1466</v>
      </c>
      <c r="S805">
        <v>47905</v>
      </c>
      <c r="T805" s="1">
        <v>42180</v>
      </c>
      <c r="U805" s="1">
        <v>42181</v>
      </c>
      <c r="V805" s="2">
        <v>-94.674644999999998</v>
      </c>
      <c r="W805">
        <v>18</v>
      </c>
      <c r="X805" s="2">
        <v>2376.12</v>
      </c>
      <c r="Y805">
        <v>90540</v>
      </c>
      <c r="Z805">
        <f t="shared" si="12"/>
        <v>42770.159999999996</v>
      </c>
    </row>
    <row r="806" spans="1:26" x14ac:dyDescent="0.25">
      <c r="A806">
        <v>19024</v>
      </c>
      <c r="B806" t="s">
        <v>106</v>
      </c>
      <c r="C806" s="2">
        <v>0.05</v>
      </c>
      <c r="D806" s="2">
        <v>350.99</v>
      </c>
      <c r="E806" s="2">
        <v>39</v>
      </c>
      <c r="F806">
        <v>1424</v>
      </c>
      <c r="G806" t="s">
        <v>1467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1257</v>
      </c>
      <c r="N806">
        <v>0.55000000000000004</v>
      </c>
      <c r="O806" t="s">
        <v>33</v>
      </c>
      <c r="P806" t="s">
        <v>34</v>
      </c>
      <c r="Q806" t="s">
        <v>250</v>
      </c>
      <c r="R806" t="s">
        <v>1468</v>
      </c>
      <c r="S806">
        <v>80112</v>
      </c>
      <c r="T806" s="1">
        <v>42016</v>
      </c>
      <c r="U806" s="1">
        <v>42018</v>
      </c>
      <c r="V806" s="2">
        <v>451.28039999999999</v>
      </c>
      <c r="W806">
        <v>3</v>
      </c>
      <c r="X806" s="2">
        <v>1020.08</v>
      </c>
      <c r="Y806">
        <v>89448</v>
      </c>
      <c r="Z806">
        <f t="shared" si="12"/>
        <v>3060.2400000000002</v>
      </c>
    </row>
    <row r="807" spans="1:26" x14ac:dyDescent="0.25">
      <c r="A807">
        <v>19025</v>
      </c>
      <c r="B807" t="s">
        <v>106</v>
      </c>
      <c r="C807" s="2">
        <v>0</v>
      </c>
      <c r="D807" s="2">
        <v>8.74</v>
      </c>
      <c r="E807" s="2">
        <v>1.39</v>
      </c>
      <c r="F807">
        <v>1424</v>
      </c>
      <c r="G807" t="s">
        <v>1467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1469</v>
      </c>
      <c r="N807">
        <v>0.38</v>
      </c>
      <c r="O807" t="s">
        <v>33</v>
      </c>
      <c r="P807" t="s">
        <v>34</v>
      </c>
      <c r="Q807" t="s">
        <v>250</v>
      </c>
      <c r="R807" t="s">
        <v>1468</v>
      </c>
      <c r="S807">
        <v>80112</v>
      </c>
      <c r="T807" s="1">
        <v>42016</v>
      </c>
      <c r="U807" s="1">
        <v>42020</v>
      </c>
      <c r="V807" s="2">
        <v>44.988</v>
      </c>
      <c r="W807">
        <v>7</v>
      </c>
      <c r="X807" s="2">
        <v>65.2</v>
      </c>
      <c r="Y807">
        <v>89448</v>
      </c>
      <c r="Z807">
        <f t="shared" si="12"/>
        <v>456.40000000000003</v>
      </c>
    </row>
    <row r="808" spans="1:26" x14ac:dyDescent="0.25">
      <c r="A808">
        <v>19026</v>
      </c>
      <c r="B808" t="s">
        <v>106</v>
      </c>
      <c r="C808" s="2">
        <v>0.02</v>
      </c>
      <c r="D808" s="2">
        <v>1.98</v>
      </c>
      <c r="E808" s="2">
        <v>0.7</v>
      </c>
      <c r="F808">
        <v>1424</v>
      </c>
      <c r="G808" t="s">
        <v>1467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389</v>
      </c>
      <c r="N808">
        <v>0.83</v>
      </c>
      <c r="O808" t="s">
        <v>33</v>
      </c>
      <c r="P808" t="s">
        <v>34</v>
      </c>
      <c r="Q808" t="s">
        <v>250</v>
      </c>
      <c r="R808" t="s">
        <v>1468</v>
      </c>
      <c r="S808">
        <v>80112</v>
      </c>
      <c r="T808" s="1">
        <v>42016</v>
      </c>
      <c r="U808" s="1">
        <v>42020</v>
      </c>
      <c r="V808" s="2">
        <v>-20.732800000000001</v>
      </c>
      <c r="W808">
        <v>11</v>
      </c>
      <c r="X808" s="2">
        <v>22.59</v>
      </c>
      <c r="Y808">
        <v>89448</v>
      </c>
      <c r="Z808">
        <f t="shared" si="12"/>
        <v>248.49</v>
      </c>
    </row>
    <row r="809" spans="1:26" x14ac:dyDescent="0.25">
      <c r="A809">
        <v>23620</v>
      </c>
      <c r="B809" t="s">
        <v>37</v>
      </c>
      <c r="C809" s="2">
        <v>0.05</v>
      </c>
      <c r="D809" s="2">
        <v>8.0399999999999991</v>
      </c>
      <c r="E809" s="2">
        <v>8.94</v>
      </c>
      <c r="F809">
        <v>1424</v>
      </c>
      <c r="G809" t="s">
        <v>1467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1030</v>
      </c>
      <c r="N809">
        <v>0.4</v>
      </c>
      <c r="O809" t="s">
        <v>33</v>
      </c>
      <c r="P809" t="s">
        <v>34</v>
      </c>
      <c r="Q809" t="s">
        <v>250</v>
      </c>
      <c r="R809" t="s">
        <v>1468</v>
      </c>
      <c r="S809">
        <v>80112</v>
      </c>
      <c r="T809" s="1">
        <v>42175</v>
      </c>
      <c r="U809" s="1">
        <v>42177</v>
      </c>
      <c r="V809" s="2">
        <v>-164.3948</v>
      </c>
      <c r="W809">
        <v>15</v>
      </c>
      <c r="X809" s="2">
        <v>121.36</v>
      </c>
      <c r="Y809">
        <v>89449</v>
      </c>
      <c r="Z809">
        <f t="shared" si="12"/>
        <v>1820.4</v>
      </c>
    </row>
    <row r="810" spans="1:26" x14ac:dyDescent="0.25">
      <c r="A810">
        <v>22824</v>
      </c>
      <c r="B810" t="s">
        <v>106</v>
      </c>
      <c r="C810" s="2">
        <v>0.04</v>
      </c>
      <c r="D810" s="2">
        <v>2036.48</v>
      </c>
      <c r="E810" s="2">
        <v>14.7</v>
      </c>
      <c r="F810">
        <v>1425</v>
      </c>
      <c r="G810" t="s">
        <v>1470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626</v>
      </c>
      <c r="N810">
        <v>0.55000000000000004</v>
      </c>
      <c r="O810" t="s">
        <v>33</v>
      </c>
      <c r="P810" t="s">
        <v>34</v>
      </c>
      <c r="Q810" t="s">
        <v>250</v>
      </c>
      <c r="R810" t="s">
        <v>251</v>
      </c>
      <c r="S810">
        <v>80525</v>
      </c>
      <c r="T810" s="1">
        <v>42005</v>
      </c>
      <c r="U810" s="1">
        <v>42010</v>
      </c>
      <c r="V810" s="2">
        <v>-4793.0039999999999</v>
      </c>
      <c r="W810">
        <v>1</v>
      </c>
      <c r="X810" s="2">
        <v>2013.67</v>
      </c>
      <c r="Y810">
        <v>89450</v>
      </c>
      <c r="Z810">
        <f t="shared" si="12"/>
        <v>2013.67</v>
      </c>
    </row>
    <row r="811" spans="1:26" x14ac:dyDescent="0.25">
      <c r="A811">
        <v>22407</v>
      </c>
      <c r="B811" t="s">
        <v>106</v>
      </c>
      <c r="C811" s="2">
        <v>0.09</v>
      </c>
      <c r="D811" s="2">
        <v>125.99</v>
      </c>
      <c r="E811" s="2">
        <v>2.5</v>
      </c>
      <c r="F811">
        <v>1427</v>
      </c>
      <c r="G811" t="s">
        <v>1471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1137</v>
      </c>
      <c r="N811">
        <v>0.6</v>
      </c>
      <c r="O811" t="s">
        <v>33</v>
      </c>
      <c r="P811" t="s">
        <v>61</v>
      </c>
      <c r="Q811" t="s">
        <v>295</v>
      </c>
      <c r="R811" t="s">
        <v>1472</v>
      </c>
      <c r="S811">
        <v>48708</v>
      </c>
      <c r="T811" s="1">
        <v>42040</v>
      </c>
      <c r="U811" s="1">
        <v>42044</v>
      </c>
      <c r="V811" s="2">
        <v>1258.7877000000001</v>
      </c>
      <c r="W811">
        <v>18</v>
      </c>
      <c r="X811" s="2">
        <v>1824.33</v>
      </c>
      <c r="Y811">
        <v>90905</v>
      </c>
      <c r="Z811">
        <f t="shared" si="12"/>
        <v>32837.94</v>
      </c>
    </row>
    <row r="812" spans="1:26" x14ac:dyDescent="0.25">
      <c r="A812">
        <v>19810</v>
      </c>
      <c r="B812" t="s">
        <v>37</v>
      </c>
      <c r="C812" s="2">
        <v>0.05</v>
      </c>
      <c r="D812" s="2">
        <v>9.7799999999999994</v>
      </c>
      <c r="E812" s="2">
        <v>1.39</v>
      </c>
      <c r="F812">
        <v>1432</v>
      </c>
      <c r="G812" t="s">
        <v>1473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1254</v>
      </c>
      <c r="N812">
        <v>0.39</v>
      </c>
      <c r="O812" t="s">
        <v>33</v>
      </c>
      <c r="P812" t="s">
        <v>61</v>
      </c>
      <c r="Q812" t="s">
        <v>695</v>
      </c>
      <c r="R812" t="s">
        <v>1461</v>
      </c>
      <c r="S812">
        <v>46203</v>
      </c>
      <c r="T812" s="1">
        <v>42068</v>
      </c>
      <c r="U812" s="1">
        <v>42069</v>
      </c>
      <c r="V812" s="2">
        <v>74.278499999999994</v>
      </c>
      <c r="W812">
        <v>11</v>
      </c>
      <c r="X812" s="2">
        <v>107.65</v>
      </c>
      <c r="Y812">
        <v>86826</v>
      </c>
      <c r="Z812">
        <f t="shared" si="12"/>
        <v>1184.1500000000001</v>
      </c>
    </row>
    <row r="813" spans="1:26" x14ac:dyDescent="0.25">
      <c r="A813">
        <v>18762</v>
      </c>
      <c r="B813" t="s">
        <v>106</v>
      </c>
      <c r="C813" s="2">
        <v>7.0000000000000007E-2</v>
      </c>
      <c r="D813" s="2">
        <v>10.98</v>
      </c>
      <c r="E813" s="2">
        <v>4.8</v>
      </c>
      <c r="F813">
        <v>1432</v>
      </c>
      <c r="G813" t="s">
        <v>1473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529</v>
      </c>
      <c r="N813">
        <v>0.36</v>
      </c>
      <c r="O813" t="s">
        <v>33</v>
      </c>
      <c r="P813" t="s">
        <v>61</v>
      </c>
      <c r="Q813" t="s">
        <v>695</v>
      </c>
      <c r="R813" t="s">
        <v>1461</v>
      </c>
      <c r="S813">
        <v>46203</v>
      </c>
      <c r="T813" s="1">
        <v>42175</v>
      </c>
      <c r="U813" s="1">
        <v>42182</v>
      </c>
      <c r="V813" s="2">
        <v>52.92</v>
      </c>
      <c r="W813">
        <v>16</v>
      </c>
      <c r="X813" s="2">
        <v>165.21</v>
      </c>
      <c r="Y813">
        <v>86827</v>
      </c>
      <c r="Z813">
        <f t="shared" si="12"/>
        <v>2643.36</v>
      </c>
    </row>
    <row r="814" spans="1:26" x14ac:dyDescent="0.25">
      <c r="A814">
        <v>19811</v>
      </c>
      <c r="B814" t="s">
        <v>37</v>
      </c>
      <c r="C814" s="2">
        <v>0.02</v>
      </c>
      <c r="D814" s="2">
        <v>3.28</v>
      </c>
      <c r="E814" s="2">
        <v>3.97</v>
      </c>
      <c r="F814">
        <v>1433</v>
      </c>
      <c r="G814" t="s">
        <v>1474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999</v>
      </c>
      <c r="N814">
        <v>0.56000000000000005</v>
      </c>
      <c r="O814" t="s">
        <v>33</v>
      </c>
      <c r="P814" t="s">
        <v>61</v>
      </c>
      <c r="Q814" t="s">
        <v>695</v>
      </c>
      <c r="R814" t="s">
        <v>1475</v>
      </c>
      <c r="S814">
        <v>47130</v>
      </c>
      <c r="T814" s="1">
        <v>42068</v>
      </c>
      <c r="U814" s="1">
        <v>42069</v>
      </c>
      <c r="V814" s="2">
        <v>-66.349999999999994</v>
      </c>
      <c r="W814">
        <v>7</v>
      </c>
      <c r="X814" s="2">
        <v>25.15</v>
      </c>
      <c r="Y814">
        <v>86826</v>
      </c>
      <c r="Z814">
        <f t="shared" si="12"/>
        <v>176.04999999999998</v>
      </c>
    </row>
    <row r="815" spans="1:26" x14ac:dyDescent="0.25">
      <c r="A815">
        <v>20124</v>
      </c>
      <c r="B815" t="s">
        <v>25</v>
      </c>
      <c r="C815" s="2">
        <v>7.0000000000000007E-2</v>
      </c>
      <c r="D815" s="2">
        <v>300.98</v>
      </c>
      <c r="E815" s="2">
        <v>64.73</v>
      </c>
      <c r="F815">
        <v>1433</v>
      </c>
      <c r="G815" t="s">
        <v>1474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1476</v>
      </c>
      <c r="N815">
        <v>0.56000000000000005</v>
      </c>
      <c r="O815" t="s">
        <v>33</v>
      </c>
      <c r="P815" t="s">
        <v>61</v>
      </c>
      <c r="Q815" t="s">
        <v>695</v>
      </c>
      <c r="R815" t="s">
        <v>1475</v>
      </c>
      <c r="S815">
        <v>47130</v>
      </c>
      <c r="T815" s="1">
        <v>42143</v>
      </c>
      <c r="U815" s="1">
        <v>42145</v>
      </c>
      <c r="V815" s="2">
        <v>1399.64</v>
      </c>
      <c r="W815">
        <v>14</v>
      </c>
      <c r="X815" s="2">
        <v>4285.5600000000004</v>
      </c>
      <c r="Y815">
        <v>86828</v>
      </c>
      <c r="Z815">
        <f t="shared" si="12"/>
        <v>59997.840000000004</v>
      </c>
    </row>
    <row r="816" spans="1:26" x14ac:dyDescent="0.25">
      <c r="A816">
        <v>20125</v>
      </c>
      <c r="B816" t="s">
        <v>25</v>
      </c>
      <c r="C816" s="2">
        <v>0.01</v>
      </c>
      <c r="D816" s="2">
        <v>20.98</v>
      </c>
      <c r="E816" s="2">
        <v>45</v>
      </c>
      <c r="F816">
        <v>1433</v>
      </c>
      <c r="G816" t="s">
        <v>1474</v>
      </c>
      <c r="H816" t="s">
        <v>39</v>
      </c>
      <c r="I816" t="s">
        <v>28</v>
      </c>
      <c r="J816" t="s">
        <v>29</v>
      </c>
      <c r="K816" t="s">
        <v>139</v>
      </c>
      <c r="L816" t="s">
        <v>43</v>
      </c>
      <c r="M816" t="s">
        <v>1477</v>
      </c>
      <c r="N816">
        <v>0.61</v>
      </c>
      <c r="O816" t="s">
        <v>33</v>
      </c>
      <c r="P816" t="s">
        <v>61</v>
      </c>
      <c r="Q816" t="s">
        <v>695</v>
      </c>
      <c r="R816" t="s">
        <v>1475</v>
      </c>
      <c r="S816">
        <v>47130</v>
      </c>
      <c r="T816" s="1">
        <v>42143</v>
      </c>
      <c r="U816" s="1">
        <v>42143</v>
      </c>
      <c r="V816" s="2">
        <v>232.642</v>
      </c>
      <c r="W816">
        <v>28</v>
      </c>
      <c r="X816" s="2">
        <v>631.37</v>
      </c>
      <c r="Y816">
        <v>86828</v>
      </c>
      <c r="Z816">
        <f t="shared" si="12"/>
        <v>17678.36</v>
      </c>
    </row>
    <row r="817" spans="1:26" x14ac:dyDescent="0.25">
      <c r="A817">
        <v>21955</v>
      </c>
      <c r="B817" t="s">
        <v>47</v>
      </c>
      <c r="C817" s="2">
        <v>0.01</v>
      </c>
      <c r="D817" s="2">
        <v>80.98</v>
      </c>
      <c r="E817" s="2">
        <v>35</v>
      </c>
      <c r="F817">
        <v>1438</v>
      </c>
      <c r="G817" t="s">
        <v>1478</v>
      </c>
      <c r="H817" t="s">
        <v>49</v>
      </c>
      <c r="I817" t="s">
        <v>28</v>
      </c>
      <c r="J817" t="s">
        <v>29</v>
      </c>
      <c r="K817" t="s">
        <v>139</v>
      </c>
      <c r="L817" t="s">
        <v>231</v>
      </c>
      <c r="M817" t="s">
        <v>978</v>
      </c>
      <c r="N817">
        <v>0.83</v>
      </c>
      <c r="O817" t="s">
        <v>33</v>
      </c>
      <c r="P817" t="s">
        <v>53</v>
      </c>
      <c r="Q817" t="s">
        <v>152</v>
      </c>
      <c r="R817" t="s">
        <v>1479</v>
      </c>
      <c r="S817">
        <v>44035</v>
      </c>
      <c r="T817" s="1">
        <v>42026</v>
      </c>
      <c r="U817" s="1">
        <v>42028</v>
      </c>
      <c r="V817" s="2">
        <v>-409.37360000000001</v>
      </c>
      <c r="W817">
        <v>3</v>
      </c>
      <c r="X817" s="2">
        <v>267.83</v>
      </c>
      <c r="Y817">
        <v>90120</v>
      </c>
      <c r="Z817">
        <f t="shared" si="12"/>
        <v>803.49</v>
      </c>
    </row>
    <row r="818" spans="1:26" x14ac:dyDescent="0.25">
      <c r="A818">
        <v>23415</v>
      </c>
      <c r="B818" t="s">
        <v>47</v>
      </c>
      <c r="C818" s="2">
        <v>0.05</v>
      </c>
      <c r="D818" s="2">
        <v>6.48</v>
      </c>
      <c r="E818" s="2">
        <v>6.22</v>
      </c>
      <c r="F818">
        <v>1439</v>
      </c>
      <c r="G818" t="s">
        <v>1480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1418</v>
      </c>
      <c r="N818">
        <v>0.37</v>
      </c>
      <c r="O818" t="s">
        <v>33</v>
      </c>
      <c r="P818" t="s">
        <v>53</v>
      </c>
      <c r="Q818" t="s">
        <v>152</v>
      </c>
      <c r="R818" t="s">
        <v>1481</v>
      </c>
      <c r="S818">
        <v>44117</v>
      </c>
      <c r="T818" s="1">
        <v>42122</v>
      </c>
      <c r="U818" s="1">
        <v>42123</v>
      </c>
      <c r="V818" s="2">
        <v>-29.07</v>
      </c>
      <c r="W818">
        <v>3</v>
      </c>
      <c r="X818" s="2">
        <v>21.46</v>
      </c>
      <c r="Y818">
        <v>90121</v>
      </c>
      <c r="Z818">
        <f t="shared" si="12"/>
        <v>64.38</v>
      </c>
    </row>
    <row r="819" spans="1:26" x14ac:dyDescent="0.25">
      <c r="A819">
        <v>22672</v>
      </c>
      <c r="B819" t="s">
        <v>37</v>
      </c>
      <c r="C819" s="2">
        <v>0.04</v>
      </c>
      <c r="D819" s="2">
        <v>177.98</v>
      </c>
      <c r="E819" s="2">
        <v>0.99</v>
      </c>
      <c r="F819">
        <v>1442</v>
      </c>
      <c r="G819" t="s">
        <v>1482</v>
      </c>
      <c r="H819" t="s">
        <v>49</v>
      </c>
      <c r="I819" t="s">
        <v>28</v>
      </c>
      <c r="J819" t="s">
        <v>29</v>
      </c>
      <c r="K819" t="s">
        <v>252</v>
      </c>
      <c r="L819" t="s">
        <v>59</v>
      </c>
      <c r="M819" t="s">
        <v>1483</v>
      </c>
      <c r="N819">
        <v>0.56000000000000005</v>
      </c>
      <c r="O819" t="s">
        <v>33</v>
      </c>
      <c r="P819" t="s">
        <v>61</v>
      </c>
      <c r="Q819" t="s">
        <v>499</v>
      </c>
      <c r="R819" t="s">
        <v>1182</v>
      </c>
      <c r="S819">
        <v>65807</v>
      </c>
      <c r="T819" s="1">
        <v>42180</v>
      </c>
      <c r="U819" s="1">
        <v>42182</v>
      </c>
      <c r="V819" s="2">
        <v>1909.8855000000001</v>
      </c>
      <c r="W819">
        <v>15</v>
      </c>
      <c r="X819" s="2">
        <v>2767.95</v>
      </c>
      <c r="Y819">
        <v>89076</v>
      </c>
      <c r="Z819">
        <f t="shared" si="12"/>
        <v>41519.25</v>
      </c>
    </row>
    <row r="820" spans="1:26" x14ac:dyDescent="0.25">
      <c r="A820">
        <v>21945</v>
      </c>
      <c r="B820" t="s">
        <v>106</v>
      </c>
      <c r="C820" s="2">
        <v>0.02</v>
      </c>
      <c r="D820" s="2">
        <v>15.99</v>
      </c>
      <c r="E820" s="2">
        <v>13.18</v>
      </c>
      <c r="F820">
        <v>1442</v>
      </c>
      <c r="G820" t="s">
        <v>1482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631</v>
      </c>
      <c r="N820">
        <v>0.37</v>
      </c>
      <c r="O820" t="s">
        <v>33</v>
      </c>
      <c r="P820" t="s">
        <v>61</v>
      </c>
      <c r="Q820" t="s">
        <v>499</v>
      </c>
      <c r="R820" t="s">
        <v>1182</v>
      </c>
      <c r="S820">
        <v>65807</v>
      </c>
      <c r="T820" s="1">
        <v>42034</v>
      </c>
      <c r="U820" s="1">
        <v>42038</v>
      </c>
      <c r="V820" s="2">
        <v>-76.992500000000007</v>
      </c>
      <c r="W820">
        <v>7</v>
      </c>
      <c r="X820" s="2">
        <v>123.03</v>
      </c>
      <c r="Y820">
        <v>89077</v>
      </c>
      <c r="Z820">
        <f t="shared" si="12"/>
        <v>861.21</v>
      </c>
    </row>
    <row r="821" spans="1:26" x14ac:dyDescent="0.25">
      <c r="A821">
        <v>21946</v>
      </c>
      <c r="B821" t="s">
        <v>106</v>
      </c>
      <c r="C821" s="2">
        <v>0.09</v>
      </c>
      <c r="D821" s="2">
        <v>46.94</v>
      </c>
      <c r="E821" s="2">
        <v>6.77</v>
      </c>
      <c r="F821">
        <v>1442</v>
      </c>
      <c r="G821" t="s">
        <v>1482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1484</v>
      </c>
      <c r="N821">
        <v>0.44</v>
      </c>
      <c r="O821" t="s">
        <v>33</v>
      </c>
      <c r="P821" t="s">
        <v>61</v>
      </c>
      <c r="Q821" t="s">
        <v>499</v>
      </c>
      <c r="R821" t="s">
        <v>1182</v>
      </c>
      <c r="S821">
        <v>65807</v>
      </c>
      <c r="T821" s="1">
        <v>42034</v>
      </c>
      <c r="U821" s="1">
        <v>42034</v>
      </c>
      <c r="V821" s="2">
        <v>297.96960000000001</v>
      </c>
      <c r="W821">
        <v>10</v>
      </c>
      <c r="X821" s="2">
        <v>431.84</v>
      </c>
      <c r="Y821">
        <v>89077</v>
      </c>
      <c r="Z821">
        <f t="shared" si="12"/>
        <v>4318.3999999999996</v>
      </c>
    </row>
    <row r="822" spans="1:26" x14ac:dyDescent="0.25">
      <c r="A822">
        <v>23793</v>
      </c>
      <c r="B822" t="s">
        <v>56</v>
      </c>
      <c r="C822" s="2">
        <v>0.1</v>
      </c>
      <c r="D822" s="2">
        <v>218.08</v>
      </c>
      <c r="E822" s="2">
        <v>18.059999999999999</v>
      </c>
      <c r="F822">
        <v>1450</v>
      </c>
      <c r="G822" t="s">
        <v>1485</v>
      </c>
      <c r="H822" t="s">
        <v>27</v>
      </c>
      <c r="I822" t="s">
        <v>114</v>
      </c>
      <c r="J822" t="s">
        <v>41</v>
      </c>
      <c r="K822" t="s">
        <v>42</v>
      </c>
      <c r="L822" t="s">
        <v>231</v>
      </c>
      <c r="M822" t="s">
        <v>1486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1487</v>
      </c>
      <c r="S822">
        <v>96150</v>
      </c>
      <c r="T822" s="1">
        <v>42148</v>
      </c>
      <c r="U822" s="1">
        <v>42149</v>
      </c>
      <c r="V822" s="2">
        <v>1318.83</v>
      </c>
      <c r="W822">
        <v>12</v>
      </c>
      <c r="X822" s="2">
        <v>2366.5100000000002</v>
      </c>
      <c r="Y822">
        <v>86735</v>
      </c>
      <c r="Z822">
        <f t="shared" si="12"/>
        <v>28398.120000000003</v>
      </c>
    </row>
    <row r="823" spans="1:26" x14ac:dyDescent="0.25">
      <c r="A823">
        <v>25006</v>
      </c>
      <c r="B823" t="s">
        <v>25</v>
      </c>
      <c r="C823" s="2">
        <v>0.05</v>
      </c>
      <c r="D823" s="2">
        <v>85.99</v>
      </c>
      <c r="E823" s="2">
        <v>0.99</v>
      </c>
      <c r="F823">
        <v>1459</v>
      </c>
      <c r="G823" t="s">
        <v>1488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411</v>
      </c>
      <c r="N823">
        <v>0.55000000000000004</v>
      </c>
      <c r="O823" t="s">
        <v>33</v>
      </c>
      <c r="P823" t="s">
        <v>135</v>
      </c>
      <c r="Q823" t="s">
        <v>923</v>
      </c>
      <c r="R823" t="s">
        <v>1489</v>
      </c>
      <c r="S823">
        <v>29687</v>
      </c>
      <c r="T823" s="1">
        <v>42099</v>
      </c>
      <c r="U823" s="1">
        <v>42101</v>
      </c>
      <c r="V823" s="2">
        <v>36.216000000000001</v>
      </c>
      <c r="W823">
        <v>4</v>
      </c>
      <c r="X823" s="2">
        <v>291.64</v>
      </c>
      <c r="Y823">
        <v>86734</v>
      </c>
      <c r="Z823">
        <f t="shared" si="12"/>
        <v>1166.56</v>
      </c>
    </row>
    <row r="824" spans="1:26" x14ac:dyDescent="0.25">
      <c r="A824">
        <v>18105</v>
      </c>
      <c r="B824" t="s">
        <v>25</v>
      </c>
      <c r="C824" s="2">
        <v>0.05</v>
      </c>
      <c r="D824" s="2">
        <v>12.95</v>
      </c>
      <c r="E824" s="2">
        <v>4.9800000000000004</v>
      </c>
      <c r="F824">
        <v>1461</v>
      </c>
      <c r="G824" t="s">
        <v>1490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1491</v>
      </c>
      <c r="N824">
        <v>0.4</v>
      </c>
      <c r="O824" t="s">
        <v>33</v>
      </c>
      <c r="P824" t="s">
        <v>61</v>
      </c>
      <c r="Q824" t="s">
        <v>695</v>
      </c>
      <c r="R824" t="s">
        <v>1466</v>
      </c>
      <c r="S824">
        <v>47905</v>
      </c>
      <c r="T824" s="1">
        <v>42157</v>
      </c>
      <c r="U824" s="1">
        <v>42159</v>
      </c>
      <c r="V824" s="2">
        <v>134.16825</v>
      </c>
      <c r="W824">
        <v>19</v>
      </c>
      <c r="X824" s="2">
        <v>252.36</v>
      </c>
      <c r="Y824">
        <v>86397</v>
      </c>
      <c r="Z824">
        <f t="shared" si="12"/>
        <v>4794.84</v>
      </c>
    </row>
    <row r="825" spans="1:26" x14ac:dyDescent="0.25">
      <c r="A825">
        <v>23735</v>
      </c>
      <c r="B825" t="s">
        <v>25</v>
      </c>
      <c r="C825" s="2">
        <v>0</v>
      </c>
      <c r="D825" s="2">
        <v>65.989999999999995</v>
      </c>
      <c r="E825" s="2">
        <v>8.99</v>
      </c>
      <c r="F825">
        <v>1466</v>
      </c>
      <c r="G825" t="s">
        <v>1492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>
        <v>5180</v>
      </c>
      <c r="N825">
        <v>0.56000000000000005</v>
      </c>
      <c r="O825" t="s">
        <v>33</v>
      </c>
      <c r="P825" t="s">
        <v>61</v>
      </c>
      <c r="Q825" t="s">
        <v>489</v>
      </c>
      <c r="R825" t="s">
        <v>437</v>
      </c>
      <c r="S825">
        <v>68601</v>
      </c>
      <c r="T825" s="1">
        <v>42166</v>
      </c>
      <c r="U825" s="1">
        <v>42168</v>
      </c>
      <c r="V825" s="2">
        <v>253.3032</v>
      </c>
      <c r="W825">
        <v>10</v>
      </c>
      <c r="X825" s="2">
        <v>575.07000000000005</v>
      </c>
      <c r="Y825">
        <v>91115</v>
      </c>
      <c r="Z825">
        <f t="shared" si="12"/>
        <v>5750.7000000000007</v>
      </c>
    </row>
    <row r="826" spans="1:26" x14ac:dyDescent="0.25">
      <c r="A826">
        <v>25917</v>
      </c>
      <c r="B826" t="s">
        <v>106</v>
      </c>
      <c r="C826" s="2">
        <v>0.04</v>
      </c>
      <c r="D826" s="2">
        <v>130.97999999999999</v>
      </c>
      <c r="E826" s="2">
        <v>54.74</v>
      </c>
      <c r="F826">
        <v>1466</v>
      </c>
      <c r="G826" t="s">
        <v>1492</v>
      </c>
      <c r="H826" t="s">
        <v>39</v>
      </c>
      <c r="I826" t="s">
        <v>58</v>
      </c>
      <c r="J826" t="s">
        <v>41</v>
      </c>
      <c r="K826" t="s">
        <v>187</v>
      </c>
      <c r="L826" t="s">
        <v>120</v>
      </c>
      <c r="M826" t="s">
        <v>399</v>
      </c>
      <c r="N826">
        <v>0.69</v>
      </c>
      <c r="O826" t="s">
        <v>33</v>
      </c>
      <c r="P826" t="s">
        <v>61</v>
      </c>
      <c r="Q826" t="s">
        <v>489</v>
      </c>
      <c r="R826" t="s">
        <v>437</v>
      </c>
      <c r="S826">
        <v>68601</v>
      </c>
      <c r="T826" s="1">
        <v>42167</v>
      </c>
      <c r="U826" s="1">
        <v>42167</v>
      </c>
      <c r="V826" s="2">
        <v>-723.78399999999999</v>
      </c>
      <c r="W826">
        <v>14</v>
      </c>
      <c r="X826" s="2">
        <v>1781.66</v>
      </c>
      <c r="Y826">
        <v>91116</v>
      </c>
      <c r="Z826">
        <f t="shared" si="12"/>
        <v>24943.24</v>
      </c>
    </row>
    <row r="827" spans="1:26" x14ac:dyDescent="0.25">
      <c r="A827">
        <v>25915</v>
      </c>
      <c r="B827" t="s">
        <v>106</v>
      </c>
      <c r="C827" s="2">
        <v>0.04</v>
      </c>
      <c r="D827" s="2">
        <v>105.29</v>
      </c>
      <c r="E827" s="2">
        <v>10.119999999999999</v>
      </c>
      <c r="F827">
        <v>1469</v>
      </c>
      <c r="G827" t="s">
        <v>1493</v>
      </c>
      <c r="H827" t="s">
        <v>49</v>
      </c>
      <c r="I827" t="s">
        <v>58</v>
      </c>
      <c r="J827" t="s">
        <v>41</v>
      </c>
      <c r="K827" t="s">
        <v>50</v>
      </c>
      <c r="L827" t="s">
        <v>231</v>
      </c>
      <c r="M827" t="s">
        <v>1494</v>
      </c>
      <c r="N827">
        <v>0.79</v>
      </c>
      <c r="O827" t="s">
        <v>33</v>
      </c>
      <c r="P827" t="s">
        <v>34</v>
      </c>
      <c r="Q827" t="s">
        <v>208</v>
      </c>
      <c r="R827" t="s">
        <v>1495</v>
      </c>
      <c r="S827">
        <v>84015</v>
      </c>
      <c r="T827" s="1">
        <v>42167</v>
      </c>
      <c r="U827" s="1">
        <v>42171</v>
      </c>
      <c r="V827" s="2">
        <v>589.18799999999999</v>
      </c>
      <c r="W827">
        <v>9</v>
      </c>
      <c r="X827" s="2">
        <v>940.64</v>
      </c>
      <c r="Y827">
        <v>91116</v>
      </c>
      <c r="Z827">
        <f t="shared" si="12"/>
        <v>8465.76</v>
      </c>
    </row>
    <row r="828" spans="1:26" x14ac:dyDescent="0.25">
      <c r="A828">
        <v>25916</v>
      </c>
      <c r="B828" t="s">
        <v>106</v>
      </c>
      <c r="C828" s="2">
        <v>7.0000000000000007E-2</v>
      </c>
      <c r="D828" s="2">
        <v>31.76</v>
      </c>
      <c r="E828" s="2">
        <v>45.51</v>
      </c>
      <c r="F828">
        <v>1469</v>
      </c>
      <c r="G828" t="s">
        <v>1493</v>
      </c>
      <c r="H828" t="s">
        <v>39</v>
      </c>
      <c r="I828" t="s">
        <v>58</v>
      </c>
      <c r="J828" t="s">
        <v>41</v>
      </c>
      <c r="K828" t="s">
        <v>150</v>
      </c>
      <c r="L828" t="s">
        <v>120</v>
      </c>
      <c r="M828" t="s">
        <v>363</v>
      </c>
      <c r="N828">
        <v>0.65</v>
      </c>
      <c r="O828" t="s">
        <v>33</v>
      </c>
      <c r="P828" t="s">
        <v>34</v>
      </c>
      <c r="Q828" t="s">
        <v>208</v>
      </c>
      <c r="R828" t="s">
        <v>1495</v>
      </c>
      <c r="S828">
        <v>84015</v>
      </c>
      <c r="T828" s="1">
        <v>42167</v>
      </c>
      <c r="U828" s="1">
        <v>42169</v>
      </c>
      <c r="V828" s="2">
        <v>-1314.992</v>
      </c>
      <c r="W828">
        <v>18</v>
      </c>
      <c r="X828" s="2">
        <v>439.27</v>
      </c>
      <c r="Y828">
        <v>91116</v>
      </c>
      <c r="Z828">
        <f t="shared" si="12"/>
        <v>7906.86</v>
      </c>
    </row>
    <row r="829" spans="1:26" x14ac:dyDescent="0.25">
      <c r="A829">
        <v>21710</v>
      </c>
      <c r="B829" t="s">
        <v>25</v>
      </c>
      <c r="C829" s="2">
        <v>0.03</v>
      </c>
      <c r="D829" s="2">
        <v>420.98</v>
      </c>
      <c r="E829" s="2">
        <v>19.989999999999998</v>
      </c>
      <c r="F829">
        <v>1471</v>
      </c>
      <c r="G829" t="s">
        <v>1496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1497</v>
      </c>
      <c r="N829">
        <v>0.35</v>
      </c>
      <c r="O829" t="s">
        <v>33</v>
      </c>
      <c r="P829" t="s">
        <v>53</v>
      </c>
      <c r="Q829" t="s">
        <v>152</v>
      </c>
      <c r="R829" t="s">
        <v>1498</v>
      </c>
      <c r="S829">
        <v>43081</v>
      </c>
      <c r="T829" s="1">
        <v>42084</v>
      </c>
      <c r="U829" s="1">
        <v>42085</v>
      </c>
      <c r="V829" s="2">
        <v>3043.0311000000002</v>
      </c>
      <c r="W829">
        <v>10</v>
      </c>
      <c r="X829" s="2">
        <v>4410.1899999999996</v>
      </c>
      <c r="Y829">
        <v>87077</v>
      </c>
      <c r="Z829">
        <f t="shared" si="12"/>
        <v>44101.899999999994</v>
      </c>
    </row>
    <row r="830" spans="1:26" x14ac:dyDescent="0.25">
      <c r="A830">
        <v>23958</v>
      </c>
      <c r="B830" t="s">
        <v>37</v>
      </c>
      <c r="C830" s="2">
        <v>0.02</v>
      </c>
      <c r="D830" s="2">
        <v>30.98</v>
      </c>
      <c r="E830" s="2">
        <v>6.5</v>
      </c>
      <c r="F830">
        <v>1472</v>
      </c>
      <c r="G830" t="s">
        <v>1499</v>
      </c>
      <c r="H830" t="s">
        <v>27</v>
      </c>
      <c r="I830" t="s">
        <v>40</v>
      </c>
      <c r="J830" t="s">
        <v>77</v>
      </c>
      <c r="K830" t="s">
        <v>177</v>
      </c>
      <c r="L830" t="s">
        <v>59</v>
      </c>
      <c r="M830" t="s">
        <v>1229</v>
      </c>
      <c r="N830">
        <v>0.79</v>
      </c>
      <c r="O830" t="s">
        <v>33</v>
      </c>
      <c r="P830" t="s">
        <v>53</v>
      </c>
      <c r="Q830" t="s">
        <v>152</v>
      </c>
      <c r="R830" t="s">
        <v>1500</v>
      </c>
      <c r="S830">
        <v>44145</v>
      </c>
      <c r="T830" s="1">
        <v>42185</v>
      </c>
      <c r="U830" s="1">
        <v>42186</v>
      </c>
      <c r="V830" s="2">
        <v>-44.624000000000002</v>
      </c>
      <c r="W830">
        <v>17</v>
      </c>
      <c r="X830" s="2">
        <v>552.89</v>
      </c>
      <c r="Y830">
        <v>87078</v>
      </c>
      <c r="Z830">
        <f t="shared" si="12"/>
        <v>9399.1299999999992</v>
      </c>
    </row>
    <row r="831" spans="1:26" x14ac:dyDescent="0.25">
      <c r="A831">
        <v>22313</v>
      </c>
      <c r="B831" t="s">
        <v>56</v>
      </c>
      <c r="C831" s="2">
        <v>0.05</v>
      </c>
      <c r="D831" s="2">
        <v>20.27</v>
      </c>
      <c r="E831" s="2">
        <v>3.99</v>
      </c>
      <c r="F831">
        <v>1472</v>
      </c>
      <c r="G831" t="s">
        <v>1499</v>
      </c>
      <c r="H831" t="s">
        <v>49</v>
      </c>
      <c r="I831" t="s">
        <v>40</v>
      </c>
      <c r="J831" t="s">
        <v>29</v>
      </c>
      <c r="K831" t="s">
        <v>252</v>
      </c>
      <c r="L831" t="s">
        <v>59</v>
      </c>
      <c r="M831" t="s">
        <v>1501</v>
      </c>
      <c r="N831">
        <v>0.56999999999999995</v>
      </c>
      <c r="O831" t="s">
        <v>33</v>
      </c>
      <c r="P831" t="s">
        <v>53</v>
      </c>
      <c r="Q831" t="s">
        <v>152</v>
      </c>
      <c r="R831" t="s">
        <v>1500</v>
      </c>
      <c r="S831">
        <v>44145</v>
      </c>
      <c r="T831" s="1">
        <v>42149</v>
      </c>
      <c r="U831" s="1">
        <v>42150</v>
      </c>
      <c r="V831" s="2">
        <v>309.25400000000002</v>
      </c>
      <c r="W831">
        <v>30</v>
      </c>
      <c r="X831" s="2">
        <v>621.55999999999995</v>
      </c>
      <c r="Y831">
        <v>87079</v>
      </c>
      <c r="Z831">
        <f t="shared" si="12"/>
        <v>18646.8</v>
      </c>
    </row>
    <row r="832" spans="1:26" x14ac:dyDescent="0.25">
      <c r="A832">
        <v>24937</v>
      </c>
      <c r="B832" t="s">
        <v>47</v>
      </c>
      <c r="C832" s="2">
        <v>0.04</v>
      </c>
      <c r="D832" s="2">
        <v>9.7799999999999994</v>
      </c>
      <c r="E832" s="2">
        <v>1.99</v>
      </c>
      <c r="F832">
        <v>1473</v>
      </c>
      <c r="G832" t="s">
        <v>1502</v>
      </c>
      <c r="H832" t="s">
        <v>27</v>
      </c>
      <c r="I832" t="s">
        <v>40</v>
      </c>
      <c r="J832" t="s">
        <v>77</v>
      </c>
      <c r="K832" t="s">
        <v>177</v>
      </c>
      <c r="L832" t="s">
        <v>51</v>
      </c>
      <c r="M832" t="s">
        <v>1503</v>
      </c>
      <c r="N832">
        <v>0.43</v>
      </c>
      <c r="O832" t="s">
        <v>33</v>
      </c>
      <c r="P832" t="s">
        <v>53</v>
      </c>
      <c r="Q832" t="s">
        <v>152</v>
      </c>
      <c r="R832" t="s">
        <v>1504</v>
      </c>
      <c r="S832">
        <v>44691</v>
      </c>
      <c r="T832" s="1">
        <v>42025</v>
      </c>
      <c r="U832" s="1">
        <v>42026</v>
      </c>
      <c r="V832" s="2">
        <v>61.292700000000004</v>
      </c>
      <c r="W832">
        <v>9</v>
      </c>
      <c r="X832" s="2">
        <v>88.83</v>
      </c>
      <c r="Y832">
        <v>87076</v>
      </c>
      <c r="Z832">
        <f t="shared" si="12"/>
        <v>799.47</v>
      </c>
    </row>
    <row r="833" spans="1:26" x14ac:dyDescent="0.25">
      <c r="A833">
        <v>7544</v>
      </c>
      <c r="B833" t="s">
        <v>37</v>
      </c>
      <c r="C833" s="2">
        <v>7.0000000000000007E-2</v>
      </c>
      <c r="D833" s="2">
        <v>8.9499999999999993</v>
      </c>
      <c r="E833" s="2">
        <v>2.0099999999999998</v>
      </c>
      <c r="F833">
        <v>1481</v>
      </c>
      <c r="G833" t="s">
        <v>1505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1506</v>
      </c>
      <c r="N833">
        <v>0.39</v>
      </c>
      <c r="O833" t="s">
        <v>33</v>
      </c>
      <c r="P833" t="s">
        <v>34</v>
      </c>
      <c r="Q833" t="s">
        <v>45</v>
      </c>
      <c r="R833" t="s">
        <v>655</v>
      </c>
      <c r="S833">
        <v>90049</v>
      </c>
      <c r="T833" s="1">
        <v>42090</v>
      </c>
      <c r="U833" s="1">
        <v>42091</v>
      </c>
      <c r="V833" s="2">
        <v>91.73</v>
      </c>
      <c r="W833">
        <v>36</v>
      </c>
      <c r="X833" s="2">
        <v>307.64999999999998</v>
      </c>
      <c r="Y833">
        <v>53953</v>
      </c>
      <c r="Z833">
        <f t="shared" si="12"/>
        <v>11075.4</v>
      </c>
    </row>
    <row r="834" spans="1:26" x14ac:dyDescent="0.25">
      <c r="A834">
        <v>25544</v>
      </c>
      <c r="B834" t="s">
        <v>37</v>
      </c>
      <c r="C834" s="2">
        <v>7.0000000000000007E-2</v>
      </c>
      <c r="D834" s="2">
        <v>8.9499999999999993</v>
      </c>
      <c r="E834" s="2">
        <v>2.0099999999999998</v>
      </c>
      <c r="F834">
        <v>1482</v>
      </c>
      <c r="G834" t="s">
        <v>1507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1506</v>
      </c>
      <c r="N834">
        <v>0.39</v>
      </c>
      <c r="O834" t="s">
        <v>33</v>
      </c>
      <c r="P834" t="s">
        <v>61</v>
      </c>
      <c r="Q834" t="s">
        <v>295</v>
      </c>
      <c r="R834" t="s">
        <v>1472</v>
      </c>
      <c r="S834">
        <v>48708</v>
      </c>
      <c r="T834" s="1">
        <v>42090</v>
      </c>
      <c r="U834" s="1">
        <v>42091</v>
      </c>
      <c r="V834" s="2">
        <v>53.067900000000002</v>
      </c>
      <c r="W834">
        <v>9</v>
      </c>
      <c r="X834" s="2">
        <v>76.91</v>
      </c>
      <c r="Y834">
        <v>91362</v>
      </c>
      <c r="Z834">
        <f t="shared" si="12"/>
        <v>692.18999999999994</v>
      </c>
    </row>
    <row r="835" spans="1:26" x14ac:dyDescent="0.25">
      <c r="A835">
        <v>22745</v>
      </c>
      <c r="B835" t="s">
        <v>37</v>
      </c>
      <c r="C835" s="2">
        <v>0.05</v>
      </c>
      <c r="D835" s="2">
        <v>9.65</v>
      </c>
      <c r="E835" s="2">
        <v>6.22</v>
      </c>
      <c r="F835">
        <v>1482</v>
      </c>
      <c r="G835" t="s">
        <v>1507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321</v>
      </c>
      <c r="N835">
        <v>0.55000000000000004</v>
      </c>
      <c r="O835" t="s">
        <v>33</v>
      </c>
      <c r="P835" t="s">
        <v>61</v>
      </c>
      <c r="Q835" t="s">
        <v>295</v>
      </c>
      <c r="R835" t="s">
        <v>1472</v>
      </c>
      <c r="S835">
        <v>48708</v>
      </c>
      <c r="T835" s="1">
        <v>42063</v>
      </c>
      <c r="U835" s="1">
        <v>42063</v>
      </c>
      <c r="V835" s="2">
        <v>-14.6432</v>
      </c>
      <c r="W835">
        <v>15</v>
      </c>
      <c r="X835" s="2">
        <v>151.34</v>
      </c>
      <c r="Y835">
        <v>91363</v>
      </c>
      <c r="Z835">
        <f t="shared" ref="Z835:Z898" si="13">W835*X835</f>
        <v>2270.1</v>
      </c>
    </row>
    <row r="836" spans="1:26" x14ac:dyDescent="0.25">
      <c r="A836">
        <v>21806</v>
      </c>
      <c r="B836" t="s">
        <v>25</v>
      </c>
      <c r="C836" s="2">
        <v>0.06</v>
      </c>
      <c r="D836" s="2">
        <v>99.99</v>
      </c>
      <c r="E836" s="2">
        <v>19.989999999999998</v>
      </c>
      <c r="F836">
        <v>1484</v>
      </c>
      <c r="G836" t="s">
        <v>1508</v>
      </c>
      <c r="H836" t="s">
        <v>49</v>
      </c>
      <c r="I836" t="s">
        <v>40</v>
      </c>
      <c r="J836" t="s">
        <v>77</v>
      </c>
      <c r="K836" t="s">
        <v>177</v>
      </c>
      <c r="L836" t="s">
        <v>59</v>
      </c>
      <c r="M836" t="s">
        <v>1140</v>
      </c>
      <c r="N836">
        <v>0.52</v>
      </c>
      <c r="O836" t="s">
        <v>33</v>
      </c>
      <c r="P836" t="s">
        <v>61</v>
      </c>
      <c r="Q836" t="s">
        <v>175</v>
      </c>
      <c r="R836" t="s">
        <v>1509</v>
      </c>
      <c r="S836">
        <v>60016</v>
      </c>
      <c r="T836" s="1">
        <v>42074</v>
      </c>
      <c r="U836" s="1">
        <v>42077</v>
      </c>
      <c r="V836" s="2">
        <v>-127.56</v>
      </c>
      <c r="W836">
        <v>3</v>
      </c>
      <c r="X836" s="2">
        <v>290.24</v>
      </c>
      <c r="Y836">
        <v>91235</v>
      </c>
      <c r="Z836">
        <f t="shared" si="13"/>
        <v>870.72</v>
      </c>
    </row>
    <row r="837" spans="1:26" x14ac:dyDescent="0.25">
      <c r="A837">
        <v>21807</v>
      </c>
      <c r="B837" t="s">
        <v>25</v>
      </c>
      <c r="C837" s="2">
        <v>0</v>
      </c>
      <c r="D837" s="2">
        <v>193.17</v>
      </c>
      <c r="E837" s="2">
        <v>19.989999999999998</v>
      </c>
      <c r="F837">
        <v>1484</v>
      </c>
      <c r="G837" t="s">
        <v>1508</v>
      </c>
      <c r="H837" t="s">
        <v>49</v>
      </c>
      <c r="I837" t="s">
        <v>40</v>
      </c>
      <c r="J837" t="s">
        <v>29</v>
      </c>
      <c r="K837" t="s">
        <v>139</v>
      </c>
      <c r="L837" t="s">
        <v>59</v>
      </c>
      <c r="M837" t="s">
        <v>1510</v>
      </c>
      <c r="N837">
        <v>0.71</v>
      </c>
      <c r="O837" t="s">
        <v>33</v>
      </c>
      <c r="P837" t="s">
        <v>61</v>
      </c>
      <c r="Q837" t="s">
        <v>175</v>
      </c>
      <c r="R837" t="s">
        <v>1509</v>
      </c>
      <c r="S837">
        <v>60016</v>
      </c>
      <c r="T837" s="1">
        <v>42074</v>
      </c>
      <c r="U837" s="1">
        <v>42075</v>
      </c>
      <c r="V837" s="2">
        <v>282.18</v>
      </c>
      <c r="W837">
        <v>5</v>
      </c>
      <c r="X837" s="2">
        <v>971.4</v>
      </c>
      <c r="Y837">
        <v>91235</v>
      </c>
      <c r="Z837">
        <f t="shared" si="13"/>
        <v>4857</v>
      </c>
    </row>
    <row r="838" spans="1:26" x14ac:dyDescent="0.25">
      <c r="A838">
        <v>21808</v>
      </c>
      <c r="B838" t="s">
        <v>25</v>
      </c>
      <c r="C838" s="2">
        <v>0.08</v>
      </c>
      <c r="D838" s="2">
        <v>20.99</v>
      </c>
      <c r="E838" s="2">
        <v>3.3</v>
      </c>
      <c r="F838">
        <v>1484</v>
      </c>
      <c r="G838" t="s">
        <v>1508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886</v>
      </c>
      <c r="N838">
        <v>0.81</v>
      </c>
      <c r="O838" t="s">
        <v>33</v>
      </c>
      <c r="P838" t="s">
        <v>61</v>
      </c>
      <c r="Q838" t="s">
        <v>175</v>
      </c>
      <c r="R838" t="s">
        <v>1509</v>
      </c>
      <c r="S838">
        <v>60016</v>
      </c>
      <c r="T838" s="1">
        <v>42074</v>
      </c>
      <c r="U838" s="1">
        <v>42074</v>
      </c>
      <c r="V838" s="2">
        <v>-96.337999999999994</v>
      </c>
      <c r="W838">
        <v>11</v>
      </c>
      <c r="X838" s="2">
        <v>193.51</v>
      </c>
      <c r="Y838">
        <v>91235</v>
      </c>
      <c r="Z838">
        <f t="shared" si="13"/>
        <v>2128.6099999999997</v>
      </c>
    </row>
    <row r="839" spans="1:26" x14ac:dyDescent="0.25">
      <c r="A839">
        <v>22763</v>
      </c>
      <c r="B839" t="s">
        <v>37</v>
      </c>
      <c r="C839" s="2">
        <v>0.04</v>
      </c>
      <c r="D839" s="2">
        <v>11.5</v>
      </c>
      <c r="E839" s="2">
        <v>7.19</v>
      </c>
      <c r="F839">
        <v>1485</v>
      </c>
      <c r="G839" t="s">
        <v>1511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1512</v>
      </c>
      <c r="N839">
        <v>0.4</v>
      </c>
      <c r="O839" t="s">
        <v>33</v>
      </c>
      <c r="P839" t="s">
        <v>61</v>
      </c>
      <c r="Q839" t="s">
        <v>175</v>
      </c>
      <c r="R839" t="s">
        <v>1513</v>
      </c>
      <c r="S839">
        <v>60516</v>
      </c>
      <c r="T839" s="1">
        <v>42055</v>
      </c>
      <c r="U839" s="1">
        <v>42058</v>
      </c>
      <c r="V839" s="2">
        <v>-23.357880000000002</v>
      </c>
      <c r="W839">
        <v>14</v>
      </c>
      <c r="X839" s="2">
        <v>157.81</v>
      </c>
      <c r="Y839">
        <v>91236</v>
      </c>
      <c r="Z839">
        <f t="shared" si="13"/>
        <v>2209.34</v>
      </c>
    </row>
    <row r="840" spans="1:26" x14ac:dyDescent="0.25">
      <c r="A840">
        <v>22764</v>
      </c>
      <c r="B840" t="s">
        <v>37</v>
      </c>
      <c r="C840" s="2">
        <v>0.02</v>
      </c>
      <c r="D840" s="2">
        <v>15.7</v>
      </c>
      <c r="E840" s="2">
        <v>11.25</v>
      </c>
      <c r="F840">
        <v>1485</v>
      </c>
      <c r="G840" t="s">
        <v>1511</v>
      </c>
      <c r="H840" t="s">
        <v>49</v>
      </c>
      <c r="I840" t="s">
        <v>40</v>
      </c>
      <c r="J840" t="s">
        <v>29</v>
      </c>
      <c r="K840" t="s">
        <v>139</v>
      </c>
      <c r="L840" t="s">
        <v>59</v>
      </c>
      <c r="M840" t="s">
        <v>1514</v>
      </c>
      <c r="N840">
        <v>0.6</v>
      </c>
      <c r="O840" t="s">
        <v>33</v>
      </c>
      <c r="P840" t="s">
        <v>61</v>
      </c>
      <c r="Q840" t="s">
        <v>175</v>
      </c>
      <c r="R840" t="s">
        <v>1513</v>
      </c>
      <c r="S840">
        <v>60516</v>
      </c>
      <c r="T840" s="1">
        <v>42055</v>
      </c>
      <c r="U840" s="1">
        <v>42056</v>
      </c>
      <c r="V840" s="2">
        <v>-18.241599999999998</v>
      </c>
      <c r="W840">
        <v>1</v>
      </c>
      <c r="X840" s="2">
        <v>19.440000000000001</v>
      </c>
      <c r="Y840">
        <v>91236</v>
      </c>
      <c r="Z840">
        <f t="shared" si="13"/>
        <v>19.440000000000001</v>
      </c>
    </row>
    <row r="841" spans="1:26" x14ac:dyDescent="0.25">
      <c r="A841">
        <v>22765</v>
      </c>
      <c r="B841" t="s">
        <v>37</v>
      </c>
      <c r="C841" s="2">
        <v>0.05</v>
      </c>
      <c r="D841" s="2">
        <v>225.02</v>
      </c>
      <c r="E841" s="2">
        <v>28.66</v>
      </c>
      <c r="F841">
        <v>1485</v>
      </c>
      <c r="G841" t="s">
        <v>1511</v>
      </c>
      <c r="H841" t="s">
        <v>39</v>
      </c>
      <c r="I841" t="s">
        <v>40</v>
      </c>
      <c r="J841" t="s">
        <v>29</v>
      </c>
      <c r="K841" t="s">
        <v>139</v>
      </c>
      <c r="L841" t="s">
        <v>43</v>
      </c>
      <c r="M841" t="s">
        <v>1515</v>
      </c>
      <c r="N841">
        <v>0.72</v>
      </c>
      <c r="O841" t="s">
        <v>33</v>
      </c>
      <c r="P841" t="s">
        <v>61</v>
      </c>
      <c r="Q841" t="s">
        <v>175</v>
      </c>
      <c r="R841" t="s">
        <v>1513</v>
      </c>
      <c r="S841">
        <v>60516</v>
      </c>
      <c r="T841" s="1">
        <v>42055</v>
      </c>
      <c r="U841" s="1">
        <v>42057</v>
      </c>
      <c r="V841" s="2">
        <v>1428.9104</v>
      </c>
      <c r="W841">
        <v>21</v>
      </c>
      <c r="X841" s="2">
        <v>4636.63</v>
      </c>
      <c r="Y841">
        <v>91236</v>
      </c>
      <c r="Z841">
        <f t="shared" si="13"/>
        <v>97369.23</v>
      </c>
    </row>
    <row r="842" spans="1:26" x14ac:dyDescent="0.25">
      <c r="A842">
        <v>18460</v>
      </c>
      <c r="B842" t="s">
        <v>25</v>
      </c>
      <c r="C842" s="2">
        <v>0.04</v>
      </c>
      <c r="D842" s="2">
        <v>119.99</v>
      </c>
      <c r="E842" s="2">
        <v>14</v>
      </c>
      <c r="F842">
        <v>1492</v>
      </c>
      <c r="G842" t="s">
        <v>1516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881</v>
      </c>
      <c r="N842">
        <v>0.36</v>
      </c>
      <c r="O842" t="s">
        <v>33</v>
      </c>
      <c r="P842" t="s">
        <v>61</v>
      </c>
      <c r="Q842" t="s">
        <v>499</v>
      </c>
      <c r="R842" t="s">
        <v>1517</v>
      </c>
      <c r="S842">
        <v>65721</v>
      </c>
      <c r="T842" s="1">
        <v>42171</v>
      </c>
      <c r="U842" s="1">
        <v>42173</v>
      </c>
      <c r="V842" s="2">
        <v>509.95830000000001</v>
      </c>
      <c r="W842">
        <v>6</v>
      </c>
      <c r="X842" s="2">
        <v>739.07</v>
      </c>
      <c r="Y842">
        <v>88004</v>
      </c>
      <c r="Z842">
        <f t="shared" si="13"/>
        <v>4434.42</v>
      </c>
    </row>
    <row r="843" spans="1:26" x14ac:dyDescent="0.25">
      <c r="A843">
        <v>19472</v>
      </c>
      <c r="B843" t="s">
        <v>47</v>
      </c>
      <c r="C843" s="2">
        <v>0.06</v>
      </c>
      <c r="D843" s="2">
        <v>8.3699999999999992</v>
      </c>
      <c r="E843" s="2">
        <v>10.16</v>
      </c>
      <c r="F843">
        <v>1494</v>
      </c>
      <c r="G843" t="s">
        <v>1518</v>
      </c>
      <c r="H843" t="s">
        <v>49</v>
      </c>
      <c r="I843" t="s">
        <v>28</v>
      </c>
      <c r="J843" t="s">
        <v>41</v>
      </c>
      <c r="K843" t="s">
        <v>50</v>
      </c>
      <c r="L843" t="s">
        <v>231</v>
      </c>
      <c r="M843" t="s">
        <v>1202</v>
      </c>
      <c r="N843">
        <v>0.59</v>
      </c>
      <c r="O843" t="s">
        <v>33</v>
      </c>
      <c r="P843" t="s">
        <v>53</v>
      </c>
      <c r="Q843" t="s">
        <v>409</v>
      </c>
      <c r="R843" t="s">
        <v>1519</v>
      </c>
      <c r="S843">
        <v>21222</v>
      </c>
      <c r="T843" s="1">
        <v>42074</v>
      </c>
      <c r="U843" s="1">
        <v>42076</v>
      </c>
      <c r="V843" s="2">
        <v>-255.65</v>
      </c>
      <c r="W843">
        <v>18</v>
      </c>
      <c r="X843" s="2">
        <v>157.63999999999999</v>
      </c>
      <c r="Y843">
        <v>85880</v>
      </c>
      <c r="Z843">
        <f t="shared" si="13"/>
        <v>2837.5199999999995</v>
      </c>
    </row>
    <row r="844" spans="1:26" x14ac:dyDescent="0.25">
      <c r="A844">
        <v>19473</v>
      </c>
      <c r="B844" t="s">
        <v>47</v>
      </c>
      <c r="C844" s="2">
        <v>0.09</v>
      </c>
      <c r="D844" s="2">
        <v>6.48</v>
      </c>
      <c r="E844" s="2">
        <v>9.17</v>
      </c>
      <c r="F844">
        <v>1494</v>
      </c>
      <c r="G844" t="s">
        <v>1518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289</v>
      </c>
      <c r="N844">
        <v>0.37</v>
      </c>
      <c r="O844" t="s">
        <v>33</v>
      </c>
      <c r="P844" t="s">
        <v>53</v>
      </c>
      <c r="Q844" t="s">
        <v>409</v>
      </c>
      <c r="R844" t="s">
        <v>1519</v>
      </c>
      <c r="S844">
        <v>21222</v>
      </c>
      <c r="T844" s="1">
        <v>42074</v>
      </c>
      <c r="U844" s="1">
        <v>42076</v>
      </c>
      <c r="V844" s="2">
        <v>-76.540000000000006</v>
      </c>
      <c r="W844">
        <v>6</v>
      </c>
      <c r="X844" s="2">
        <v>42.16</v>
      </c>
      <c r="Y844">
        <v>85880</v>
      </c>
      <c r="Z844">
        <f t="shared" si="13"/>
        <v>252.95999999999998</v>
      </c>
    </row>
    <row r="845" spans="1:26" x14ac:dyDescent="0.25">
      <c r="A845">
        <v>24286</v>
      </c>
      <c r="B845" t="s">
        <v>47</v>
      </c>
      <c r="C845" s="2">
        <v>0.09</v>
      </c>
      <c r="D845" s="2">
        <v>6.28</v>
      </c>
      <c r="E845" s="2">
        <v>5.29</v>
      </c>
      <c r="F845">
        <v>1497</v>
      </c>
      <c r="G845" t="s">
        <v>1520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434</v>
      </c>
      <c r="N845">
        <v>0.43</v>
      </c>
      <c r="O845" t="s">
        <v>33</v>
      </c>
      <c r="P845" t="s">
        <v>53</v>
      </c>
      <c r="Q845" t="s">
        <v>71</v>
      </c>
      <c r="R845" t="s">
        <v>1521</v>
      </c>
      <c r="S845">
        <v>14901</v>
      </c>
      <c r="T845" s="1">
        <v>42074</v>
      </c>
      <c r="U845" s="1">
        <v>42075</v>
      </c>
      <c r="V845" s="2">
        <v>-10.09</v>
      </c>
      <c r="W845">
        <v>2</v>
      </c>
      <c r="X845" s="2">
        <v>14.08</v>
      </c>
      <c r="Y845">
        <v>85880</v>
      </c>
      <c r="Z845">
        <f t="shared" si="13"/>
        <v>28.16</v>
      </c>
    </row>
    <row r="846" spans="1:26" x14ac:dyDescent="0.25">
      <c r="A846">
        <v>24287</v>
      </c>
      <c r="B846" t="s">
        <v>47</v>
      </c>
      <c r="C846" s="2">
        <v>0.03</v>
      </c>
      <c r="D846" s="2">
        <v>15.14</v>
      </c>
      <c r="E846" s="2">
        <v>4.53</v>
      </c>
      <c r="F846">
        <v>1497</v>
      </c>
      <c r="G846" t="s">
        <v>1520</v>
      </c>
      <c r="H846" t="s">
        <v>49</v>
      </c>
      <c r="I846" t="s">
        <v>28</v>
      </c>
      <c r="J846" t="s">
        <v>29</v>
      </c>
      <c r="K846" t="s">
        <v>139</v>
      </c>
      <c r="L846" t="s">
        <v>59</v>
      </c>
      <c r="M846" t="s">
        <v>1190</v>
      </c>
      <c r="N846">
        <v>0.81</v>
      </c>
      <c r="O846" t="s">
        <v>33</v>
      </c>
      <c r="P846" t="s">
        <v>53</v>
      </c>
      <c r="Q846" t="s">
        <v>71</v>
      </c>
      <c r="R846" t="s">
        <v>1521</v>
      </c>
      <c r="S846">
        <v>14901</v>
      </c>
      <c r="T846" s="1">
        <v>42074</v>
      </c>
      <c r="U846" s="1">
        <v>42076</v>
      </c>
      <c r="V846" s="2">
        <v>-92.87</v>
      </c>
      <c r="W846">
        <v>17</v>
      </c>
      <c r="X846" s="2">
        <v>256.73</v>
      </c>
      <c r="Y846">
        <v>85880</v>
      </c>
      <c r="Z846">
        <f t="shared" si="13"/>
        <v>4364.41</v>
      </c>
    </row>
    <row r="847" spans="1:26" x14ac:dyDescent="0.25">
      <c r="A847">
        <v>20016</v>
      </c>
      <c r="B847" t="s">
        <v>56</v>
      </c>
      <c r="C847" s="2">
        <v>0.05</v>
      </c>
      <c r="D847" s="2">
        <v>2.16</v>
      </c>
      <c r="E847" s="2">
        <v>6.05</v>
      </c>
      <c r="F847">
        <v>1499</v>
      </c>
      <c r="G847" t="s">
        <v>1522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1523</v>
      </c>
      <c r="N847">
        <v>0.37</v>
      </c>
      <c r="O847" t="s">
        <v>33</v>
      </c>
      <c r="P847" t="s">
        <v>135</v>
      </c>
      <c r="Q847" t="s">
        <v>356</v>
      </c>
      <c r="R847" t="s">
        <v>1524</v>
      </c>
      <c r="S847">
        <v>33134</v>
      </c>
      <c r="T847" s="1">
        <v>42039</v>
      </c>
      <c r="U847" s="1">
        <v>42040</v>
      </c>
      <c r="V847" s="2">
        <v>-298.88600000000002</v>
      </c>
      <c r="W847">
        <v>8</v>
      </c>
      <c r="X847" s="2">
        <v>18.59</v>
      </c>
      <c r="Y847">
        <v>90731</v>
      </c>
      <c r="Z847">
        <f t="shared" si="13"/>
        <v>148.72</v>
      </c>
    </row>
    <row r="848" spans="1:26" x14ac:dyDescent="0.25">
      <c r="A848">
        <v>20017</v>
      </c>
      <c r="B848" t="s">
        <v>56</v>
      </c>
      <c r="C848" s="2">
        <v>0.03</v>
      </c>
      <c r="D848" s="2">
        <v>6.48</v>
      </c>
      <c r="E848" s="2">
        <v>6.6</v>
      </c>
      <c r="F848">
        <v>1499</v>
      </c>
      <c r="G848" t="s">
        <v>1522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596</v>
      </c>
      <c r="N848">
        <v>0.37</v>
      </c>
      <c r="O848" t="s">
        <v>33</v>
      </c>
      <c r="P848" t="s">
        <v>135</v>
      </c>
      <c r="Q848" t="s">
        <v>356</v>
      </c>
      <c r="R848" t="s">
        <v>1524</v>
      </c>
      <c r="S848">
        <v>33134</v>
      </c>
      <c r="T848" s="1">
        <v>42039</v>
      </c>
      <c r="U848" s="1">
        <v>42040</v>
      </c>
      <c r="V848" s="2">
        <v>-145.852</v>
      </c>
      <c r="W848">
        <v>9</v>
      </c>
      <c r="X848" s="2">
        <v>58.83</v>
      </c>
      <c r="Y848">
        <v>90731</v>
      </c>
      <c r="Z848">
        <f t="shared" si="13"/>
        <v>529.47</v>
      </c>
    </row>
    <row r="849" spans="1:26" x14ac:dyDescent="0.25">
      <c r="A849">
        <v>20018</v>
      </c>
      <c r="B849" t="s">
        <v>56</v>
      </c>
      <c r="C849" s="2">
        <v>0.08</v>
      </c>
      <c r="D849" s="2">
        <v>146.05000000000001</v>
      </c>
      <c r="E849" s="2">
        <v>80.2</v>
      </c>
      <c r="F849">
        <v>1499</v>
      </c>
      <c r="G849" t="s">
        <v>1522</v>
      </c>
      <c r="H849" t="s">
        <v>39</v>
      </c>
      <c r="I849" t="s">
        <v>40</v>
      </c>
      <c r="J849" t="s">
        <v>41</v>
      </c>
      <c r="K849" t="s">
        <v>150</v>
      </c>
      <c r="L849" t="s">
        <v>120</v>
      </c>
      <c r="M849" t="s">
        <v>341</v>
      </c>
      <c r="N849">
        <v>0.71</v>
      </c>
      <c r="O849" t="s">
        <v>33</v>
      </c>
      <c r="P849" t="s">
        <v>135</v>
      </c>
      <c r="Q849" t="s">
        <v>356</v>
      </c>
      <c r="R849" t="s">
        <v>1524</v>
      </c>
      <c r="S849">
        <v>33134</v>
      </c>
      <c r="T849" s="1">
        <v>42039</v>
      </c>
      <c r="U849" s="1">
        <v>42040</v>
      </c>
      <c r="V849" s="2">
        <v>-27.951000000000001</v>
      </c>
      <c r="W849">
        <v>11</v>
      </c>
      <c r="X849" s="2">
        <v>1557.66</v>
      </c>
      <c r="Y849">
        <v>90731</v>
      </c>
      <c r="Z849">
        <f t="shared" si="13"/>
        <v>17134.260000000002</v>
      </c>
    </row>
    <row r="850" spans="1:26" x14ac:dyDescent="0.25">
      <c r="A850">
        <v>21682</v>
      </c>
      <c r="B850" t="s">
        <v>47</v>
      </c>
      <c r="C850" s="2">
        <v>0.08</v>
      </c>
      <c r="D850" s="2">
        <v>3.69</v>
      </c>
      <c r="E850" s="2">
        <v>0.5</v>
      </c>
      <c r="F850">
        <v>1502</v>
      </c>
      <c r="G850" t="s">
        <v>1525</v>
      </c>
      <c r="H850" t="s">
        <v>49</v>
      </c>
      <c r="I850" t="s">
        <v>58</v>
      </c>
      <c r="J850" t="s">
        <v>29</v>
      </c>
      <c r="K850" t="s">
        <v>133</v>
      </c>
      <c r="L850" t="s">
        <v>59</v>
      </c>
      <c r="M850" t="s">
        <v>1526</v>
      </c>
      <c r="N850">
        <v>0.38</v>
      </c>
      <c r="O850" t="s">
        <v>33</v>
      </c>
      <c r="P850" t="s">
        <v>135</v>
      </c>
      <c r="Q850" t="s">
        <v>356</v>
      </c>
      <c r="R850" t="s">
        <v>1527</v>
      </c>
      <c r="S850">
        <v>33065</v>
      </c>
      <c r="T850" s="1">
        <v>42131</v>
      </c>
      <c r="U850" s="1">
        <v>42134</v>
      </c>
      <c r="V850" s="2">
        <v>-3.6547000000000001</v>
      </c>
      <c r="W850">
        <v>38</v>
      </c>
      <c r="X850" s="2">
        <v>129.43</v>
      </c>
      <c r="Y850">
        <v>89193</v>
      </c>
      <c r="Z850">
        <f t="shared" si="13"/>
        <v>4918.34</v>
      </c>
    </row>
    <row r="851" spans="1:26" x14ac:dyDescent="0.25">
      <c r="A851">
        <v>18868</v>
      </c>
      <c r="B851" t="s">
        <v>106</v>
      </c>
      <c r="C851" s="2">
        <v>0.08</v>
      </c>
      <c r="D851" s="2">
        <v>5.84</v>
      </c>
      <c r="E851" s="2">
        <v>1</v>
      </c>
      <c r="F851">
        <v>1502</v>
      </c>
      <c r="G851" t="s">
        <v>1525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1528</v>
      </c>
      <c r="N851">
        <v>0.38</v>
      </c>
      <c r="O851" t="s">
        <v>33</v>
      </c>
      <c r="P851" t="s">
        <v>135</v>
      </c>
      <c r="Q851" t="s">
        <v>356</v>
      </c>
      <c r="R851" t="s">
        <v>1527</v>
      </c>
      <c r="S851">
        <v>33065</v>
      </c>
      <c r="T851" s="1">
        <v>42184</v>
      </c>
      <c r="U851" s="1">
        <v>42188</v>
      </c>
      <c r="V851" s="2">
        <v>731.92200000000003</v>
      </c>
      <c r="W851">
        <v>11</v>
      </c>
      <c r="X851" s="2">
        <v>61.39</v>
      </c>
      <c r="Y851">
        <v>89194</v>
      </c>
      <c r="Z851">
        <f t="shared" si="13"/>
        <v>675.29</v>
      </c>
    </row>
    <row r="852" spans="1:26" x14ac:dyDescent="0.25">
      <c r="A852">
        <v>18869</v>
      </c>
      <c r="B852" t="s">
        <v>106</v>
      </c>
      <c r="C852" s="2">
        <v>0</v>
      </c>
      <c r="D852" s="2">
        <v>205.99</v>
      </c>
      <c r="E852" s="2">
        <v>8.99</v>
      </c>
      <c r="F852">
        <v>1502</v>
      </c>
      <c r="G852" t="s">
        <v>1525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1529</v>
      </c>
      <c r="N852">
        <v>0.6</v>
      </c>
      <c r="O852" t="s">
        <v>33</v>
      </c>
      <c r="P852" t="s">
        <v>135</v>
      </c>
      <c r="Q852" t="s">
        <v>356</v>
      </c>
      <c r="R852" t="s">
        <v>1527</v>
      </c>
      <c r="S852">
        <v>33065</v>
      </c>
      <c r="T852" s="1">
        <v>42184</v>
      </c>
      <c r="U852" s="1">
        <v>42187</v>
      </c>
      <c r="V852" s="2">
        <v>186.55799999999999</v>
      </c>
      <c r="W852">
        <v>13</v>
      </c>
      <c r="X852" s="2">
        <v>2435.52</v>
      </c>
      <c r="Y852">
        <v>89194</v>
      </c>
      <c r="Z852">
        <f t="shared" si="13"/>
        <v>31661.759999999998</v>
      </c>
    </row>
    <row r="853" spans="1:26" x14ac:dyDescent="0.25">
      <c r="A853">
        <v>18061</v>
      </c>
      <c r="B853" t="s">
        <v>106</v>
      </c>
      <c r="C853" s="2">
        <v>0</v>
      </c>
      <c r="D853" s="2">
        <v>85.99</v>
      </c>
      <c r="E853" s="2">
        <v>0.99</v>
      </c>
      <c r="F853">
        <v>1505</v>
      </c>
      <c r="G853" t="s">
        <v>1530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476</v>
      </c>
      <c r="N853">
        <v>0.85</v>
      </c>
      <c r="O853" t="s">
        <v>33</v>
      </c>
      <c r="P853" t="s">
        <v>61</v>
      </c>
      <c r="Q853" t="s">
        <v>129</v>
      </c>
      <c r="R853" t="s">
        <v>1531</v>
      </c>
      <c r="S853">
        <v>77840</v>
      </c>
      <c r="T853" s="1">
        <v>42168</v>
      </c>
      <c r="U853" s="1">
        <v>42173</v>
      </c>
      <c r="V853" s="2">
        <v>-138.0368</v>
      </c>
      <c r="W853">
        <v>6</v>
      </c>
      <c r="X853" s="2">
        <v>464.86</v>
      </c>
      <c r="Y853">
        <v>86181</v>
      </c>
      <c r="Z853">
        <f t="shared" si="13"/>
        <v>2789.16</v>
      </c>
    </row>
    <row r="854" spans="1:26" x14ac:dyDescent="0.25">
      <c r="A854">
        <v>23329</v>
      </c>
      <c r="B854" t="s">
        <v>47</v>
      </c>
      <c r="C854" s="2">
        <v>0.09</v>
      </c>
      <c r="D854" s="2">
        <v>20.98</v>
      </c>
      <c r="E854" s="2">
        <v>1.49</v>
      </c>
      <c r="F854">
        <v>1511</v>
      </c>
      <c r="G854" t="s">
        <v>1532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1533</v>
      </c>
      <c r="N854">
        <v>0.35</v>
      </c>
      <c r="O854" t="s">
        <v>33</v>
      </c>
      <c r="P854" t="s">
        <v>61</v>
      </c>
      <c r="Q854" t="s">
        <v>695</v>
      </c>
      <c r="R854" t="s">
        <v>1534</v>
      </c>
      <c r="S854">
        <v>47302</v>
      </c>
      <c r="T854" s="1">
        <v>42177</v>
      </c>
      <c r="U854" s="1">
        <v>42179</v>
      </c>
      <c r="V854" s="2">
        <v>199.1823</v>
      </c>
      <c r="W854">
        <v>14</v>
      </c>
      <c r="X854" s="2">
        <v>288.67</v>
      </c>
      <c r="Y854">
        <v>90303</v>
      </c>
      <c r="Z854">
        <f t="shared" si="13"/>
        <v>4041.38</v>
      </c>
    </row>
    <row r="855" spans="1:26" x14ac:dyDescent="0.25">
      <c r="A855">
        <v>23470</v>
      </c>
      <c r="B855" t="s">
        <v>47</v>
      </c>
      <c r="C855" s="2">
        <v>0.06</v>
      </c>
      <c r="D855" s="2">
        <v>55.48</v>
      </c>
      <c r="E855" s="2">
        <v>4.8499999999999996</v>
      </c>
      <c r="F855">
        <v>1519</v>
      </c>
      <c r="G855" t="s">
        <v>1535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1536</v>
      </c>
      <c r="N855">
        <v>0.37</v>
      </c>
      <c r="O855" t="s">
        <v>33</v>
      </c>
      <c r="P855" t="s">
        <v>53</v>
      </c>
      <c r="Q855" t="s">
        <v>184</v>
      </c>
      <c r="R855" t="s">
        <v>504</v>
      </c>
      <c r="S855">
        <v>4210</v>
      </c>
      <c r="T855" s="1">
        <v>42169</v>
      </c>
      <c r="U855" s="1">
        <v>42169</v>
      </c>
      <c r="V855" s="2">
        <v>711.05190000000005</v>
      </c>
      <c r="W855">
        <v>19</v>
      </c>
      <c r="X855" s="2">
        <v>1030.51</v>
      </c>
      <c r="Y855">
        <v>89957</v>
      </c>
      <c r="Z855">
        <f t="shared" si="13"/>
        <v>19579.689999999999</v>
      </c>
    </row>
    <row r="856" spans="1:26" x14ac:dyDescent="0.25">
      <c r="A856">
        <v>23471</v>
      </c>
      <c r="B856" t="s">
        <v>47</v>
      </c>
      <c r="C856" s="2">
        <v>0.1</v>
      </c>
      <c r="D856" s="2">
        <v>122.99</v>
      </c>
      <c r="E856" s="2">
        <v>70.2</v>
      </c>
      <c r="F856">
        <v>1522</v>
      </c>
      <c r="G856" t="s">
        <v>1537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145</v>
      </c>
      <c r="N856">
        <v>0.74</v>
      </c>
      <c r="O856" t="s">
        <v>33</v>
      </c>
      <c r="P856" t="s">
        <v>61</v>
      </c>
      <c r="Q856" t="s">
        <v>62</v>
      </c>
      <c r="R856" t="s">
        <v>1538</v>
      </c>
      <c r="S856">
        <v>55305</v>
      </c>
      <c r="T856" s="1">
        <v>42169</v>
      </c>
      <c r="U856" s="1">
        <v>42170</v>
      </c>
      <c r="V856" s="2">
        <v>-899.67499999999995</v>
      </c>
      <c r="W856">
        <v>17</v>
      </c>
      <c r="X856" s="2">
        <v>2026.91</v>
      </c>
      <c r="Y856">
        <v>89957</v>
      </c>
      <c r="Z856">
        <f t="shared" si="13"/>
        <v>34457.47</v>
      </c>
    </row>
    <row r="857" spans="1:26" x14ac:dyDescent="0.25">
      <c r="A857">
        <v>19269</v>
      </c>
      <c r="B857" t="s">
        <v>25</v>
      </c>
      <c r="C857" s="2">
        <v>0.04</v>
      </c>
      <c r="D857" s="2">
        <v>11.34</v>
      </c>
      <c r="E857" s="2">
        <v>5.01</v>
      </c>
      <c r="F857">
        <v>1526</v>
      </c>
      <c r="G857" t="s">
        <v>1539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569</v>
      </c>
      <c r="N857">
        <v>0.36</v>
      </c>
      <c r="O857" t="s">
        <v>33</v>
      </c>
      <c r="P857" t="s">
        <v>135</v>
      </c>
      <c r="Q857" t="s">
        <v>1266</v>
      </c>
      <c r="R857" t="s">
        <v>1540</v>
      </c>
      <c r="S857">
        <v>35211</v>
      </c>
      <c r="T857" s="1">
        <v>42045</v>
      </c>
      <c r="U857" s="1">
        <v>42046</v>
      </c>
      <c r="V857" s="2">
        <v>-189.22399999999999</v>
      </c>
      <c r="W857">
        <v>10</v>
      </c>
      <c r="X857" s="2">
        <v>115.53</v>
      </c>
      <c r="Y857">
        <v>86812</v>
      </c>
      <c r="Z857">
        <f t="shared" si="13"/>
        <v>1155.3</v>
      </c>
    </row>
    <row r="858" spans="1:26" x14ac:dyDescent="0.25">
      <c r="A858">
        <v>24974</v>
      </c>
      <c r="B858" t="s">
        <v>47</v>
      </c>
      <c r="C858" s="2">
        <v>0.03</v>
      </c>
      <c r="D858" s="2">
        <v>30.98</v>
      </c>
      <c r="E858" s="2">
        <v>8.99</v>
      </c>
      <c r="F858">
        <v>1527</v>
      </c>
      <c r="G858" t="s">
        <v>1541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1542</v>
      </c>
      <c r="N858">
        <v>0.57999999999999996</v>
      </c>
      <c r="O858" t="s">
        <v>33</v>
      </c>
      <c r="P858" t="s">
        <v>135</v>
      </c>
      <c r="Q858" t="s">
        <v>1266</v>
      </c>
      <c r="R858" t="s">
        <v>1543</v>
      </c>
      <c r="S858">
        <v>35601</v>
      </c>
      <c r="T858" s="1">
        <v>42013</v>
      </c>
      <c r="U858" s="1">
        <v>42015</v>
      </c>
      <c r="V858" s="2">
        <v>0.51</v>
      </c>
      <c r="W858">
        <v>5</v>
      </c>
      <c r="X858" s="2">
        <v>162.38999999999999</v>
      </c>
      <c r="Y858">
        <v>86813</v>
      </c>
      <c r="Z858">
        <f t="shared" si="13"/>
        <v>811.94999999999993</v>
      </c>
    </row>
    <row r="859" spans="1:26" x14ac:dyDescent="0.25">
      <c r="A859">
        <v>22253</v>
      </c>
      <c r="B859" t="s">
        <v>106</v>
      </c>
      <c r="C859" s="2">
        <v>0.03</v>
      </c>
      <c r="D859" s="2">
        <v>65.989999999999995</v>
      </c>
      <c r="E859" s="2">
        <v>5.26</v>
      </c>
      <c r="F859">
        <v>1527</v>
      </c>
      <c r="G859" t="s">
        <v>1541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>
        <v>8860</v>
      </c>
      <c r="N859">
        <v>0.56000000000000005</v>
      </c>
      <c r="O859" t="s">
        <v>33</v>
      </c>
      <c r="P859" t="s">
        <v>135</v>
      </c>
      <c r="Q859" t="s">
        <v>1266</v>
      </c>
      <c r="R859" t="s">
        <v>1543</v>
      </c>
      <c r="S859">
        <v>35601</v>
      </c>
      <c r="T859" s="1">
        <v>42093</v>
      </c>
      <c r="U859" s="1">
        <v>42103</v>
      </c>
      <c r="V859" s="2">
        <v>-52.247999999999998</v>
      </c>
      <c r="W859">
        <v>23</v>
      </c>
      <c r="X859" s="2">
        <v>1316.03</v>
      </c>
      <c r="Y859">
        <v>86814</v>
      </c>
      <c r="Z859">
        <f t="shared" si="13"/>
        <v>30268.69</v>
      </c>
    </row>
    <row r="860" spans="1:26" x14ac:dyDescent="0.25">
      <c r="A860">
        <v>21455</v>
      </c>
      <c r="B860" t="s">
        <v>106</v>
      </c>
      <c r="C860" s="2">
        <v>0.09</v>
      </c>
      <c r="D860" s="2">
        <v>50.98</v>
      </c>
      <c r="E860" s="2">
        <v>6.5</v>
      </c>
      <c r="F860">
        <v>1527</v>
      </c>
      <c r="G860" t="s">
        <v>1541</v>
      </c>
      <c r="H860" t="s">
        <v>49</v>
      </c>
      <c r="I860" t="s">
        <v>40</v>
      </c>
      <c r="J860" t="s">
        <v>77</v>
      </c>
      <c r="K860" t="s">
        <v>177</v>
      </c>
      <c r="L860" t="s">
        <v>59</v>
      </c>
      <c r="M860" t="s">
        <v>928</v>
      </c>
      <c r="N860">
        <v>0.73</v>
      </c>
      <c r="O860" t="s">
        <v>33</v>
      </c>
      <c r="P860" t="s">
        <v>135</v>
      </c>
      <c r="Q860" t="s">
        <v>1266</v>
      </c>
      <c r="R860" t="s">
        <v>1543</v>
      </c>
      <c r="S860">
        <v>35601</v>
      </c>
      <c r="T860" s="1">
        <v>42145</v>
      </c>
      <c r="U860" s="1">
        <v>42152</v>
      </c>
      <c r="V860" s="2">
        <v>70.176000000000002</v>
      </c>
      <c r="W860">
        <v>28</v>
      </c>
      <c r="X860" s="2">
        <v>1395.41</v>
      </c>
      <c r="Y860">
        <v>86815</v>
      </c>
      <c r="Z860">
        <f t="shared" si="13"/>
        <v>39071.480000000003</v>
      </c>
    </row>
    <row r="861" spans="1:26" x14ac:dyDescent="0.25">
      <c r="A861">
        <v>24975</v>
      </c>
      <c r="B861" t="s">
        <v>47</v>
      </c>
      <c r="C861" s="2">
        <v>0.01</v>
      </c>
      <c r="D861" s="2">
        <v>525.98</v>
      </c>
      <c r="E861" s="2">
        <v>19.989999999999998</v>
      </c>
      <c r="F861">
        <v>1528</v>
      </c>
      <c r="G861" t="s">
        <v>1544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1545</v>
      </c>
      <c r="N861">
        <v>0.37</v>
      </c>
      <c r="O861" t="s">
        <v>33</v>
      </c>
      <c r="P861" t="s">
        <v>135</v>
      </c>
      <c r="Q861" t="s">
        <v>316</v>
      </c>
      <c r="R861" t="s">
        <v>1546</v>
      </c>
      <c r="S861">
        <v>27288</v>
      </c>
      <c r="T861" s="1">
        <v>42013</v>
      </c>
      <c r="U861" s="1">
        <v>42015</v>
      </c>
      <c r="V861" s="2">
        <v>-161.92400000000001</v>
      </c>
      <c r="W861">
        <v>9</v>
      </c>
      <c r="X861" s="2">
        <v>4920.8100000000004</v>
      </c>
      <c r="Y861">
        <v>86813</v>
      </c>
      <c r="Z861">
        <f t="shared" si="13"/>
        <v>44287.29</v>
      </c>
    </row>
    <row r="862" spans="1:26" x14ac:dyDescent="0.25">
      <c r="A862">
        <v>21199</v>
      </c>
      <c r="B862" t="s">
        <v>47</v>
      </c>
      <c r="C862" s="2">
        <v>7.0000000000000007E-2</v>
      </c>
      <c r="D862" s="2">
        <v>4.91</v>
      </c>
      <c r="E862" s="2">
        <v>0.5</v>
      </c>
      <c r="F862">
        <v>1531</v>
      </c>
      <c r="G862" t="s">
        <v>1547</v>
      </c>
      <c r="H862" t="s">
        <v>49</v>
      </c>
      <c r="I862" t="s">
        <v>114</v>
      </c>
      <c r="J862" t="s">
        <v>29</v>
      </c>
      <c r="K862" t="s">
        <v>133</v>
      </c>
      <c r="L862" t="s">
        <v>59</v>
      </c>
      <c r="M862" t="s">
        <v>1548</v>
      </c>
      <c r="N862">
        <v>0.36</v>
      </c>
      <c r="O862" t="s">
        <v>33</v>
      </c>
      <c r="P862" t="s">
        <v>135</v>
      </c>
      <c r="Q862" t="s">
        <v>356</v>
      </c>
      <c r="R862" t="s">
        <v>1549</v>
      </c>
      <c r="S862">
        <v>32137</v>
      </c>
      <c r="T862" s="1">
        <v>42021</v>
      </c>
      <c r="U862" s="1">
        <v>42022</v>
      </c>
      <c r="V862" s="2">
        <v>-157.696</v>
      </c>
      <c r="W862">
        <v>6</v>
      </c>
      <c r="X862" s="2">
        <v>28.22</v>
      </c>
      <c r="Y862">
        <v>88852</v>
      </c>
      <c r="Z862">
        <f t="shared" si="13"/>
        <v>169.32</v>
      </c>
    </row>
    <row r="863" spans="1:26" x14ac:dyDescent="0.25">
      <c r="A863">
        <v>21596</v>
      </c>
      <c r="B863" t="s">
        <v>25</v>
      </c>
      <c r="C863" s="2">
        <v>0.02</v>
      </c>
      <c r="D863" s="2">
        <v>4.8899999999999997</v>
      </c>
      <c r="E863" s="2">
        <v>4.93</v>
      </c>
      <c r="F863">
        <v>1533</v>
      </c>
      <c r="G863" t="s">
        <v>1550</v>
      </c>
      <c r="H863" t="s">
        <v>49</v>
      </c>
      <c r="I863" t="s">
        <v>28</v>
      </c>
      <c r="J863" t="s">
        <v>77</v>
      </c>
      <c r="K863" t="s">
        <v>177</v>
      </c>
      <c r="L863" t="s">
        <v>51</v>
      </c>
      <c r="M863" t="s">
        <v>452</v>
      </c>
      <c r="N863">
        <v>0.66</v>
      </c>
      <c r="O863" t="s">
        <v>33</v>
      </c>
      <c r="P863" t="s">
        <v>61</v>
      </c>
      <c r="Q863" t="s">
        <v>499</v>
      </c>
      <c r="R863" t="s">
        <v>1551</v>
      </c>
      <c r="S863">
        <v>63130</v>
      </c>
      <c r="T863" s="1">
        <v>42041</v>
      </c>
      <c r="U863" s="1">
        <v>42042</v>
      </c>
      <c r="V863" s="2">
        <v>-56.445999999999998</v>
      </c>
      <c r="W863">
        <v>14</v>
      </c>
      <c r="X863" s="2">
        <v>74.010000000000005</v>
      </c>
      <c r="Y863">
        <v>91328</v>
      </c>
      <c r="Z863">
        <f t="shared" si="13"/>
        <v>1036.1400000000001</v>
      </c>
    </row>
    <row r="864" spans="1:26" x14ac:dyDescent="0.25">
      <c r="A864">
        <v>21597</v>
      </c>
      <c r="B864" t="s">
        <v>25</v>
      </c>
      <c r="C864" s="2">
        <v>7.0000000000000007E-2</v>
      </c>
      <c r="D864" s="2">
        <v>10.06</v>
      </c>
      <c r="E864" s="2">
        <v>2.06</v>
      </c>
      <c r="F864">
        <v>1533</v>
      </c>
      <c r="G864" t="s">
        <v>1550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275</v>
      </c>
      <c r="N864">
        <v>0.39</v>
      </c>
      <c r="O864" t="s">
        <v>33</v>
      </c>
      <c r="P864" t="s">
        <v>61</v>
      </c>
      <c r="Q864" t="s">
        <v>499</v>
      </c>
      <c r="R864" t="s">
        <v>1551</v>
      </c>
      <c r="S864">
        <v>63130</v>
      </c>
      <c r="T864" s="1">
        <v>42041</v>
      </c>
      <c r="U864" s="1">
        <v>42042</v>
      </c>
      <c r="V864" s="2">
        <v>33.189</v>
      </c>
      <c r="W864">
        <v>5</v>
      </c>
      <c r="X864" s="2">
        <v>48.1</v>
      </c>
      <c r="Y864">
        <v>91328</v>
      </c>
      <c r="Z864">
        <f t="shared" si="13"/>
        <v>240.5</v>
      </c>
    </row>
    <row r="865" spans="1:26" x14ac:dyDescent="0.25">
      <c r="A865">
        <v>23147</v>
      </c>
      <c r="B865" t="s">
        <v>106</v>
      </c>
      <c r="C865" s="2">
        <v>0</v>
      </c>
      <c r="D865" s="2">
        <v>599.99</v>
      </c>
      <c r="E865" s="2">
        <v>24.49</v>
      </c>
      <c r="F865">
        <v>1548</v>
      </c>
      <c r="G865" t="s">
        <v>1552</v>
      </c>
      <c r="H865" t="s">
        <v>49</v>
      </c>
      <c r="I865" t="s">
        <v>28</v>
      </c>
      <c r="J865" t="s">
        <v>77</v>
      </c>
      <c r="K865" t="s">
        <v>580</v>
      </c>
      <c r="L865" t="s">
        <v>231</v>
      </c>
      <c r="M865" t="s">
        <v>1553</v>
      </c>
      <c r="N865">
        <v>0.44</v>
      </c>
      <c r="O865" t="s">
        <v>33</v>
      </c>
      <c r="P865" t="s">
        <v>61</v>
      </c>
      <c r="Q865" t="s">
        <v>695</v>
      </c>
      <c r="R865" t="s">
        <v>1554</v>
      </c>
      <c r="S865">
        <v>47374</v>
      </c>
      <c r="T865" s="1">
        <v>42178</v>
      </c>
      <c r="U865" s="1">
        <v>42180</v>
      </c>
      <c r="V865" s="2">
        <v>-367.16500000000002</v>
      </c>
      <c r="W865">
        <v>18</v>
      </c>
      <c r="X865" s="2">
        <v>11015.82</v>
      </c>
      <c r="Y865">
        <v>88487</v>
      </c>
      <c r="Z865">
        <f t="shared" si="13"/>
        <v>198284.76</v>
      </c>
    </row>
    <row r="866" spans="1:26" x14ac:dyDescent="0.25">
      <c r="A866">
        <v>19627</v>
      </c>
      <c r="B866" t="s">
        <v>106</v>
      </c>
      <c r="C866" s="2">
        <v>7.0000000000000007E-2</v>
      </c>
      <c r="D866" s="2">
        <v>17.7</v>
      </c>
      <c r="E866" s="2">
        <v>9.4700000000000006</v>
      </c>
      <c r="F866">
        <v>1551</v>
      </c>
      <c r="G866" t="s">
        <v>1555</v>
      </c>
      <c r="H866" t="s">
        <v>49</v>
      </c>
      <c r="I866" t="s">
        <v>114</v>
      </c>
      <c r="J866" t="s">
        <v>29</v>
      </c>
      <c r="K866" t="s">
        <v>139</v>
      </c>
      <c r="L866" t="s">
        <v>59</v>
      </c>
      <c r="M866" t="s">
        <v>1556</v>
      </c>
      <c r="N866">
        <v>0.59</v>
      </c>
      <c r="O866" t="s">
        <v>33</v>
      </c>
      <c r="P866" t="s">
        <v>135</v>
      </c>
      <c r="Q866" t="s">
        <v>663</v>
      </c>
      <c r="R866" t="s">
        <v>1557</v>
      </c>
      <c r="S866">
        <v>39530</v>
      </c>
      <c r="T866" s="1">
        <v>42180</v>
      </c>
      <c r="U866" s="1">
        <v>42186</v>
      </c>
      <c r="V866" s="2">
        <v>-243.54400000000001</v>
      </c>
      <c r="W866">
        <v>18</v>
      </c>
      <c r="X866" s="2">
        <v>300.67</v>
      </c>
      <c r="Y866">
        <v>87488</v>
      </c>
      <c r="Z866">
        <f t="shared" si="13"/>
        <v>5412.06</v>
      </c>
    </row>
    <row r="867" spans="1:26" x14ac:dyDescent="0.25">
      <c r="A867">
        <v>20993</v>
      </c>
      <c r="B867" t="s">
        <v>47</v>
      </c>
      <c r="C867" s="2">
        <v>0.01</v>
      </c>
      <c r="D867" s="2">
        <v>348.21</v>
      </c>
      <c r="E867" s="2">
        <v>40.19</v>
      </c>
      <c r="F867">
        <v>1552</v>
      </c>
      <c r="G867" t="s">
        <v>1558</v>
      </c>
      <c r="H867" t="s">
        <v>39</v>
      </c>
      <c r="I867" t="s">
        <v>58</v>
      </c>
      <c r="J867" t="s">
        <v>41</v>
      </c>
      <c r="K867" t="s">
        <v>150</v>
      </c>
      <c r="L867" t="s">
        <v>120</v>
      </c>
      <c r="M867" t="s">
        <v>1559</v>
      </c>
      <c r="N867">
        <v>0.62</v>
      </c>
      <c r="O867" t="s">
        <v>33</v>
      </c>
      <c r="P867" t="s">
        <v>135</v>
      </c>
      <c r="Q867" t="s">
        <v>663</v>
      </c>
      <c r="R867" t="s">
        <v>1560</v>
      </c>
      <c r="S867">
        <v>39056</v>
      </c>
      <c r="T867" s="1">
        <v>42005</v>
      </c>
      <c r="U867" s="1">
        <v>42008</v>
      </c>
      <c r="V867" s="2">
        <v>-337.09199999999998</v>
      </c>
      <c r="W867">
        <v>2</v>
      </c>
      <c r="X867" s="2">
        <v>723.54</v>
      </c>
      <c r="Y867">
        <v>87486</v>
      </c>
      <c r="Z867">
        <f t="shared" si="13"/>
        <v>1447.08</v>
      </c>
    </row>
    <row r="868" spans="1:26" x14ac:dyDescent="0.25">
      <c r="A868">
        <v>24862</v>
      </c>
      <c r="B868" t="s">
        <v>37</v>
      </c>
      <c r="C868" s="2">
        <v>0.03</v>
      </c>
      <c r="D868" s="2">
        <v>12.28</v>
      </c>
      <c r="E868" s="2">
        <v>6.35</v>
      </c>
      <c r="F868">
        <v>1553</v>
      </c>
      <c r="G868" t="s">
        <v>1561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1562</v>
      </c>
      <c r="N868">
        <v>0.38</v>
      </c>
      <c r="O868" t="s">
        <v>33</v>
      </c>
      <c r="P868" t="s">
        <v>135</v>
      </c>
      <c r="Q868" t="s">
        <v>663</v>
      </c>
      <c r="R868" t="s">
        <v>1563</v>
      </c>
      <c r="S868">
        <v>38701</v>
      </c>
      <c r="T868" s="1">
        <v>42085</v>
      </c>
      <c r="U868" s="1">
        <v>42087</v>
      </c>
      <c r="V868" s="2">
        <v>68.676000000000002</v>
      </c>
      <c r="W868">
        <v>7</v>
      </c>
      <c r="X868" s="2">
        <v>87.53</v>
      </c>
      <c r="Y868">
        <v>87484</v>
      </c>
      <c r="Z868">
        <f t="shared" si="13"/>
        <v>612.71</v>
      </c>
    </row>
    <row r="869" spans="1:26" x14ac:dyDescent="0.25">
      <c r="A869">
        <v>26135</v>
      </c>
      <c r="B869" t="s">
        <v>25</v>
      </c>
      <c r="C869" s="2">
        <v>0.04</v>
      </c>
      <c r="D869" s="2">
        <v>10.98</v>
      </c>
      <c r="E869" s="2">
        <v>3.99</v>
      </c>
      <c r="F869">
        <v>1554</v>
      </c>
      <c r="G869" t="s">
        <v>1564</v>
      </c>
      <c r="H869" t="s">
        <v>49</v>
      </c>
      <c r="I869" t="s">
        <v>58</v>
      </c>
      <c r="J869" t="s">
        <v>29</v>
      </c>
      <c r="K869" t="s">
        <v>252</v>
      </c>
      <c r="L869" t="s">
        <v>59</v>
      </c>
      <c r="M869" t="s">
        <v>1565</v>
      </c>
      <c r="N869">
        <v>0.57999999999999996</v>
      </c>
      <c r="O869" t="s">
        <v>33</v>
      </c>
      <c r="P869" t="s">
        <v>135</v>
      </c>
      <c r="Q869" t="s">
        <v>663</v>
      </c>
      <c r="R869" t="s">
        <v>1566</v>
      </c>
      <c r="S869">
        <v>39503</v>
      </c>
      <c r="T869" s="1">
        <v>42142</v>
      </c>
      <c r="U869" s="1">
        <v>42142</v>
      </c>
      <c r="V869" s="2">
        <v>481.03199999999998</v>
      </c>
      <c r="W869">
        <v>15</v>
      </c>
      <c r="X869" s="2">
        <v>172.22</v>
      </c>
      <c r="Y869">
        <v>87485</v>
      </c>
      <c r="Z869">
        <f t="shared" si="13"/>
        <v>2583.3000000000002</v>
      </c>
    </row>
    <row r="870" spans="1:26" x14ac:dyDescent="0.25">
      <c r="A870">
        <v>25409</v>
      </c>
      <c r="B870" t="s">
        <v>25</v>
      </c>
      <c r="C870" s="2">
        <v>0.03</v>
      </c>
      <c r="D870" s="2">
        <v>124.49</v>
      </c>
      <c r="E870" s="2">
        <v>51.94</v>
      </c>
      <c r="F870">
        <v>1554</v>
      </c>
      <c r="G870" t="s">
        <v>1564</v>
      </c>
      <c r="H870" t="s">
        <v>39</v>
      </c>
      <c r="I870" t="s">
        <v>114</v>
      </c>
      <c r="J870" t="s">
        <v>41</v>
      </c>
      <c r="K870" t="s">
        <v>150</v>
      </c>
      <c r="L870" t="s">
        <v>120</v>
      </c>
      <c r="M870" t="s">
        <v>456</v>
      </c>
      <c r="N870">
        <v>0.63</v>
      </c>
      <c r="O870" t="s">
        <v>33</v>
      </c>
      <c r="P870" t="s">
        <v>135</v>
      </c>
      <c r="Q870" t="s">
        <v>663</v>
      </c>
      <c r="R870" t="s">
        <v>1566</v>
      </c>
      <c r="S870">
        <v>39503</v>
      </c>
      <c r="T870" s="1">
        <v>42048</v>
      </c>
      <c r="U870" s="1">
        <v>42049</v>
      </c>
      <c r="V870" s="2">
        <v>-4.0179999999999998</v>
      </c>
      <c r="W870">
        <v>7</v>
      </c>
      <c r="X870" s="2">
        <v>894.88</v>
      </c>
      <c r="Y870">
        <v>87487</v>
      </c>
      <c r="Z870">
        <f t="shared" si="13"/>
        <v>6264.16</v>
      </c>
    </row>
    <row r="871" spans="1:26" x14ac:dyDescent="0.25">
      <c r="A871">
        <v>18294</v>
      </c>
      <c r="B871" t="s">
        <v>37</v>
      </c>
      <c r="C871" s="2">
        <v>0.06</v>
      </c>
      <c r="D871" s="2">
        <v>2.89</v>
      </c>
      <c r="E871" s="2">
        <v>0.99</v>
      </c>
      <c r="F871">
        <v>1556</v>
      </c>
      <c r="G871" t="s">
        <v>1567</v>
      </c>
      <c r="H871" t="s">
        <v>49</v>
      </c>
      <c r="I871" t="s">
        <v>114</v>
      </c>
      <c r="J871" t="s">
        <v>29</v>
      </c>
      <c r="K871" t="s">
        <v>133</v>
      </c>
      <c r="L871" t="s">
        <v>59</v>
      </c>
      <c r="M871" t="s">
        <v>1568</v>
      </c>
      <c r="N871">
        <v>0.38</v>
      </c>
      <c r="O871" t="s">
        <v>33</v>
      </c>
      <c r="P871" t="s">
        <v>135</v>
      </c>
      <c r="Q871" t="s">
        <v>136</v>
      </c>
      <c r="R871" t="s">
        <v>1441</v>
      </c>
      <c r="S871">
        <v>22304</v>
      </c>
      <c r="T871" s="1">
        <v>42156</v>
      </c>
      <c r="U871" s="1">
        <v>42158</v>
      </c>
      <c r="V871" s="2">
        <v>-2.0097</v>
      </c>
      <c r="W871">
        <v>6</v>
      </c>
      <c r="X871" s="2">
        <v>16.670000000000002</v>
      </c>
      <c r="Y871">
        <v>87425</v>
      </c>
      <c r="Z871">
        <f t="shared" si="13"/>
        <v>100.02000000000001</v>
      </c>
    </row>
    <row r="872" spans="1:26" x14ac:dyDescent="0.25">
      <c r="A872">
        <v>18295</v>
      </c>
      <c r="B872" t="s">
        <v>37</v>
      </c>
      <c r="C872" s="2">
        <v>0.08</v>
      </c>
      <c r="D872" s="2">
        <v>22.84</v>
      </c>
      <c r="E872" s="2">
        <v>11.54</v>
      </c>
      <c r="F872">
        <v>1556</v>
      </c>
      <c r="G872" t="s">
        <v>1567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222</v>
      </c>
      <c r="N872">
        <v>0.39</v>
      </c>
      <c r="O872" t="s">
        <v>33</v>
      </c>
      <c r="P872" t="s">
        <v>135</v>
      </c>
      <c r="Q872" t="s">
        <v>136</v>
      </c>
      <c r="R872" t="s">
        <v>1441</v>
      </c>
      <c r="S872">
        <v>22304</v>
      </c>
      <c r="T872" s="1">
        <v>42156</v>
      </c>
      <c r="U872" s="1">
        <v>42158</v>
      </c>
      <c r="V872" s="2">
        <v>-477.37200000000001</v>
      </c>
      <c r="W872">
        <v>9</v>
      </c>
      <c r="X872" s="2">
        <v>195.16</v>
      </c>
      <c r="Y872">
        <v>87425</v>
      </c>
      <c r="Z872">
        <f t="shared" si="13"/>
        <v>1756.44</v>
      </c>
    </row>
    <row r="873" spans="1:26" x14ac:dyDescent="0.25">
      <c r="A873">
        <v>18511</v>
      </c>
      <c r="B873" t="s">
        <v>106</v>
      </c>
      <c r="C873" s="2">
        <v>0.09</v>
      </c>
      <c r="D873" s="2">
        <v>60.98</v>
      </c>
      <c r="E873" s="2">
        <v>49</v>
      </c>
      <c r="F873">
        <v>1557</v>
      </c>
      <c r="G873" t="s">
        <v>1569</v>
      </c>
      <c r="H873" t="s">
        <v>49</v>
      </c>
      <c r="I873" t="s">
        <v>114</v>
      </c>
      <c r="J873" t="s">
        <v>29</v>
      </c>
      <c r="K873" t="s">
        <v>252</v>
      </c>
      <c r="L873" t="s">
        <v>231</v>
      </c>
      <c r="M873" t="s">
        <v>1570</v>
      </c>
      <c r="N873">
        <v>0.59</v>
      </c>
      <c r="O873" t="s">
        <v>33</v>
      </c>
      <c r="P873" t="s">
        <v>135</v>
      </c>
      <c r="Q873" t="s">
        <v>136</v>
      </c>
      <c r="R873" t="s">
        <v>1571</v>
      </c>
      <c r="S873">
        <v>22003</v>
      </c>
      <c r="T873" s="1">
        <v>42088</v>
      </c>
      <c r="U873" s="1">
        <v>42096</v>
      </c>
      <c r="V873" s="2">
        <v>-954.75800000000004</v>
      </c>
      <c r="W873">
        <v>15</v>
      </c>
      <c r="X873" s="2">
        <v>879.62</v>
      </c>
      <c r="Y873">
        <v>87426</v>
      </c>
      <c r="Z873">
        <f t="shared" si="13"/>
        <v>13194.3</v>
      </c>
    </row>
    <row r="874" spans="1:26" x14ac:dyDescent="0.25">
      <c r="A874">
        <v>18512</v>
      </c>
      <c r="B874" t="s">
        <v>106</v>
      </c>
      <c r="C874" s="2">
        <v>0.05</v>
      </c>
      <c r="D874" s="2">
        <v>29.89</v>
      </c>
      <c r="E874" s="2">
        <v>1.99</v>
      </c>
      <c r="F874">
        <v>1557</v>
      </c>
      <c r="G874" t="s">
        <v>1569</v>
      </c>
      <c r="H874" t="s">
        <v>49</v>
      </c>
      <c r="I874" t="s">
        <v>114</v>
      </c>
      <c r="J874" t="s">
        <v>77</v>
      </c>
      <c r="K874" t="s">
        <v>177</v>
      </c>
      <c r="L874" t="s">
        <v>51</v>
      </c>
      <c r="M874" t="s">
        <v>1299</v>
      </c>
      <c r="N874">
        <v>0.5</v>
      </c>
      <c r="O874" t="s">
        <v>33</v>
      </c>
      <c r="P874" t="s">
        <v>135</v>
      </c>
      <c r="Q874" t="s">
        <v>136</v>
      </c>
      <c r="R874" t="s">
        <v>1571</v>
      </c>
      <c r="S874">
        <v>22003</v>
      </c>
      <c r="T874" s="1">
        <v>42088</v>
      </c>
      <c r="U874" s="1">
        <v>42090</v>
      </c>
      <c r="V874" s="2">
        <v>219.4734</v>
      </c>
      <c r="W874">
        <v>12</v>
      </c>
      <c r="X874" s="2">
        <v>361.19</v>
      </c>
      <c r="Y874">
        <v>87426</v>
      </c>
      <c r="Z874">
        <f t="shared" si="13"/>
        <v>4334.28</v>
      </c>
    </row>
    <row r="875" spans="1:26" x14ac:dyDescent="0.25">
      <c r="A875">
        <v>26229</v>
      </c>
      <c r="B875" t="s">
        <v>47</v>
      </c>
      <c r="C875" s="2">
        <v>0.1</v>
      </c>
      <c r="D875" s="2">
        <v>226.67</v>
      </c>
      <c r="E875" s="2">
        <v>28.16</v>
      </c>
      <c r="F875">
        <v>1559</v>
      </c>
      <c r="G875" t="s">
        <v>1572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1573</v>
      </c>
      <c r="N875">
        <v>0.59</v>
      </c>
      <c r="O875" t="s">
        <v>33</v>
      </c>
      <c r="P875" t="s">
        <v>135</v>
      </c>
      <c r="Q875" t="s">
        <v>136</v>
      </c>
      <c r="R875" t="s">
        <v>1574</v>
      </c>
      <c r="S875">
        <v>24060</v>
      </c>
      <c r="T875" s="1">
        <v>42109</v>
      </c>
      <c r="U875" s="1">
        <v>42111</v>
      </c>
      <c r="V875" s="2">
        <v>-390.76799999999997</v>
      </c>
      <c r="W875">
        <v>5</v>
      </c>
      <c r="X875" s="2">
        <v>1088.26</v>
      </c>
      <c r="Y875">
        <v>87424</v>
      </c>
      <c r="Z875">
        <f t="shared" si="13"/>
        <v>5441.3</v>
      </c>
    </row>
    <row r="876" spans="1:26" x14ac:dyDescent="0.25">
      <c r="A876">
        <v>19130</v>
      </c>
      <c r="B876" t="s">
        <v>25</v>
      </c>
      <c r="C876" s="2">
        <v>0.02</v>
      </c>
      <c r="D876" s="2">
        <v>11.34</v>
      </c>
      <c r="E876" s="2">
        <v>11.25</v>
      </c>
      <c r="F876">
        <v>1561</v>
      </c>
      <c r="G876" t="s">
        <v>1575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1576</v>
      </c>
      <c r="N876">
        <v>0.36</v>
      </c>
      <c r="O876" t="s">
        <v>33</v>
      </c>
      <c r="P876" t="s">
        <v>61</v>
      </c>
      <c r="Q876" t="s">
        <v>129</v>
      </c>
      <c r="R876" t="s">
        <v>1431</v>
      </c>
      <c r="S876">
        <v>76063</v>
      </c>
      <c r="T876" s="1">
        <v>42064</v>
      </c>
      <c r="U876" s="1">
        <v>42065</v>
      </c>
      <c r="V876" s="2">
        <v>-155.21</v>
      </c>
      <c r="W876">
        <v>9</v>
      </c>
      <c r="X876" s="2">
        <v>105.75</v>
      </c>
      <c r="Y876">
        <v>88093</v>
      </c>
      <c r="Z876">
        <f t="shared" si="13"/>
        <v>951.75</v>
      </c>
    </row>
    <row r="877" spans="1:26" x14ac:dyDescent="0.25">
      <c r="A877">
        <v>19208</v>
      </c>
      <c r="B877" t="s">
        <v>47</v>
      </c>
      <c r="C877" s="2">
        <v>0.05</v>
      </c>
      <c r="D877" s="2">
        <v>12.2</v>
      </c>
      <c r="E877" s="2">
        <v>6.02</v>
      </c>
      <c r="F877">
        <v>1561</v>
      </c>
      <c r="G877" t="s">
        <v>1575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1399</v>
      </c>
      <c r="N877">
        <v>0.43</v>
      </c>
      <c r="O877" t="s">
        <v>33</v>
      </c>
      <c r="P877" t="s">
        <v>61</v>
      </c>
      <c r="Q877" t="s">
        <v>129</v>
      </c>
      <c r="R877" t="s">
        <v>1431</v>
      </c>
      <c r="S877">
        <v>76063</v>
      </c>
      <c r="T877" s="1">
        <v>42107</v>
      </c>
      <c r="U877" s="1">
        <v>42108</v>
      </c>
      <c r="V877" s="2">
        <v>-6.6420000000000003</v>
      </c>
      <c r="W877">
        <v>5</v>
      </c>
      <c r="X877" s="2">
        <v>63.93</v>
      </c>
      <c r="Y877">
        <v>88094</v>
      </c>
      <c r="Z877">
        <f t="shared" si="13"/>
        <v>319.64999999999998</v>
      </c>
    </row>
    <row r="878" spans="1:26" x14ac:dyDescent="0.25">
      <c r="A878">
        <v>20464</v>
      </c>
      <c r="B878" t="s">
        <v>56</v>
      </c>
      <c r="C878" s="2">
        <v>7.0000000000000007E-2</v>
      </c>
      <c r="D878" s="2">
        <v>20.95</v>
      </c>
      <c r="E878" s="2">
        <v>5.99</v>
      </c>
      <c r="F878">
        <v>1574</v>
      </c>
      <c r="G878" t="s">
        <v>1577</v>
      </c>
      <c r="H878" t="s">
        <v>49</v>
      </c>
      <c r="I878" t="s">
        <v>114</v>
      </c>
      <c r="J878" t="s">
        <v>77</v>
      </c>
      <c r="K878" t="s">
        <v>177</v>
      </c>
      <c r="L878" t="s">
        <v>59</v>
      </c>
      <c r="M878" t="s">
        <v>1578</v>
      </c>
      <c r="N878">
        <v>0.65</v>
      </c>
      <c r="O878" t="s">
        <v>33</v>
      </c>
      <c r="P878" t="s">
        <v>135</v>
      </c>
      <c r="Q878" t="s">
        <v>316</v>
      </c>
      <c r="R878" t="s">
        <v>1579</v>
      </c>
      <c r="S878">
        <v>28314</v>
      </c>
      <c r="T878" s="1">
        <v>42044</v>
      </c>
      <c r="U878" s="1">
        <v>42045</v>
      </c>
      <c r="V878" s="2">
        <v>27.234000000000002</v>
      </c>
      <c r="W878">
        <v>19</v>
      </c>
      <c r="X878" s="2">
        <v>391.4</v>
      </c>
      <c r="Y878">
        <v>86966</v>
      </c>
      <c r="Z878">
        <f t="shared" si="13"/>
        <v>7436.5999999999995</v>
      </c>
    </row>
    <row r="879" spans="1:26" x14ac:dyDescent="0.25">
      <c r="A879">
        <v>22127</v>
      </c>
      <c r="B879" t="s">
        <v>106</v>
      </c>
      <c r="C879" s="2">
        <v>0.1</v>
      </c>
      <c r="D879" s="2">
        <v>11.58</v>
      </c>
      <c r="E879" s="2">
        <v>6.97</v>
      </c>
      <c r="F879">
        <v>1580</v>
      </c>
      <c r="G879" t="s">
        <v>1580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678</v>
      </c>
      <c r="N879">
        <v>0.35</v>
      </c>
      <c r="O879" t="s">
        <v>33</v>
      </c>
      <c r="P879" t="s">
        <v>53</v>
      </c>
      <c r="Q879" t="s">
        <v>184</v>
      </c>
      <c r="R879" t="s">
        <v>1581</v>
      </c>
      <c r="S879">
        <v>4901</v>
      </c>
      <c r="T879" s="1">
        <v>42051</v>
      </c>
      <c r="U879" s="1">
        <v>42055</v>
      </c>
      <c r="V879" s="2">
        <v>-8.3979999999999997</v>
      </c>
      <c r="W879">
        <v>1</v>
      </c>
      <c r="X879" s="2">
        <v>14.53</v>
      </c>
      <c r="Y879">
        <v>90934</v>
      </c>
      <c r="Z879">
        <f t="shared" si="13"/>
        <v>14.53</v>
      </c>
    </row>
    <row r="880" spans="1:26" x14ac:dyDescent="0.25">
      <c r="A880">
        <v>25013</v>
      </c>
      <c r="B880" t="s">
        <v>56</v>
      </c>
      <c r="C880" s="2">
        <v>0.03</v>
      </c>
      <c r="D880" s="2">
        <v>19.04</v>
      </c>
      <c r="E880" s="2">
        <v>6.38</v>
      </c>
      <c r="F880">
        <v>1590</v>
      </c>
      <c r="G880" t="s">
        <v>1582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1583</v>
      </c>
      <c r="N880">
        <v>0.56000000000000005</v>
      </c>
      <c r="O880" t="s">
        <v>33</v>
      </c>
      <c r="P880" t="s">
        <v>53</v>
      </c>
      <c r="Q880" t="s">
        <v>152</v>
      </c>
      <c r="R880" t="s">
        <v>1584</v>
      </c>
      <c r="S880">
        <v>44094</v>
      </c>
      <c r="T880" s="1">
        <v>42098</v>
      </c>
      <c r="U880" s="1">
        <v>42098</v>
      </c>
      <c r="V880" s="2">
        <v>83.793599999999998</v>
      </c>
      <c r="W880">
        <v>7</v>
      </c>
      <c r="X880" s="2">
        <v>144.03</v>
      </c>
      <c r="Y880">
        <v>86668</v>
      </c>
      <c r="Z880">
        <f t="shared" si="13"/>
        <v>1008.21</v>
      </c>
    </row>
    <row r="881" spans="1:26" x14ac:dyDescent="0.25">
      <c r="A881">
        <v>25011</v>
      </c>
      <c r="B881" t="s">
        <v>56</v>
      </c>
      <c r="C881" s="2">
        <v>0.02</v>
      </c>
      <c r="D881" s="2">
        <v>5.53</v>
      </c>
      <c r="E881" s="2">
        <v>6.98</v>
      </c>
      <c r="F881">
        <v>1593</v>
      </c>
      <c r="G881" t="s">
        <v>1585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1586</v>
      </c>
      <c r="N881">
        <v>0.39</v>
      </c>
      <c r="O881" t="s">
        <v>33</v>
      </c>
      <c r="P881" t="s">
        <v>61</v>
      </c>
      <c r="Q881" t="s">
        <v>299</v>
      </c>
      <c r="R881" t="s">
        <v>300</v>
      </c>
      <c r="S881">
        <v>74006</v>
      </c>
      <c r="T881" s="1">
        <v>42098</v>
      </c>
      <c r="U881" s="1">
        <v>42100</v>
      </c>
      <c r="V881" s="2">
        <v>-77.823719999999994</v>
      </c>
      <c r="W881">
        <v>8</v>
      </c>
      <c r="X881" s="2">
        <v>48.81</v>
      </c>
      <c r="Y881">
        <v>86668</v>
      </c>
      <c r="Z881">
        <f t="shared" si="13"/>
        <v>390.48</v>
      </c>
    </row>
    <row r="882" spans="1:26" x14ac:dyDescent="0.25">
      <c r="A882">
        <v>21059</v>
      </c>
      <c r="B882" t="s">
        <v>25</v>
      </c>
      <c r="C882" s="2">
        <v>0.01</v>
      </c>
      <c r="D882" s="2">
        <v>500.98</v>
      </c>
      <c r="E882" s="2">
        <v>26</v>
      </c>
      <c r="F882">
        <v>1595</v>
      </c>
      <c r="G882" t="s">
        <v>1587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641</v>
      </c>
      <c r="R882" t="s">
        <v>1588</v>
      </c>
      <c r="S882">
        <v>25705</v>
      </c>
      <c r="T882" s="1">
        <v>42135</v>
      </c>
      <c r="U882" s="1">
        <v>42136</v>
      </c>
      <c r="V882" s="2">
        <v>5078.5379999999996</v>
      </c>
      <c r="W882">
        <v>14</v>
      </c>
      <c r="X882" s="2">
        <v>7360.2</v>
      </c>
      <c r="Y882">
        <v>90796</v>
      </c>
      <c r="Z882">
        <f t="shared" si="13"/>
        <v>103042.8</v>
      </c>
    </row>
    <row r="883" spans="1:26" x14ac:dyDescent="0.25">
      <c r="A883">
        <v>21060</v>
      </c>
      <c r="B883" t="s">
        <v>25</v>
      </c>
      <c r="C883" s="2">
        <v>0.08</v>
      </c>
      <c r="D883" s="2">
        <v>9.77</v>
      </c>
      <c r="E883" s="2">
        <v>6.02</v>
      </c>
      <c r="F883">
        <v>1595</v>
      </c>
      <c r="G883" t="s">
        <v>1587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1589</v>
      </c>
      <c r="N883">
        <v>0.48</v>
      </c>
      <c r="O883" t="s">
        <v>33</v>
      </c>
      <c r="P883" t="s">
        <v>53</v>
      </c>
      <c r="Q883" t="s">
        <v>641</v>
      </c>
      <c r="R883" t="s">
        <v>1588</v>
      </c>
      <c r="S883">
        <v>25705</v>
      </c>
      <c r="T883" s="1">
        <v>42135</v>
      </c>
      <c r="U883" s="1">
        <v>42136</v>
      </c>
      <c r="V883" s="2">
        <v>23.276</v>
      </c>
      <c r="W883">
        <v>9</v>
      </c>
      <c r="X883" s="2">
        <v>89.06</v>
      </c>
      <c r="Y883">
        <v>90796</v>
      </c>
      <c r="Z883">
        <f t="shared" si="13"/>
        <v>801.54</v>
      </c>
    </row>
    <row r="884" spans="1:26" x14ac:dyDescent="0.25">
      <c r="A884">
        <v>21061</v>
      </c>
      <c r="B884" t="s">
        <v>25</v>
      </c>
      <c r="C884" s="2">
        <v>0.09</v>
      </c>
      <c r="D884" s="2">
        <v>3.28</v>
      </c>
      <c r="E884" s="2">
        <v>0.98</v>
      </c>
      <c r="F884">
        <v>1595</v>
      </c>
      <c r="G884" t="s">
        <v>1587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1590</v>
      </c>
      <c r="N884">
        <v>0.59</v>
      </c>
      <c r="O884" t="s">
        <v>33</v>
      </c>
      <c r="P884" t="s">
        <v>53</v>
      </c>
      <c r="Q884" t="s">
        <v>641</v>
      </c>
      <c r="R884" t="s">
        <v>1588</v>
      </c>
      <c r="S884">
        <v>25705</v>
      </c>
      <c r="T884" s="1">
        <v>42135</v>
      </c>
      <c r="U884" s="1">
        <v>42137</v>
      </c>
      <c r="V884" s="2">
        <v>17.754000000000001</v>
      </c>
      <c r="W884">
        <v>42</v>
      </c>
      <c r="X884" s="2">
        <v>134.97</v>
      </c>
      <c r="Y884">
        <v>90796</v>
      </c>
      <c r="Z884">
        <f t="shared" si="13"/>
        <v>5668.74</v>
      </c>
    </row>
    <row r="885" spans="1:26" x14ac:dyDescent="0.25">
      <c r="A885">
        <v>21928</v>
      </c>
      <c r="B885" t="s">
        <v>47</v>
      </c>
      <c r="C885" s="2">
        <v>0.1</v>
      </c>
      <c r="D885" s="2">
        <v>9.11</v>
      </c>
      <c r="E885" s="2">
        <v>2.15</v>
      </c>
      <c r="F885">
        <v>1602</v>
      </c>
      <c r="G885" t="s">
        <v>1591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1247</v>
      </c>
      <c r="N885">
        <v>0.4</v>
      </c>
      <c r="O885" t="s">
        <v>33</v>
      </c>
      <c r="P885" t="s">
        <v>53</v>
      </c>
      <c r="Q885" t="s">
        <v>409</v>
      </c>
      <c r="R885" t="s">
        <v>1592</v>
      </c>
      <c r="S885">
        <v>20601</v>
      </c>
      <c r="T885" s="1">
        <v>42104</v>
      </c>
      <c r="U885" s="1">
        <v>42106</v>
      </c>
      <c r="V885" s="2">
        <v>-3.9312</v>
      </c>
      <c r="W885">
        <v>2</v>
      </c>
      <c r="X885" s="2">
        <v>17.420000000000002</v>
      </c>
      <c r="Y885">
        <v>89680</v>
      </c>
      <c r="Z885">
        <f t="shared" si="13"/>
        <v>34.840000000000003</v>
      </c>
    </row>
    <row r="886" spans="1:26" x14ac:dyDescent="0.25">
      <c r="A886">
        <v>23533</v>
      </c>
      <c r="B886" t="s">
        <v>47</v>
      </c>
      <c r="C886" s="2">
        <v>0.09</v>
      </c>
      <c r="D886" s="2">
        <v>2.1800000000000002</v>
      </c>
      <c r="E886" s="2">
        <v>0.78</v>
      </c>
      <c r="F886">
        <v>1603</v>
      </c>
      <c r="G886" t="s">
        <v>1593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1594</v>
      </c>
      <c r="N886">
        <v>0.52</v>
      </c>
      <c r="O886" t="s">
        <v>33</v>
      </c>
      <c r="P886" t="s">
        <v>53</v>
      </c>
      <c r="Q886" t="s">
        <v>71</v>
      </c>
      <c r="R886" t="s">
        <v>1595</v>
      </c>
      <c r="S886">
        <v>11598</v>
      </c>
      <c r="T886" s="1">
        <v>42020</v>
      </c>
      <c r="U886" s="1">
        <v>42022</v>
      </c>
      <c r="V886" s="2">
        <v>2.4548000000000001</v>
      </c>
      <c r="W886">
        <v>9</v>
      </c>
      <c r="X886" s="2">
        <v>19.12</v>
      </c>
      <c r="Y886">
        <v>89679</v>
      </c>
      <c r="Z886">
        <f t="shared" si="13"/>
        <v>172.08</v>
      </c>
    </row>
    <row r="887" spans="1:26" x14ac:dyDescent="0.25">
      <c r="A887">
        <v>23534</v>
      </c>
      <c r="B887" t="s">
        <v>47</v>
      </c>
      <c r="C887" s="2">
        <v>0.05</v>
      </c>
      <c r="D887" s="2">
        <v>179.29</v>
      </c>
      <c r="E887" s="2">
        <v>29.21</v>
      </c>
      <c r="F887">
        <v>1603</v>
      </c>
      <c r="G887" t="s">
        <v>1593</v>
      </c>
      <c r="H887" t="s">
        <v>39</v>
      </c>
      <c r="I887" t="s">
        <v>58</v>
      </c>
      <c r="J887" t="s">
        <v>41</v>
      </c>
      <c r="K887" t="s">
        <v>150</v>
      </c>
      <c r="L887" t="s">
        <v>120</v>
      </c>
      <c r="M887" t="s">
        <v>622</v>
      </c>
      <c r="N887">
        <v>0.76</v>
      </c>
      <c r="O887" t="s">
        <v>33</v>
      </c>
      <c r="P887" t="s">
        <v>53</v>
      </c>
      <c r="Q887" t="s">
        <v>71</v>
      </c>
      <c r="R887" t="s">
        <v>1595</v>
      </c>
      <c r="S887">
        <v>11598</v>
      </c>
      <c r="T887" s="1">
        <v>42020</v>
      </c>
      <c r="U887" s="1">
        <v>42022</v>
      </c>
      <c r="V887" s="2">
        <v>-537.27977729999998</v>
      </c>
      <c r="W887">
        <v>1</v>
      </c>
      <c r="X887" s="2">
        <v>186.64</v>
      </c>
      <c r="Y887">
        <v>89679</v>
      </c>
      <c r="Z887">
        <f t="shared" si="13"/>
        <v>186.64</v>
      </c>
    </row>
    <row r="888" spans="1:26" x14ac:dyDescent="0.25">
      <c r="A888">
        <v>18450</v>
      </c>
      <c r="B888" t="s">
        <v>56</v>
      </c>
      <c r="C888" s="2">
        <v>0.05</v>
      </c>
      <c r="D888" s="2">
        <v>1.98</v>
      </c>
      <c r="E888" s="2">
        <v>4.7699999999999996</v>
      </c>
      <c r="F888">
        <v>1606</v>
      </c>
      <c r="G888" t="s">
        <v>1596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1597</v>
      </c>
      <c r="N888">
        <v>0.4</v>
      </c>
      <c r="O888" t="s">
        <v>33</v>
      </c>
      <c r="P888" t="s">
        <v>53</v>
      </c>
      <c r="Q888" t="s">
        <v>71</v>
      </c>
      <c r="R888" t="s">
        <v>1598</v>
      </c>
      <c r="S888">
        <v>11010</v>
      </c>
      <c r="T888" s="1">
        <v>42011</v>
      </c>
      <c r="U888" s="1">
        <v>42012</v>
      </c>
      <c r="V888" s="2">
        <v>-14.359819999999999</v>
      </c>
      <c r="W888">
        <v>1</v>
      </c>
      <c r="X888" s="2">
        <v>3.53</v>
      </c>
      <c r="Y888">
        <v>87993</v>
      </c>
      <c r="Z888">
        <f t="shared" si="13"/>
        <v>3.53</v>
      </c>
    </row>
    <row r="889" spans="1:26" x14ac:dyDescent="0.25">
      <c r="A889">
        <v>18451</v>
      </c>
      <c r="B889" t="s">
        <v>56</v>
      </c>
      <c r="C889" s="2">
        <v>7.0000000000000007E-2</v>
      </c>
      <c r="D889" s="2">
        <v>699.99</v>
      </c>
      <c r="E889" s="2">
        <v>24.49</v>
      </c>
      <c r="F889">
        <v>1606</v>
      </c>
      <c r="G889" t="s">
        <v>1596</v>
      </c>
      <c r="H889" t="s">
        <v>27</v>
      </c>
      <c r="I889" t="s">
        <v>40</v>
      </c>
      <c r="J889" t="s">
        <v>77</v>
      </c>
      <c r="K889" t="s">
        <v>580</v>
      </c>
      <c r="L889" t="s">
        <v>231</v>
      </c>
      <c r="M889" t="s">
        <v>581</v>
      </c>
      <c r="N889">
        <v>0.41</v>
      </c>
      <c r="O889" t="s">
        <v>33</v>
      </c>
      <c r="P889" t="s">
        <v>53</v>
      </c>
      <c r="Q889" t="s">
        <v>71</v>
      </c>
      <c r="R889" t="s">
        <v>1598</v>
      </c>
      <c r="S889">
        <v>11010</v>
      </c>
      <c r="T889" s="1">
        <v>42011</v>
      </c>
      <c r="U889" s="1">
        <v>42012</v>
      </c>
      <c r="V889" s="2">
        <v>-2870.2775999999999</v>
      </c>
      <c r="W889">
        <v>1</v>
      </c>
      <c r="X889" s="2">
        <v>706.56</v>
      </c>
      <c r="Y889">
        <v>87993</v>
      </c>
      <c r="Z889">
        <f t="shared" si="13"/>
        <v>706.56</v>
      </c>
    </row>
    <row r="890" spans="1:26" x14ac:dyDescent="0.25">
      <c r="A890">
        <v>18452</v>
      </c>
      <c r="B890" t="s">
        <v>56</v>
      </c>
      <c r="C890" s="2">
        <v>7.0000000000000007E-2</v>
      </c>
      <c r="D890" s="2">
        <v>6783.02</v>
      </c>
      <c r="E890" s="2">
        <v>24.49</v>
      </c>
      <c r="F890">
        <v>1606</v>
      </c>
      <c r="G890" t="s">
        <v>1596</v>
      </c>
      <c r="H890" t="s">
        <v>49</v>
      </c>
      <c r="I890" t="s">
        <v>40</v>
      </c>
      <c r="J890" t="s">
        <v>77</v>
      </c>
      <c r="K890" t="s">
        <v>85</v>
      </c>
      <c r="L890" t="s">
        <v>231</v>
      </c>
      <c r="M890" t="s">
        <v>1265</v>
      </c>
      <c r="N890">
        <v>0.39</v>
      </c>
      <c r="O890" t="s">
        <v>33</v>
      </c>
      <c r="P890" t="s">
        <v>53</v>
      </c>
      <c r="Q890" t="s">
        <v>71</v>
      </c>
      <c r="R890" t="s">
        <v>1598</v>
      </c>
      <c r="S890">
        <v>11010</v>
      </c>
      <c r="T890" s="1">
        <v>42011</v>
      </c>
      <c r="U890" s="1">
        <v>42012</v>
      </c>
      <c r="V890" s="2">
        <v>77.983599999999996</v>
      </c>
      <c r="W890">
        <v>2</v>
      </c>
      <c r="X890" s="2">
        <v>13121.07</v>
      </c>
      <c r="Y890">
        <v>87993</v>
      </c>
      <c r="Z890">
        <f t="shared" si="13"/>
        <v>26242.14</v>
      </c>
    </row>
    <row r="891" spans="1:26" x14ac:dyDescent="0.25">
      <c r="A891">
        <v>22921</v>
      </c>
      <c r="B891" t="s">
        <v>37</v>
      </c>
      <c r="C891" s="2">
        <v>0.01</v>
      </c>
      <c r="D891" s="2">
        <v>15.16</v>
      </c>
      <c r="E891" s="2">
        <v>15.09</v>
      </c>
      <c r="F891">
        <v>1607</v>
      </c>
      <c r="G891" t="s">
        <v>1599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1600</v>
      </c>
      <c r="N891">
        <v>0.39</v>
      </c>
      <c r="O891" t="s">
        <v>33</v>
      </c>
      <c r="P891" t="s">
        <v>53</v>
      </c>
      <c r="Q891" t="s">
        <v>71</v>
      </c>
      <c r="R891" t="s">
        <v>1601</v>
      </c>
      <c r="S891">
        <v>11520</v>
      </c>
      <c r="T891" s="1">
        <v>42109</v>
      </c>
      <c r="U891" s="1">
        <v>42109</v>
      </c>
      <c r="V891" s="2">
        <v>-200.85900000000001</v>
      </c>
      <c r="W891">
        <v>7</v>
      </c>
      <c r="X891" s="2">
        <v>110.93</v>
      </c>
      <c r="Y891">
        <v>87994</v>
      </c>
      <c r="Z891">
        <f t="shared" si="13"/>
        <v>776.51</v>
      </c>
    </row>
    <row r="892" spans="1:26" x14ac:dyDescent="0.25">
      <c r="A892">
        <v>24951</v>
      </c>
      <c r="B892" t="s">
        <v>106</v>
      </c>
      <c r="C892" s="2">
        <v>0.1</v>
      </c>
      <c r="D892" s="2">
        <v>5.68</v>
      </c>
      <c r="E892" s="2">
        <v>3.6</v>
      </c>
      <c r="F892">
        <v>1607</v>
      </c>
      <c r="G892" t="s">
        <v>1599</v>
      </c>
      <c r="H892" t="s">
        <v>27</v>
      </c>
      <c r="I892" t="s">
        <v>40</v>
      </c>
      <c r="J892" t="s">
        <v>29</v>
      </c>
      <c r="K892" t="s">
        <v>171</v>
      </c>
      <c r="L892" t="s">
        <v>51</v>
      </c>
      <c r="M892" t="s">
        <v>1602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1601</v>
      </c>
      <c r="S892">
        <v>11520</v>
      </c>
      <c r="T892" s="1">
        <v>42041</v>
      </c>
      <c r="U892" s="1">
        <v>42045</v>
      </c>
      <c r="V892" s="2">
        <v>-33.2956</v>
      </c>
      <c r="W892">
        <v>21</v>
      </c>
      <c r="X892" s="2">
        <v>118.35</v>
      </c>
      <c r="Y892">
        <v>87995</v>
      </c>
      <c r="Z892">
        <f t="shared" si="13"/>
        <v>2485.35</v>
      </c>
    </row>
    <row r="893" spans="1:26" x14ac:dyDescent="0.25">
      <c r="A893">
        <v>22682</v>
      </c>
      <c r="B893" t="s">
        <v>25</v>
      </c>
      <c r="C893" s="2">
        <v>0.03</v>
      </c>
      <c r="D893" s="2">
        <v>2.16</v>
      </c>
      <c r="E893" s="2">
        <v>6.05</v>
      </c>
      <c r="F893">
        <v>1609</v>
      </c>
      <c r="G893" t="s">
        <v>1603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1523</v>
      </c>
      <c r="N893">
        <v>0.37</v>
      </c>
      <c r="O893" t="s">
        <v>33</v>
      </c>
      <c r="P893" t="s">
        <v>34</v>
      </c>
      <c r="Q893" t="s">
        <v>45</v>
      </c>
      <c r="R893" t="s">
        <v>1604</v>
      </c>
      <c r="S893">
        <v>95823</v>
      </c>
      <c r="T893" s="1">
        <v>42135</v>
      </c>
      <c r="U893" s="1">
        <v>42136</v>
      </c>
      <c r="V893" s="2">
        <v>-90.585499999999996</v>
      </c>
      <c r="W893">
        <v>7</v>
      </c>
      <c r="X893" s="2">
        <v>17.309999999999999</v>
      </c>
      <c r="Y893">
        <v>87824</v>
      </c>
      <c r="Z893">
        <f t="shared" si="13"/>
        <v>121.16999999999999</v>
      </c>
    </row>
    <row r="894" spans="1:26" x14ac:dyDescent="0.25">
      <c r="A894">
        <v>22683</v>
      </c>
      <c r="B894" t="s">
        <v>25</v>
      </c>
      <c r="C894" s="2">
        <v>0.03</v>
      </c>
      <c r="D894" s="2">
        <v>9.7100000000000009</v>
      </c>
      <c r="E894" s="2">
        <v>9.4499999999999993</v>
      </c>
      <c r="F894">
        <v>1609</v>
      </c>
      <c r="G894" t="s">
        <v>1603</v>
      </c>
      <c r="H894" t="s">
        <v>49</v>
      </c>
      <c r="I894" t="s">
        <v>114</v>
      </c>
      <c r="J894" t="s">
        <v>29</v>
      </c>
      <c r="K894" t="s">
        <v>139</v>
      </c>
      <c r="L894" t="s">
        <v>59</v>
      </c>
      <c r="M894" t="s">
        <v>503</v>
      </c>
      <c r="N894">
        <v>0.6</v>
      </c>
      <c r="O894" t="s">
        <v>33</v>
      </c>
      <c r="P894" t="s">
        <v>34</v>
      </c>
      <c r="Q894" t="s">
        <v>45</v>
      </c>
      <c r="R894" t="s">
        <v>1604</v>
      </c>
      <c r="S894">
        <v>95823</v>
      </c>
      <c r="T894" s="1">
        <v>42135</v>
      </c>
      <c r="U894" s="1">
        <v>42135</v>
      </c>
      <c r="V894" s="2">
        <v>-36.9</v>
      </c>
      <c r="W894">
        <v>2</v>
      </c>
      <c r="X894" s="2">
        <v>23.56</v>
      </c>
      <c r="Y894">
        <v>87824</v>
      </c>
      <c r="Z894">
        <f t="shared" si="13"/>
        <v>47.12</v>
      </c>
    </row>
    <row r="895" spans="1:26" x14ac:dyDescent="0.25">
      <c r="A895">
        <v>18394</v>
      </c>
      <c r="B895" t="s">
        <v>106</v>
      </c>
      <c r="C895" s="2">
        <v>0.06</v>
      </c>
      <c r="D895" s="2">
        <v>40.97</v>
      </c>
      <c r="E895" s="2">
        <v>1.99</v>
      </c>
      <c r="F895">
        <v>1614</v>
      </c>
      <c r="G895" t="s">
        <v>1605</v>
      </c>
      <c r="H895" t="s">
        <v>49</v>
      </c>
      <c r="I895" t="s">
        <v>114</v>
      </c>
      <c r="J895" t="s">
        <v>77</v>
      </c>
      <c r="K895" t="s">
        <v>177</v>
      </c>
      <c r="L895" t="s">
        <v>51</v>
      </c>
      <c r="M895" t="s">
        <v>1606</v>
      </c>
      <c r="N895">
        <v>0.42</v>
      </c>
      <c r="O895" t="s">
        <v>33</v>
      </c>
      <c r="P895" t="s">
        <v>53</v>
      </c>
      <c r="Q895" t="s">
        <v>189</v>
      </c>
      <c r="R895" t="s">
        <v>1607</v>
      </c>
      <c r="S895">
        <v>1748</v>
      </c>
      <c r="T895" s="1">
        <v>42102</v>
      </c>
      <c r="U895" s="1">
        <v>42106</v>
      </c>
      <c r="V895" s="2">
        <v>341.19810000000001</v>
      </c>
      <c r="W895">
        <v>12</v>
      </c>
      <c r="X895" s="2">
        <v>494.49</v>
      </c>
      <c r="Y895">
        <v>87823</v>
      </c>
      <c r="Z895">
        <f t="shared" si="13"/>
        <v>5933.88</v>
      </c>
    </row>
    <row r="896" spans="1:26" x14ac:dyDescent="0.25">
      <c r="A896">
        <v>19501</v>
      </c>
      <c r="B896" t="s">
        <v>25</v>
      </c>
      <c r="C896" s="2">
        <v>0.09</v>
      </c>
      <c r="D896" s="2">
        <v>12.88</v>
      </c>
      <c r="E896" s="2">
        <v>4.59</v>
      </c>
      <c r="F896">
        <v>1618</v>
      </c>
      <c r="G896" t="s">
        <v>1608</v>
      </c>
      <c r="H896" t="s">
        <v>49</v>
      </c>
      <c r="I896" t="s">
        <v>114</v>
      </c>
      <c r="J896" t="s">
        <v>29</v>
      </c>
      <c r="K896" t="s">
        <v>171</v>
      </c>
      <c r="L896" t="s">
        <v>31</v>
      </c>
      <c r="M896" t="s">
        <v>1609</v>
      </c>
      <c r="N896">
        <v>0.82</v>
      </c>
      <c r="O896" t="s">
        <v>33</v>
      </c>
      <c r="P896" t="s">
        <v>61</v>
      </c>
      <c r="Q896" t="s">
        <v>695</v>
      </c>
      <c r="R896" t="s">
        <v>1610</v>
      </c>
      <c r="S896">
        <v>46322</v>
      </c>
      <c r="T896" s="1">
        <v>42100</v>
      </c>
      <c r="U896" s="1">
        <v>42100</v>
      </c>
      <c r="V896" s="2">
        <v>-175.13</v>
      </c>
      <c r="W896">
        <v>13</v>
      </c>
      <c r="X896" s="2">
        <v>158.13</v>
      </c>
      <c r="Y896">
        <v>90248</v>
      </c>
      <c r="Z896">
        <f t="shared" si="13"/>
        <v>2055.69</v>
      </c>
    </row>
    <row r="897" spans="1:26" x14ac:dyDescent="0.25">
      <c r="A897">
        <v>19502</v>
      </c>
      <c r="B897" t="s">
        <v>25</v>
      </c>
      <c r="C897" s="2">
        <v>0.02</v>
      </c>
      <c r="D897" s="2">
        <v>45.99</v>
      </c>
      <c r="E897" s="2">
        <v>4.99</v>
      </c>
      <c r="F897">
        <v>1620</v>
      </c>
      <c r="G897" t="s">
        <v>1611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1612</v>
      </c>
      <c r="N897">
        <v>0.56999999999999995</v>
      </c>
      <c r="O897" t="s">
        <v>33</v>
      </c>
      <c r="P897" t="s">
        <v>53</v>
      </c>
      <c r="Q897" t="s">
        <v>229</v>
      </c>
      <c r="R897" t="s">
        <v>1200</v>
      </c>
      <c r="S897">
        <v>17602</v>
      </c>
      <c r="T897" s="1">
        <v>42100</v>
      </c>
      <c r="U897" s="1">
        <v>42101</v>
      </c>
      <c r="V897" s="2">
        <v>3.96</v>
      </c>
      <c r="W897">
        <v>4</v>
      </c>
      <c r="X897" s="2">
        <v>163.01</v>
      </c>
      <c r="Y897">
        <v>90248</v>
      </c>
      <c r="Z897">
        <f t="shared" si="13"/>
        <v>652.04</v>
      </c>
    </row>
    <row r="898" spans="1:26" x14ac:dyDescent="0.25">
      <c r="A898">
        <v>23750</v>
      </c>
      <c r="B898" t="s">
        <v>25</v>
      </c>
      <c r="C898" s="2">
        <v>0.06</v>
      </c>
      <c r="D898" s="2">
        <v>15.01</v>
      </c>
      <c r="E898" s="2">
        <v>8.4</v>
      </c>
      <c r="F898">
        <v>1623</v>
      </c>
      <c r="G898" t="s">
        <v>1613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1614</v>
      </c>
      <c r="N898">
        <v>0.39</v>
      </c>
      <c r="O898" t="s">
        <v>33</v>
      </c>
      <c r="P898" t="s">
        <v>61</v>
      </c>
      <c r="Q898" t="s">
        <v>695</v>
      </c>
      <c r="R898" t="s">
        <v>1615</v>
      </c>
      <c r="S898">
        <v>46375</v>
      </c>
      <c r="T898" s="1">
        <v>42148</v>
      </c>
      <c r="U898" s="1">
        <v>42150</v>
      </c>
      <c r="V898" s="2">
        <v>1.6169</v>
      </c>
      <c r="W898">
        <v>22</v>
      </c>
      <c r="X898" s="2">
        <v>333.04</v>
      </c>
      <c r="Y898">
        <v>87611</v>
      </c>
      <c r="Z898">
        <f t="shared" si="13"/>
        <v>7326.88</v>
      </c>
    </row>
    <row r="899" spans="1:26" x14ac:dyDescent="0.25">
      <c r="A899">
        <v>23751</v>
      </c>
      <c r="B899" t="s">
        <v>25</v>
      </c>
      <c r="C899" s="2">
        <v>0.09</v>
      </c>
      <c r="D899" s="2">
        <v>40.479999999999997</v>
      </c>
      <c r="E899" s="2">
        <v>19.989999999999998</v>
      </c>
      <c r="F899">
        <v>1623</v>
      </c>
      <c r="G899" t="s">
        <v>1613</v>
      </c>
      <c r="H899" t="s">
        <v>49</v>
      </c>
      <c r="I899" t="s">
        <v>58</v>
      </c>
      <c r="J899" t="s">
        <v>77</v>
      </c>
      <c r="K899" t="s">
        <v>177</v>
      </c>
      <c r="L899" t="s">
        <v>59</v>
      </c>
      <c r="M899" t="s">
        <v>821</v>
      </c>
      <c r="N899">
        <v>0.77</v>
      </c>
      <c r="O899" t="s">
        <v>33</v>
      </c>
      <c r="P899" t="s">
        <v>61</v>
      </c>
      <c r="Q899" t="s">
        <v>695</v>
      </c>
      <c r="R899" t="s">
        <v>1615</v>
      </c>
      <c r="S899">
        <v>46375</v>
      </c>
      <c r="T899" s="1">
        <v>42148</v>
      </c>
      <c r="U899" s="1">
        <v>42150</v>
      </c>
      <c r="V899" s="2">
        <v>65.394000000000005</v>
      </c>
      <c r="W899">
        <v>12</v>
      </c>
      <c r="X899" s="2">
        <v>472.44</v>
      </c>
      <c r="Y899">
        <v>87611</v>
      </c>
      <c r="Z899">
        <f t="shared" ref="Z899:Z962" si="14">W899*X899</f>
        <v>5669.28</v>
      </c>
    </row>
    <row r="900" spans="1:26" x14ac:dyDescent="0.25">
      <c r="A900">
        <v>23752</v>
      </c>
      <c r="B900" t="s">
        <v>25</v>
      </c>
      <c r="C900" s="2">
        <v>0.05</v>
      </c>
      <c r="D900" s="2">
        <v>12.28</v>
      </c>
      <c r="E900" s="2">
        <v>6.13</v>
      </c>
      <c r="F900">
        <v>1623</v>
      </c>
      <c r="G900" t="s">
        <v>1613</v>
      </c>
      <c r="H900" t="s">
        <v>49</v>
      </c>
      <c r="I900" t="s">
        <v>58</v>
      </c>
      <c r="J900" t="s">
        <v>29</v>
      </c>
      <c r="K900" t="s">
        <v>139</v>
      </c>
      <c r="L900" t="s">
        <v>59</v>
      </c>
      <c r="M900" t="s">
        <v>1448</v>
      </c>
      <c r="N900">
        <v>0.56999999999999995</v>
      </c>
      <c r="O900" t="s">
        <v>33</v>
      </c>
      <c r="P900" t="s">
        <v>61</v>
      </c>
      <c r="Q900" t="s">
        <v>695</v>
      </c>
      <c r="R900" t="s">
        <v>1615</v>
      </c>
      <c r="S900">
        <v>46375</v>
      </c>
      <c r="T900" s="1">
        <v>42148</v>
      </c>
      <c r="U900" s="1">
        <v>42149</v>
      </c>
      <c r="V900" s="2">
        <v>1.3360000000000001</v>
      </c>
      <c r="W900">
        <v>1</v>
      </c>
      <c r="X900" s="2">
        <v>18.73</v>
      </c>
      <c r="Y900">
        <v>87611</v>
      </c>
      <c r="Z900">
        <f t="shared" si="14"/>
        <v>18.73</v>
      </c>
    </row>
    <row r="901" spans="1:26" x14ac:dyDescent="0.25">
      <c r="A901">
        <v>21145</v>
      </c>
      <c r="B901" t="s">
        <v>56</v>
      </c>
      <c r="C901" s="2">
        <v>0.08</v>
      </c>
      <c r="D901" s="2">
        <v>213.45</v>
      </c>
      <c r="E901" s="2">
        <v>14.7</v>
      </c>
      <c r="F901">
        <v>1625</v>
      </c>
      <c r="G901" t="s">
        <v>1616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286</v>
      </c>
      <c r="N901">
        <v>0.59</v>
      </c>
      <c r="O901" t="s">
        <v>33</v>
      </c>
      <c r="P901" t="s">
        <v>53</v>
      </c>
      <c r="Q901" t="s">
        <v>71</v>
      </c>
      <c r="R901" t="s">
        <v>1617</v>
      </c>
      <c r="S901">
        <v>11542</v>
      </c>
      <c r="T901" s="1">
        <v>42090</v>
      </c>
      <c r="U901" s="1">
        <v>42092</v>
      </c>
      <c r="V901" s="2">
        <v>1674.7542000000001</v>
      </c>
      <c r="W901">
        <v>12</v>
      </c>
      <c r="X901" s="2">
        <v>2427.1799999999998</v>
      </c>
      <c r="Y901">
        <v>90600</v>
      </c>
      <c r="Z901">
        <f t="shared" si="14"/>
        <v>29126.159999999996</v>
      </c>
    </row>
    <row r="902" spans="1:26" x14ac:dyDescent="0.25">
      <c r="A902">
        <v>21146</v>
      </c>
      <c r="B902" t="s">
        <v>56</v>
      </c>
      <c r="C902" s="2">
        <v>0.1</v>
      </c>
      <c r="D902" s="2">
        <v>55.98</v>
      </c>
      <c r="E902" s="2">
        <v>13.88</v>
      </c>
      <c r="F902">
        <v>1625</v>
      </c>
      <c r="G902" t="s">
        <v>1616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1618</v>
      </c>
      <c r="N902">
        <v>0.36</v>
      </c>
      <c r="O902" t="s">
        <v>33</v>
      </c>
      <c r="P902" t="s">
        <v>53</v>
      </c>
      <c r="Q902" t="s">
        <v>71</v>
      </c>
      <c r="R902" t="s">
        <v>1617</v>
      </c>
      <c r="S902">
        <v>11542</v>
      </c>
      <c r="T902" s="1">
        <v>42090</v>
      </c>
      <c r="U902" s="1">
        <v>42092</v>
      </c>
      <c r="V902" s="2">
        <v>300.04649999999998</v>
      </c>
      <c r="W902">
        <v>8</v>
      </c>
      <c r="X902" s="2">
        <v>434.85</v>
      </c>
      <c r="Y902">
        <v>90600</v>
      </c>
      <c r="Z902">
        <f t="shared" si="14"/>
        <v>3478.8</v>
      </c>
    </row>
    <row r="903" spans="1:26" x14ac:dyDescent="0.25">
      <c r="A903">
        <v>21147</v>
      </c>
      <c r="B903" t="s">
        <v>56</v>
      </c>
      <c r="C903" s="2">
        <v>0</v>
      </c>
      <c r="D903" s="2">
        <v>16.059999999999999</v>
      </c>
      <c r="E903" s="2">
        <v>8.34</v>
      </c>
      <c r="F903">
        <v>1625</v>
      </c>
      <c r="G903" t="s">
        <v>1616</v>
      </c>
      <c r="H903" t="s">
        <v>49</v>
      </c>
      <c r="I903" t="s">
        <v>40</v>
      </c>
      <c r="J903" t="s">
        <v>29</v>
      </c>
      <c r="K903" t="s">
        <v>139</v>
      </c>
      <c r="L903" t="s">
        <v>59</v>
      </c>
      <c r="M903" t="s">
        <v>1619</v>
      </c>
      <c r="N903">
        <v>0.59</v>
      </c>
      <c r="O903" t="s">
        <v>33</v>
      </c>
      <c r="P903" t="s">
        <v>53</v>
      </c>
      <c r="Q903" t="s">
        <v>71</v>
      </c>
      <c r="R903" t="s">
        <v>1617</v>
      </c>
      <c r="S903">
        <v>11542</v>
      </c>
      <c r="T903" s="1">
        <v>42090</v>
      </c>
      <c r="U903" s="1">
        <v>42091</v>
      </c>
      <c r="V903" s="2">
        <v>-28.09</v>
      </c>
      <c r="W903">
        <v>1</v>
      </c>
      <c r="X903" s="2">
        <v>19.16</v>
      </c>
      <c r="Y903">
        <v>90600</v>
      </c>
      <c r="Z903">
        <f t="shared" si="14"/>
        <v>19.16</v>
      </c>
    </row>
    <row r="904" spans="1:26" x14ac:dyDescent="0.25">
      <c r="A904">
        <v>21270</v>
      </c>
      <c r="B904" t="s">
        <v>56</v>
      </c>
      <c r="C904" s="2">
        <v>0</v>
      </c>
      <c r="D904" s="2">
        <v>209.37</v>
      </c>
      <c r="E904" s="2">
        <v>69</v>
      </c>
      <c r="F904">
        <v>1625</v>
      </c>
      <c r="G904" t="s">
        <v>1616</v>
      </c>
      <c r="H904" t="s">
        <v>49</v>
      </c>
      <c r="I904" t="s">
        <v>40</v>
      </c>
      <c r="J904" t="s">
        <v>41</v>
      </c>
      <c r="K904" t="s">
        <v>150</v>
      </c>
      <c r="L904" t="s">
        <v>231</v>
      </c>
      <c r="M904" t="s">
        <v>1620</v>
      </c>
      <c r="N904">
        <v>0.79</v>
      </c>
      <c r="O904" t="s">
        <v>33</v>
      </c>
      <c r="P904" t="s">
        <v>53</v>
      </c>
      <c r="Q904" t="s">
        <v>71</v>
      </c>
      <c r="R904" t="s">
        <v>1617</v>
      </c>
      <c r="S904">
        <v>11542</v>
      </c>
      <c r="T904" s="1">
        <v>42051</v>
      </c>
      <c r="U904" s="1">
        <v>42053</v>
      </c>
      <c r="V904" s="2">
        <v>-263.1119291</v>
      </c>
      <c r="W904">
        <v>11</v>
      </c>
      <c r="X904" s="2">
        <v>1959.88</v>
      </c>
      <c r="Y904">
        <v>90601</v>
      </c>
      <c r="Z904">
        <f t="shared" si="14"/>
        <v>21558.68</v>
      </c>
    </row>
    <row r="905" spans="1:26" x14ac:dyDescent="0.25">
      <c r="A905">
        <v>23604</v>
      </c>
      <c r="B905" t="s">
        <v>25</v>
      </c>
      <c r="C905" s="2">
        <v>0.06</v>
      </c>
      <c r="D905" s="2">
        <v>43.57</v>
      </c>
      <c r="E905" s="2">
        <v>16.36</v>
      </c>
      <c r="F905">
        <v>1627</v>
      </c>
      <c r="G905" t="s">
        <v>1621</v>
      </c>
      <c r="H905" t="s">
        <v>49</v>
      </c>
      <c r="I905" t="s">
        <v>28</v>
      </c>
      <c r="J905" t="s">
        <v>29</v>
      </c>
      <c r="K905" t="s">
        <v>139</v>
      </c>
      <c r="L905" t="s">
        <v>59</v>
      </c>
      <c r="M905" t="s">
        <v>1622</v>
      </c>
      <c r="N905">
        <v>0.55000000000000004</v>
      </c>
      <c r="O905" t="s">
        <v>33</v>
      </c>
      <c r="P905" t="s">
        <v>135</v>
      </c>
      <c r="Q905" t="s">
        <v>239</v>
      </c>
      <c r="R905" t="s">
        <v>1623</v>
      </c>
      <c r="S905">
        <v>37743</v>
      </c>
      <c r="T905" s="1">
        <v>42152</v>
      </c>
      <c r="U905" s="1">
        <v>42154</v>
      </c>
      <c r="V905" s="2">
        <v>-38.808</v>
      </c>
      <c r="W905">
        <v>17</v>
      </c>
      <c r="X905" s="2">
        <v>710.16</v>
      </c>
      <c r="Y905">
        <v>90602</v>
      </c>
      <c r="Z905">
        <f t="shared" si="14"/>
        <v>12072.72</v>
      </c>
    </row>
    <row r="906" spans="1:26" x14ac:dyDescent="0.25">
      <c r="A906">
        <v>19769</v>
      </c>
      <c r="B906" t="s">
        <v>25</v>
      </c>
      <c r="C906" s="2">
        <v>0.08</v>
      </c>
      <c r="D906" s="2">
        <v>8.09</v>
      </c>
      <c r="E906" s="2">
        <v>7.96</v>
      </c>
      <c r="F906">
        <v>1632</v>
      </c>
      <c r="G906" t="s">
        <v>1624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155</v>
      </c>
      <c r="N906">
        <v>0.49</v>
      </c>
      <c r="O906" t="s">
        <v>33</v>
      </c>
      <c r="P906" t="s">
        <v>135</v>
      </c>
      <c r="Q906" t="s">
        <v>663</v>
      </c>
      <c r="R906" t="s">
        <v>1625</v>
      </c>
      <c r="S906">
        <v>39401</v>
      </c>
      <c r="T906" s="1">
        <v>42019</v>
      </c>
      <c r="U906" s="1">
        <v>42020</v>
      </c>
      <c r="V906" s="2">
        <v>15.984</v>
      </c>
      <c r="W906">
        <v>6</v>
      </c>
      <c r="X906" s="2">
        <v>48.25</v>
      </c>
      <c r="Y906">
        <v>90530</v>
      </c>
      <c r="Z906">
        <f t="shared" si="14"/>
        <v>289.5</v>
      </c>
    </row>
    <row r="907" spans="1:26" x14ac:dyDescent="0.25">
      <c r="A907">
        <v>20359</v>
      </c>
      <c r="B907" t="s">
        <v>25</v>
      </c>
      <c r="C907" s="2">
        <v>0.02</v>
      </c>
      <c r="D907" s="2">
        <v>25.99</v>
      </c>
      <c r="E907" s="2">
        <v>5.37</v>
      </c>
      <c r="F907">
        <v>1632</v>
      </c>
      <c r="G907" t="s">
        <v>1624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1626</v>
      </c>
      <c r="N907">
        <v>0.56000000000000005</v>
      </c>
      <c r="O907" t="s">
        <v>33</v>
      </c>
      <c r="P907" t="s">
        <v>135</v>
      </c>
      <c r="Q907" t="s">
        <v>663</v>
      </c>
      <c r="R907" t="s">
        <v>1625</v>
      </c>
      <c r="S907">
        <v>39401</v>
      </c>
      <c r="T907" s="1">
        <v>42109</v>
      </c>
      <c r="U907" s="1">
        <v>42111</v>
      </c>
      <c r="V907" s="2">
        <v>-88.158000000000001</v>
      </c>
      <c r="W907">
        <v>9</v>
      </c>
      <c r="X907" s="2">
        <v>243.24</v>
      </c>
      <c r="Y907">
        <v>90533</v>
      </c>
      <c r="Z907">
        <f t="shared" si="14"/>
        <v>2189.16</v>
      </c>
    </row>
    <row r="908" spans="1:26" x14ac:dyDescent="0.25">
      <c r="A908">
        <v>24786</v>
      </c>
      <c r="B908" t="s">
        <v>37</v>
      </c>
      <c r="C908" s="2">
        <v>0.03</v>
      </c>
      <c r="D908" s="2">
        <v>5.98</v>
      </c>
      <c r="E908" s="2">
        <v>3.85</v>
      </c>
      <c r="F908">
        <v>1633</v>
      </c>
      <c r="G908" t="s">
        <v>1627</v>
      </c>
      <c r="H908" t="s">
        <v>49</v>
      </c>
      <c r="I908" t="s">
        <v>40</v>
      </c>
      <c r="J908" t="s">
        <v>77</v>
      </c>
      <c r="K908" t="s">
        <v>177</v>
      </c>
      <c r="L908" t="s">
        <v>51</v>
      </c>
      <c r="M908" t="s">
        <v>1126</v>
      </c>
      <c r="N908">
        <v>0.68</v>
      </c>
      <c r="O908" t="s">
        <v>33</v>
      </c>
      <c r="P908" t="s">
        <v>135</v>
      </c>
      <c r="Q908" t="s">
        <v>663</v>
      </c>
      <c r="R908" t="s">
        <v>1628</v>
      </c>
      <c r="S908">
        <v>38637</v>
      </c>
      <c r="T908" s="1">
        <v>42045</v>
      </c>
      <c r="U908" s="1">
        <v>42047</v>
      </c>
      <c r="V908" s="2">
        <v>-76.106800000000007</v>
      </c>
      <c r="W908">
        <v>6</v>
      </c>
      <c r="X908" s="2">
        <v>38.54</v>
      </c>
      <c r="Y908">
        <v>90531</v>
      </c>
      <c r="Z908">
        <f t="shared" si="14"/>
        <v>231.24</v>
      </c>
    </row>
    <row r="909" spans="1:26" x14ac:dyDescent="0.25">
      <c r="A909">
        <v>26340</v>
      </c>
      <c r="B909" t="s">
        <v>37</v>
      </c>
      <c r="C909" s="2">
        <v>0.08</v>
      </c>
      <c r="D909" s="2">
        <v>100.97</v>
      </c>
      <c r="E909" s="2">
        <v>14</v>
      </c>
      <c r="F909">
        <v>1634</v>
      </c>
      <c r="G909" t="s">
        <v>1629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1630</v>
      </c>
      <c r="N909">
        <v>0.37</v>
      </c>
      <c r="O909" t="s">
        <v>33</v>
      </c>
      <c r="P909" t="s">
        <v>135</v>
      </c>
      <c r="Q909" t="s">
        <v>663</v>
      </c>
      <c r="R909" t="s">
        <v>1631</v>
      </c>
      <c r="S909">
        <v>39212</v>
      </c>
      <c r="T909" s="1">
        <v>42103</v>
      </c>
      <c r="U909" s="1">
        <v>42104</v>
      </c>
      <c r="V909" s="2">
        <v>-73.494119999999995</v>
      </c>
      <c r="W909">
        <v>15</v>
      </c>
      <c r="X909" s="2">
        <v>1483.16</v>
      </c>
      <c r="Y909">
        <v>90532</v>
      </c>
      <c r="Z909">
        <f t="shared" si="14"/>
        <v>22247.4</v>
      </c>
    </row>
    <row r="910" spans="1:26" x14ac:dyDescent="0.25">
      <c r="A910">
        <v>19144</v>
      </c>
      <c r="B910" t="s">
        <v>47</v>
      </c>
      <c r="C910" s="2">
        <v>0.08</v>
      </c>
      <c r="D910" s="2">
        <v>115.99</v>
      </c>
      <c r="E910" s="2">
        <v>56.14</v>
      </c>
      <c r="F910">
        <v>1636</v>
      </c>
      <c r="G910" t="s">
        <v>1632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1343</v>
      </c>
      <c r="N910">
        <v>0.4</v>
      </c>
      <c r="O910" t="s">
        <v>33</v>
      </c>
      <c r="P910" t="s">
        <v>34</v>
      </c>
      <c r="Q910" t="s">
        <v>45</v>
      </c>
      <c r="R910" t="s">
        <v>1633</v>
      </c>
      <c r="S910">
        <v>93905</v>
      </c>
      <c r="T910" s="1">
        <v>42018</v>
      </c>
      <c r="U910" s="1">
        <v>42020</v>
      </c>
      <c r="V910" s="2">
        <v>-272.860884</v>
      </c>
      <c r="W910">
        <v>5</v>
      </c>
      <c r="X910" s="2">
        <v>562.92999999999995</v>
      </c>
      <c r="Y910">
        <v>89704</v>
      </c>
      <c r="Z910">
        <f t="shared" si="14"/>
        <v>2814.6499999999996</v>
      </c>
    </row>
    <row r="911" spans="1:26" x14ac:dyDescent="0.25">
      <c r="A911">
        <v>19145</v>
      </c>
      <c r="B911" t="s">
        <v>47</v>
      </c>
      <c r="C911" s="2">
        <v>0.08</v>
      </c>
      <c r="D911" s="2">
        <v>4.28</v>
      </c>
      <c r="E911" s="2">
        <v>0.94</v>
      </c>
      <c r="F911">
        <v>1636</v>
      </c>
      <c r="G911" t="s">
        <v>1632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1634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1633</v>
      </c>
      <c r="S911">
        <v>93905</v>
      </c>
      <c r="T911" s="1">
        <v>42018</v>
      </c>
      <c r="U911" s="1">
        <v>42021</v>
      </c>
      <c r="V911" s="2">
        <v>10.5792</v>
      </c>
      <c r="W911">
        <v>7</v>
      </c>
      <c r="X911" s="2">
        <v>29.18</v>
      </c>
      <c r="Y911">
        <v>89704</v>
      </c>
      <c r="Z911">
        <f t="shared" si="14"/>
        <v>204.26</v>
      </c>
    </row>
    <row r="912" spans="1:26" x14ac:dyDescent="0.25">
      <c r="A912">
        <v>20869</v>
      </c>
      <c r="B912" t="s">
        <v>25</v>
      </c>
      <c r="C912" s="2">
        <v>0.04</v>
      </c>
      <c r="D912" s="2">
        <v>136.97999999999999</v>
      </c>
      <c r="E912" s="2">
        <v>24.49</v>
      </c>
      <c r="F912">
        <v>1636</v>
      </c>
      <c r="G912" t="s">
        <v>1632</v>
      </c>
      <c r="H912" t="s">
        <v>27</v>
      </c>
      <c r="I912" t="s">
        <v>40</v>
      </c>
      <c r="J912" t="s">
        <v>41</v>
      </c>
      <c r="K912" t="s">
        <v>50</v>
      </c>
      <c r="L912" t="s">
        <v>231</v>
      </c>
      <c r="M912" t="s">
        <v>1635</v>
      </c>
      <c r="N912">
        <v>0.59</v>
      </c>
      <c r="O912" t="s">
        <v>33</v>
      </c>
      <c r="P912" t="s">
        <v>34</v>
      </c>
      <c r="Q912" t="s">
        <v>45</v>
      </c>
      <c r="R912" t="s">
        <v>1633</v>
      </c>
      <c r="S912">
        <v>93905</v>
      </c>
      <c r="T912" s="1">
        <v>42016</v>
      </c>
      <c r="U912" s="1">
        <v>42018</v>
      </c>
      <c r="V912" s="2">
        <v>1127.5497</v>
      </c>
      <c r="W912">
        <v>12</v>
      </c>
      <c r="X912" s="2">
        <v>1634.13</v>
      </c>
      <c r="Y912">
        <v>89706</v>
      </c>
      <c r="Z912">
        <f t="shared" si="14"/>
        <v>19609.560000000001</v>
      </c>
    </row>
    <row r="913" spans="1:26" x14ac:dyDescent="0.25">
      <c r="A913">
        <v>26109</v>
      </c>
      <c r="B913" t="s">
        <v>47</v>
      </c>
      <c r="C913" s="2">
        <v>0.08</v>
      </c>
      <c r="D913" s="2">
        <v>55.48</v>
      </c>
      <c r="E913" s="2">
        <v>6.79</v>
      </c>
      <c r="F913">
        <v>1639</v>
      </c>
      <c r="G913" t="s">
        <v>1636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1637</v>
      </c>
      <c r="N913">
        <v>0.37</v>
      </c>
      <c r="O913" t="s">
        <v>33</v>
      </c>
      <c r="P913" t="s">
        <v>53</v>
      </c>
      <c r="Q913" t="s">
        <v>223</v>
      </c>
      <c r="R913" t="s">
        <v>1638</v>
      </c>
      <c r="S913">
        <v>6901</v>
      </c>
      <c r="T913" s="1">
        <v>42061</v>
      </c>
      <c r="U913" s="1">
        <v>42063</v>
      </c>
      <c r="V913" s="2">
        <v>147.75659999999999</v>
      </c>
      <c r="W913">
        <v>4</v>
      </c>
      <c r="X913" s="2">
        <v>214.14</v>
      </c>
      <c r="Y913">
        <v>89705</v>
      </c>
      <c r="Z913">
        <f t="shared" si="14"/>
        <v>856.56</v>
      </c>
    </row>
    <row r="914" spans="1:26" x14ac:dyDescent="0.25">
      <c r="A914">
        <v>18274</v>
      </c>
      <c r="B914" t="s">
        <v>106</v>
      </c>
      <c r="C914" s="2">
        <v>0.09</v>
      </c>
      <c r="D914" s="2">
        <v>107.53</v>
      </c>
      <c r="E914" s="2">
        <v>5.81</v>
      </c>
      <c r="F914">
        <v>1644</v>
      </c>
      <c r="G914" t="s">
        <v>1639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1640</v>
      </c>
      <c r="N914">
        <v>0.65</v>
      </c>
      <c r="O914" t="s">
        <v>33</v>
      </c>
      <c r="P914" t="s">
        <v>61</v>
      </c>
      <c r="Q914" t="s">
        <v>129</v>
      </c>
      <c r="R914" t="s">
        <v>1641</v>
      </c>
      <c r="S914">
        <v>77546</v>
      </c>
      <c r="T914" s="1">
        <v>42169</v>
      </c>
      <c r="U914" s="1">
        <v>42171</v>
      </c>
      <c r="V914" s="2">
        <v>69.545100000000005</v>
      </c>
      <c r="W914">
        <v>1</v>
      </c>
      <c r="X914" s="2">
        <v>100.79</v>
      </c>
      <c r="Y914">
        <v>87342</v>
      </c>
      <c r="Z914">
        <f t="shared" si="14"/>
        <v>100.79</v>
      </c>
    </row>
    <row r="915" spans="1:26" x14ac:dyDescent="0.25">
      <c r="A915">
        <v>24265</v>
      </c>
      <c r="B915" t="s">
        <v>37</v>
      </c>
      <c r="C915" s="2">
        <v>0.06</v>
      </c>
      <c r="D915" s="2">
        <v>3.29</v>
      </c>
      <c r="E915" s="2">
        <v>1.35</v>
      </c>
      <c r="F915">
        <v>1646</v>
      </c>
      <c r="G915" t="s">
        <v>1642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291</v>
      </c>
      <c r="N915">
        <v>0.4</v>
      </c>
      <c r="O915" t="s">
        <v>33</v>
      </c>
      <c r="P915" t="s">
        <v>53</v>
      </c>
      <c r="Q915" t="s">
        <v>71</v>
      </c>
      <c r="R915" t="s">
        <v>1643</v>
      </c>
      <c r="S915">
        <v>11714</v>
      </c>
      <c r="T915" s="1">
        <v>42078</v>
      </c>
      <c r="U915" s="1">
        <v>42080</v>
      </c>
      <c r="V915" s="2">
        <v>8.5299999999999994</v>
      </c>
      <c r="W915">
        <v>11</v>
      </c>
      <c r="X915" s="2">
        <v>35.97</v>
      </c>
      <c r="Y915">
        <v>90932</v>
      </c>
      <c r="Z915">
        <f t="shared" si="14"/>
        <v>395.66999999999996</v>
      </c>
    </row>
    <row r="916" spans="1:26" x14ac:dyDescent="0.25">
      <c r="A916">
        <v>21947</v>
      </c>
      <c r="B916" t="s">
        <v>47</v>
      </c>
      <c r="C916" s="2">
        <v>0.08</v>
      </c>
      <c r="D916" s="2">
        <v>46.89</v>
      </c>
      <c r="E916" s="2">
        <v>5.0999999999999996</v>
      </c>
      <c r="F916">
        <v>1648</v>
      </c>
      <c r="G916" t="s">
        <v>1644</v>
      </c>
      <c r="H916" t="s">
        <v>49</v>
      </c>
      <c r="I916" t="s">
        <v>28</v>
      </c>
      <c r="J916" t="s">
        <v>29</v>
      </c>
      <c r="K916" t="s">
        <v>252</v>
      </c>
      <c r="L916" t="s">
        <v>86</v>
      </c>
      <c r="M916" t="s">
        <v>1333</v>
      </c>
      <c r="N916">
        <v>0.46</v>
      </c>
      <c r="O916" t="s">
        <v>33</v>
      </c>
      <c r="P916" t="s">
        <v>61</v>
      </c>
      <c r="Q916" t="s">
        <v>175</v>
      </c>
      <c r="R916" t="s">
        <v>1645</v>
      </c>
      <c r="S916">
        <v>60098</v>
      </c>
      <c r="T916" s="1">
        <v>42088</v>
      </c>
      <c r="U916" s="1">
        <v>42090</v>
      </c>
      <c r="V916" s="2">
        <v>507.63299999999998</v>
      </c>
      <c r="W916">
        <v>17</v>
      </c>
      <c r="X916" s="2">
        <v>735.7</v>
      </c>
      <c r="Y916">
        <v>91043</v>
      </c>
      <c r="Z916">
        <f t="shared" si="14"/>
        <v>12506.900000000001</v>
      </c>
    </row>
    <row r="917" spans="1:26" x14ac:dyDescent="0.25">
      <c r="A917">
        <v>21948</v>
      </c>
      <c r="B917" t="s">
        <v>47</v>
      </c>
      <c r="C917" s="2">
        <v>0.05</v>
      </c>
      <c r="D917" s="2">
        <v>12.98</v>
      </c>
      <c r="E917" s="2">
        <v>3.14</v>
      </c>
      <c r="F917">
        <v>1648</v>
      </c>
      <c r="G917" t="s">
        <v>1644</v>
      </c>
      <c r="H917" t="s">
        <v>49</v>
      </c>
      <c r="I917" t="s">
        <v>28</v>
      </c>
      <c r="J917" t="s">
        <v>29</v>
      </c>
      <c r="K917" t="s">
        <v>171</v>
      </c>
      <c r="L917" t="s">
        <v>51</v>
      </c>
      <c r="M917" t="s">
        <v>172</v>
      </c>
      <c r="N917">
        <v>0.6</v>
      </c>
      <c r="O917" t="s">
        <v>33</v>
      </c>
      <c r="P917" t="s">
        <v>61</v>
      </c>
      <c r="Q917" t="s">
        <v>175</v>
      </c>
      <c r="R917" t="s">
        <v>1645</v>
      </c>
      <c r="S917">
        <v>60098</v>
      </c>
      <c r="T917" s="1">
        <v>42088</v>
      </c>
      <c r="U917" s="1">
        <v>42088</v>
      </c>
      <c r="V917" s="2">
        <v>38.229999999999997</v>
      </c>
      <c r="W917">
        <v>18</v>
      </c>
      <c r="X917" s="2">
        <v>225.59</v>
      </c>
      <c r="Y917">
        <v>91043</v>
      </c>
      <c r="Z917">
        <f t="shared" si="14"/>
        <v>4060.62</v>
      </c>
    </row>
    <row r="918" spans="1:26" x14ac:dyDescent="0.25">
      <c r="A918">
        <v>20603</v>
      </c>
      <c r="B918" t="s">
        <v>47</v>
      </c>
      <c r="C918" s="2">
        <v>0.03</v>
      </c>
      <c r="D918" s="2">
        <v>48.58</v>
      </c>
      <c r="E918" s="2">
        <v>3.99</v>
      </c>
      <c r="F918">
        <v>1649</v>
      </c>
      <c r="G918" t="s">
        <v>1646</v>
      </c>
      <c r="H918" t="s">
        <v>27</v>
      </c>
      <c r="I918" t="s">
        <v>28</v>
      </c>
      <c r="J918" t="s">
        <v>29</v>
      </c>
      <c r="K918" t="s">
        <v>252</v>
      </c>
      <c r="L918" t="s">
        <v>59</v>
      </c>
      <c r="M918" t="s">
        <v>1647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1595</v>
      </c>
      <c r="S918">
        <v>11598</v>
      </c>
      <c r="T918" s="1">
        <v>42059</v>
      </c>
      <c r="U918" s="1">
        <v>42061</v>
      </c>
      <c r="V918" s="2">
        <v>100.1328</v>
      </c>
      <c r="W918">
        <v>3</v>
      </c>
      <c r="X918" s="2">
        <v>145.12</v>
      </c>
      <c r="Y918">
        <v>91041</v>
      </c>
      <c r="Z918">
        <f t="shared" si="14"/>
        <v>435.36</v>
      </c>
    </row>
    <row r="919" spans="1:26" x14ac:dyDescent="0.25">
      <c r="A919">
        <v>24016</v>
      </c>
      <c r="B919" t="s">
        <v>25</v>
      </c>
      <c r="C919" s="2">
        <v>0.05</v>
      </c>
      <c r="D919" s="2">
        <v>6.48</v>
      </c>
      <c r="E919" s="2">
        <v>2.74</v>
      </c>
      <c r="F919">
        <v>1650</v>
      </c>
      <c r="G919" t="s">
        <v>1648</v>
      </c>
      <c r="H919" t="s">
        <v>49</v>
      </c>
      <c r="I919" t="s">
        <v>28</v>
      </c>
      <c r="J919" t="s">
        <v>77</v>
      </c>
      <c r="K919" t="s">
        <v>177</v>
      </c>
      <c r="L919" t="s">
        <v>51</v>
      </c>
      <c r="M919" t="s">
        <v>1649</v>
      </c>
      <c r="N919">
        <v>0.71</v>
      </c>
      <c r="O919" t="s">
        <v>33</v>
      </c>
      <c r="P919" t="s">
        <v>135</v>
      </c>
      <c r="Q919" t="s">
        <v>316</v>
      </c>
      <c r="R919" t="s">
        <v>1650</v>
      </c>
      <c r="S919">
        <v>27203</v>
      </c>
      <c r="T919" s="1">
        <v>42133</v>
      </c>
      <c r="U919" s="1">
        <v>42133</v>
      </c>
      <c r="V919" s="2">
        <v>15.096</v>
      </c>
      <c r="W919">
        <v>15</v>
      </c>
      <c r="X919" s="2">
        <v>94.27</v>
      </c>
      <c r="Y919">
        <v>91042</v>
      </c>
      <c r="Z919">
        <f t="shared" si="14"/>
        <v>1414.05</v>
      </c>
    </row>
    <row r="920" spans="1:26" x14ac:dyDescent="0.25">
      <c r="A920">
        <v>24017</v>
      </c>
      <c r="B920" t="s">
        <v>25</v>
      </c>
      <c r="C920" s="2">
        <v>0.09</v>
      </c>
      <c r="D920" s="2">
        <v>12.53</v>
      </c>
      <c r="E920" s="2">
        <v>0.5</v>
      </c>
      <c r="F920">
        <v>1650</v>
      </c>
      <c r="G920" t="s">
        <v>1648</v>
      </c>
      <c r="H920" t="s">
        <v>49</v>
      </c>
      <c r="I920" t="s">
        <v>28</v>
      </c>
      <c r="J920" t="s">
        <v>29</v>
      </c>
      <c r="K920" t="s">
        <v>133</v>
      </c>
      <c r="L920" t="s">
        <v>59</v>
      </c>
      <c r="M920" t="s">
        <v>1651</v>
      </c>
      <c r="N920">
        <v>0.38</v>
      </c>
      <c r="O920" t="s">
        <v>33</v>
      </c>
      <c r="P920" t="s">
        <v>135</v>
      </c>
      <c r="Q920" t="s">
        <v>316</v>
      </c>
      <c r="R920" t="s">
        <v>1650</v>
      </c>
      <c r="S920">
        <v>27203</v>
      </c>
      <c r="T920" s="1">
        <v>42133</v>
      </c>
      <c r="U920" s="1">
        <v>42134</v>
      </c>
      <c r="V920" s="2">
        <v>14.9124</v>
      </c>
      <c r="W920">
        <v>7</v>
      </c>
      <c r="X920" s="2">
        <v>82.21</v>
      </c>
      <c r="Y920">
        <v>91042</v>
      </c>
      <c r="Z920">
        <f t="shared" si="14"/>
        <v>575.46999999999991</v>
      </c>
    </row>
    <row r="921" spans="1:26" x14ac:dyDescent="0.25">
      <c r="A921">
        <v>24019</v>
      </c>
      <c r="B921" t="s">
        <v>25</v>
      </c>
      <c r="C921" s="2">
        <v>0.08</v>
      </c>
      <c r="D921" s="2">
        <v>65.989999999999995</v>
      </c>
      <c r="E921" s="2">
        <v>8.99</v>
      </c>
      <c r="F921">
        <v>1650</v>
      </c>
      <c r="G921" t="s">
        <v>1648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1652</v>
      </c>
      <c r="N921">
        <v>0.55000000000000004</v>
      </c>
      <c r="O921" t="s">
        <v>33</v>
      </c>
      <c r="P921" t="s">
        <v>135</v>
      </c>
      <c r="Q921" t="s">
        <v>316</v>
      </c>
      <c r="R921" t="s">
        <v>1650</v>
      </c>
      <c r="S921">
        <v>27203</v>
      </c>
      <c r="T921" s="1">
        <v>42133</v>
      </c>
      <c r="U921" s="1">
        <v>42135</v>
      </c>
      <c r="V921" s="2">
        <v>-135.226</v>
      </c>
      <c r="W921">
        <v>8</v>
      </c>
      <c r="X921" s="2">
        <v>417.47</v>
      </c>
      <c r="Y921">
        <v>91042</v>
      </c>
      <c r="Z921">
        <f t="shared" si="14"/>
        <v>3339.76</v>
      </c>
    </row>
    <row r="922" spans="1:26" x14ac:dyDescent="0.25">
      <c r="A922">
        <v>19251</v>
      </c>
      <c r="B922" t="s">
        <v>37</v>
      </c>
      <c r="C922" s="2">
        <v>0</v>
      </c>
      <c r="D922" s="2">
        <v>101.41</v>
      </c>
      <c r="E922" s="2">
        <v>35</v>
      </c>
      <c r="F922">
        <v>1653</v>
      </c>
      <c r="G922" t="s">
        <v>1653</v>
      </c>
      <c r="H922" t="s">
        <v>27</v>
      </c>
      <c r="I922" t="s">
        <v>28</v>
      </c>
      <c r="J922" t="s">
        <v>29</v>
      </c>
      <c r="K922" t="s">
        <v>139</v>
      </c>
      <c r="L922" t="s">
        <v>231</v>
      </c>
      <c r="M922" t="s">
        <v>851</v>
      </c>
      <c r="N922">
        <v>0.82</v>
      </c>
      <c r="O922" t="s">
        <v>33</v>
      </c>
      <c r="P922" t="s">
        <v>34</v>
      </c>
      <c r="Q922" t="s">
        <v>45</v>
      </c>
      <c r="R922" t="s">
        <v>1654</v>
      </c>
      <c r="S922">
        <v>91360</v>
      </c>
      <c r="T922" s="1">
        <v>42028</v>
      </c>
      <c r="U922" s="1">
        <v>42029</v>
      </c>
      <c r="V922" s="2">
        <v>-457.73</v>
      </c>
      <c r="W922">
        <v>10</v>
      </c>
      <c r="X922" s="2">
        <v>1104.32</v>
      </c>
      <c r="Y922">
        <v>89885</v>
      </c>
      <c r="Z922">
        <f t="shared" si="14"/>
        <v>11043.199999999999</v>
      </c>
    </row>
    <row r="923" spans="1:26" x14ac:dyDescent="0.25">
      <c r="A923">
        <v>19252</v>
      </c>
      <c r="B923" t="s">
        <v>37</v>
      </c>
      <c r="C923" s="2">
        <v>0.1</v>
      </c>
      <c r="D923" s="2">
        <v>95.99</v>
      </c>
      <c r="E923" s="2">
        <v>4.9000000000000004</v>
      </c>
      <c r="F923">
        <v>1653</v>
      </c>
      <c r="G923" t="s">
        <v>1653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249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1654</v>
      </c>
      <c r="S923">
        <v>91360</v>
      </c>
      <c r="T923" s="1">
        <v>42028</v>
      </c>
      <c r="U923" s="1">
        <v>42029</v>
      </c>
      <c r="V923" s="2">
        <v>-268.66399999999999</v>
      </c>
      <c r="W923">
        <v>2</v>
      </c>
      <c r="X923" s="2">
        <v>149.80000000000001</v>
      </c>
      <c r="Y923">
        <v>89885</v>
      </c>
      <c r="Z923">
        <f t="shared" si="14"/>
        <v>299.60000000000002</v>
      </c>
    </row>
    <row r="924" spans="1:26" x14ac:dyDescent="0.25">
      <c r="A924">
        <v>24187</v>
      </c>
      <c r="B924" t="s">
        <v>25</v>
      </c>
      <c r="C924" s="2">
        <v>0.1</v>
      </c>
      <c r="D924" s="2">
        <v>3.6</v>
      </c>
      <c r="E924" s="2">
        <v>2.2000000000000002</v>
      </c>
      <c r="F924">
        <v>1665</v>
      </c>
      <c r="G924" t="s">
        <v>1655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1656</v>
      </c>
      <c r="N924">
        <v>0.39</v>
      </c>
      <c r="O924" t="s">
        <v>33</v>
      </c>
      <c r="P924" t="s">
        <v>34</v>
      </c>
      <c r="Q924" t="s">
        <v>45</v>
      </c>
      <c r="R924" t="s">
        <v>1657</v>
      </c>
      <c r="S924">
        <v>92653</v>
      </c>
      <c r="T924" s="1">
        <v>42061</v>
      </c>
      <c r="U924" s="1">
        <v>42062</v>
      </c>
      <c r="V924" s="2">
        <v>-8.2799999999999994</v>
      </c>
      <c r="W924">
        <v>2</v>
      </c>
      <c r="X924" s="2">
        <v>6.97</v>
      </c>
      <c r="Y924">
        <v>90678</v>
      </c>
      <c r="Z924">
        <f t="shared" si="14"/>
        <v>13.94</v>
      </c>
    </row>
    <row r="925" spans="1:26" x14ac:dyDescent="0.25">
      <c r="A925">
        <v>21491</v>
      </c>
      <c r="B925" t="s">
        <v>106</v>
      </c>
      <c r="C925" s="2">
        <v>0.03</v>
      </c>
      <c r="D925" s="2">
        <v>35.409999999999997</v>
      </c>
      <c r="E925" s="2">
        <v>1.99</v>
      </c>
      <c r="F925">
        <v>1670</v>
      </c>
      <c r="G925" t="s">
        <v>1658</v>
      </c>
      <c r="H925" t="s">
        <v>49</v>
      </c>
      <c r="I925" t="s">
        <v>58</v>
      </c>
      <c r="J925" t="s">
        <v>77</v>
      </c>
      <c r="K925" t="s">
        <v>177</v>
      </c>
      <c r="L925" t="s">
        <v>51</v>
      </c>
      <c r="M925" t="s">
        <v>1659</v>
      </c>
      <c r="N925">
        <v>0.43</v>
      </c>
      <c r="O925" t="s">
        <v>33</v>
      </c>
      <c r="P925" t="s">
        <v>135</v>
      </c>
      <c r="Q925" t="s">
        <v>136</v>
      </c>
      <c r="R925" t="s">
        <v>1574</v>
      </c>
      <c r="S925">
        <v>24060</v>
      </c>
      <c r="T925" s="1">
        <v>42118</v>
      </c>
      <c r="U925" s="1">
        <v>42120</v>
      </c>
      <c r="V925" s="2">
        <v>1912.422</v>
      </c>
      <c r="W925">
        <v>10</v>
      </c>
      <c r="X925" s="2">
        <v>367.52</v>
      </c>
      <c r="Y925">
        <v>86722</v>
      </c>
      <c r="Z925">
        <f t="shared" si="14"/>
        <v>3675.2</v>
      </c>
    </row>
    <row r="926" spans="1:26" x14ac:dyDescent="0.25">
      <c r="A926">
        <v>21492</v>
      </c>
      <c r="B926" t="s">
        <v>106</v>
      </c>
      <c r="C926" s="2">
        <v>0</v>
      </c>
      <c r="D926" s="2">
        <v>142.86000000000001</v>
      </c>
      <c r="E926" s="2">
        <v>19.989999999999998</v>
      </c>
      <c r="F926">
        <v>1670</v>
      </c>
      <c r="G926" t="s">
        <v>1658</v>
      </c>
      <c r="H926" t="s">
        <v>49</v>
      </c>
      <c r="I926" t="s">
        <v>58</v>
      </c>
      <c r="J926" t="s">
        <v>29</v>
      </c>
      <c r="K926" t="s">
        <v>139</v>
      </c>
      <c r="L926" t="s">
        <v>59</v>
      </c>
      <c r="M926" t="s">
        <v>1660</v>
      </c>
      <c r="N926">
        <v>0.56000000000000005</v>
      </c>
      <c r="O926" t="s">
        <v>33</v>
      </c>
      <c r="P926" t="s">
        <v>135</v>
      </c>
      <c r="Q926" t="s">
        <v>136</v>
      </c>
      <c r="R926" t="s">
        <v>1574</v>
      </c>
      <c r="S926">
        <v>24060</v>
      </c>
      <c r="T926" s="1">
        <v>42118</v>
      </c>
      <c r="U926" s="1">
        <v>42127</v>
      </c>
      <c r="V926" s="2">
        <v>-739.32600000000002</v>
      </c>
      <c r="W926">
        <v>11</v>
      </c>
      <c r="X926" s="2">
        <v>1576.35</v>
      </c>
      <c r="Y926">
        <v>86722</v>
      </c>
      <c r="Z926">
        <f t="shared" si="14"/>
        <v>17339.849999999999</v>
      </c>
    </row>
    <row r="927" spans="1:26" x14ac:dyDescent="0.25">
      <c r="A927">
        <v>23578</v>
      </c>
      <c r="B927" t="s">
        <v>106</v>
      </c>
      <c r="C927" s="2">
        <v>0.1</v>
      </c>
      <c r="D927" s="2">
        <v>4.13</v>
      </c>
      <c r="E927" s="2">
        <v>0.99</v>
      </c>
      <c r="F927">
        <v>1671</v>
      </c>
      <c r="G927" t="s">
        <v>1661</v>
      </c>
      <c r="H927" t="s">
        <v>49</v>
      </c>
      <c r="I927" t="s">
        <v>58</v>
      </c>
      <c r="J927" t="s">
        <v>29</v>
      </c>
      <c r="K927" t="s">
        <v>133</v>
      </c>
      <c r="L927" t="s">
        <v>59</v>
      </c>
      <c r="M927" t="s">
        <v>1407</v>
      </c>
      <c r="N927">
        <v>0.39</v>
      </c>
      <c r="O927" t="s">
        <v>33</v>
      </c>
      <c r="P927" t="s">
        <v>135</v>
      </c>
      <c r="Q927" t="s">
        <v>136</v>
      </c>
      <c r="R927" t="s">
        <v>1662</v>
      </c>
      <c r="S927">
        <v>22015</v>
      </c>
      <c r="T927" s="1">
        <v>42044</v>
      </c>
      <c r="U927" s="1">
        <v>42048</v>
      </c>
      <c r="V927" s="2">
        <v>-40.53</v>
      </c>
      <c r="W927">
        <v>13</v>
      </c>
      <c r="X927" s="2">
        <v>52.16</v>
      </c>
      <c r="Y927">
        <v>86724</v>
      </c>
      <c r="Z927">
        <f t="shared" si="14"/>
        <v>678.07999999999993</v>
      </c>
    </row>
    <row r="928" spans="1:26" x14ac:dyDescent="0.25">
      <c r="A928">
        <v>22007</v>
      </c>
      <c r="B928" t="s">
        <v>47</v>
      </c>
      <c r="C928" s="2">
        <v>0.03</v>
      </c>
      <c r="D928" s="2">
        <v>223.98</v>
      </c>
      <c r="E928" s="2">
        <v>15.01</v>
      </c>
      <c r="F928">
        <v>1671</v>
      </c>
      <c r="G928" t="s">
        <v>1661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1663</v>
      </c>
      <c r="N928">
        <v>0.38</v>
      </c>
      <c r="O928" t="s">
        <v>33</v>
      </c>
      <c r="P928" t="s">
        <v>135</v>
      </c>
      <c r="Q928" t="s">
        <v>136</v>
      </c>
      <c r="R928" t="s">
        <v>1662</v>
      </c>
      <c r="S928">
        <v>22015</v>
      </c>
      <c r="T928" s="1">
        <v>42136</v>
      </c>
      <c r="U928" s="1">
        <v>42137</v>
      </c>
      <c r="V928" s="2">
        <v>0.69599999999999995</v>
      </c>
      <c r="W928">
        <v>21</v>
      </c>
      <c r="X928" s="2">
        <v>4881.84</v>
      </c>
      <c r="Y928">
        <v>86725</v>
      </c>
      <c r="Z928">
        <f t="shared" si="14"/>
        <v>102518.64</v>
      </c>
    </row>
    <row r="929" spans="1:26" x14ac:dyDescent="0.25">
      <c r="A929">
        <v>25066</v>
      </c>
      <c r="B929" t="s">
        <v>106</v>
      </c>
      <c r="C929" s="2">
        <v>0.02</v>
      </c>
      <c r="D929" s="2">
        <v>284.98</v>
      </c>
      <c r="E929" s="2">
        <v>69.55</v>
      </c>
      <c r="F929">
        <v>1672</v>
      </c>
      <c r="G929" t="s">
        <v>1664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1071</v>
      </c>
      <c r="N929">
        <v>0.6</v>
      </c>
      <c r="O929" t="s">
        <v>33</v>
      </c>
      <c r="P929" t="s">
        <v>135</v>
      </c>
      <c r="Q929" t="s">
        <v>136</v>
      </c>
      <c r="R929" t="s">
        <v>1665</v>
      </c>
      <c r="S929">
        <v>22901</v>
      </c>
      <c r="T929" s="1">
        <v>42162</v>
      </c>
      <c r="U929" s="1">
        <v>42167</v>
      </c>
      <c r="V929" s="2">
        <v>15.528</v>
      </c>
      <c r="W929">
        <v>3</v>
      </c>
      <c r="X929" s="2">
        <v>926.3</v>
      </c>
      <c r="Y929">
        <v>86723</v>
      </c>
      <c r="Z929">
        <f t="shared" si="14"/>
        <v>2778.8999999999996</v>
      </c>
    </row>
    <row r="930" spans="1:26" x14ac:dyDescent="0.25">
      <c r="A930">
        <v>25067</v>
      </c>
      <c r="B930" t="s">
        <v>106</v>
      </c>
      <c r="C930" s="2">
        <v>0.08</v>
      </c>
      <c r="D930" s="2">
        <v>55.48</v>
      </c>
      <c r="E930" s="2">
        <v>14.3</v>
      </c>
      <c r="F930">
        <v>1672</v>
      </c>
      <c r="G930" t="s">
        <v>1664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135</v>
      </c>
      <c r="Q930" t="s">
        <v>136</v>
      </c>
      <c r="R930" t="s">
        <v>1665</v>
      </c>
      <c r="S930">
        <v>22901</v>
      </c>
      <c r="T930" s="1">
        <v>42162</v>
      </c>
      <c r="U930" s="1">
        <v>42164</v>
      </c>
      <c r="V930" s="2">
        <v>-225.56379999999999</v>
      </c>
      <c r="W930">
        <v>17</v>
      </c>
      <c r="X930" s="2">
        <v>942.53</v>
      </c>
      <c r="Y930">
        <v>86723</v>
      </c>
      <c r="Z930">
        <f t="shared" si="14"/>
        <v>16023.01</v>
      </c>
    </row>
    <row r="931" spans="1:26" x14ac:dyDescent="0.25">
      <c r="A931">
        <v>18150</v>
      </c>
      <c r="B931" t="s">
        <v>56</v>
      </c>
      <c r="C931" s="2">
        <v>7.0000000000000007E-2</v>
      </c>
      <c r="D931" s="2">
        <v>13.73</v>
      </c>
      <c r="E931" s="2">
        <v>6.85</v>
      </c>
      <c r="F931">
        <v>1679</v>
      </c>
      <c r="G931" t="s">
        <v>1666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640</v>
      </c>
      <c r="N931">
        <v>0.54</v>
      </c>
      <c r="O931" t="s">
        <v>33</v>
      </c>
      <c r="P931" t="s">
        <v>53</v>
      </c>
      <c r="Q931" t="s">
        <v>152</v>
      </c>
      <c r="R931" t="s">
        <v>1667</v>
      </c>
      <c r="S931">
        <v>45324</v>
      </c>
      <c r="T931" s="1">
        <v>42083</v>
      </c>
      <c r="U931" s="1">
        <v>42084</v>
      </c>
      <c r="V931" s="2">
        <v>-22.72</v>
      </c>
      <c r="W931">
        <v>21</v>
      </c>
      <c r="X931" s="2">
        <v>276.64</v>
      </c>
      <c r="Y931">
        <v>86646</v>
      </c>
      <c r="Z931">
        <f t="shared" si="14"/>
        <v>5809.44</v>
      </c>
    </row>
    <row r="932" spans="1:26" x14ac:dyDescent="0.25">
      <c r="A932">
        <v>23524</v>
      </c>
      <c r="B932" t="s">
        <v>106</v>
      </c>
      <c r="C932" s="2">
        <v>0.09</v>
      </c>
      <c r="D932" s="2">
        <v>30.98</v>
      </c>
      <c r="E932" s="2">
        <v>19.510000000000002</v>
      </c>
      <c r="F932">
        <v>1680</v>
      </c>
      <c r="G932" t="s">
        <v>1668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1669</v>
      </c>
      <c r="N932">
        <v>0.36</v>
      </c>
      <c r="O932" t="s">
        <v>33</v>
      </c>
      <c r="P932" t="s">
        <v>53</v>
      </c>
      <c r="Q932" t="s">
        <v>152</v>
      </c>
      <c r="R932" t="s">
        <v>387</v>
      </c>
      <c r="S932">
        <v>45014</v>
      </c>
      <c r="T932" s="1">
        <v>42127</v>
      </c>
      <c r="U932" s="1">
        <v>42129</v>
      </c>
      <c r="V932" s="2">
        <v>-163.53</v>
      </c>
      <c r="W932">
        <v>18</v>
      </c>
      <c r="X932" s="2">
        <v>514.62</v>
      </c>
      <c r="Y932">
        <v>86645</v>
      </c>
      <c r="Z932">
        <f t="shared" si="14"/>
        <v>9263.16</v>
      </c>
    </row>
    <row r="933" spans="1:26" x14ac:dyDescent="0.25">
      <c r="A933">
        <v>23525</v>
      </c>
      <c r="B933" t="s">
        <v>106</v>
      </c>
      <c r="C933" s="2">
        <v>0.03</v>
      </c>
      <c r="D933" s="2">
        <v>49.34</v>
      </c>
      <c r="E933" s="2">
        <v>10.25</v>
      </c>
      <c r="F933">
        <v>1680</v>
      </c>
      <c r="G933" t="s">
        <v>1668</v>
      </c>
      <c r="H933" t="s">
        <v>49</v>
      </c>
      <c r="I933" t="s">
        <v>114</v>
      </c>
      <c r="J933" t="s">
        <v>41</v>
      </c>
      <c r="K933" t="s">
        <v>50</v>
      </c>
      <c r="L933" t="s">
        <v>231</v>
      </c>
      <c r="M933" t="s">
        <v>1670</v>
      </c>
      <c r="N933">
        <v>0.56999999999999995</v>
      </c>
      <c r="O933" t="s">
        <v>33</v>
      </c>
      <c r="P933" t="s">
        <v>53</v>
      </c>
      <c r="Q933" t="s">
        <v>152</v>
      </c>
      <c r="R933" t="s">
        <v>387</v>
      </c>
      <c r="S933">
        <v>45014</v>
      </c>
      <c r="T933" s="1">
        <v>42127</v>
      </c>
      <c r="U933" s="1">
        <v>42129</v>
      </c>
      <c r="V933" s="2">
        <v>554.77</v>
      </c>
      <c r="W933">
        <v>17</v>
      </c>
      <c r="X933" s="2">
        <v>817.32</v>
      </c>
      <c r="Y933">
        <v>86645</v>
      </c>
      <c r="Z933">
        <f t="shared" si="14"/>
        <v>13894.44</v>
      </c>
    </row>
    <row r="934" spans="1:26" x14ac:dyDescent="0.25">
      <c r="A934">
        <v>1976</v>
      </c>
      <c r="B934" t="s">
        <v>37</v>
      </c>
      <c r="C934" s="2">
        <v>0.04</v>
      </c>
      <c r="D934" s="2">
        <v>6.28</v>
      </c>
      <c r="E934" s="2">
        <v>5.41</v>
      </c>
      <c r="F934">
        <v>1682</v>
      </c>
      <c r="G934" t="s">
        <v>1671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1672</v>
      </c>
      <c r="N934">
        <v>0.53</v>
      </c>
      <c r="O934" t="s">
        <v>33</v>
      </c>
      <c r="P934" t="s">
        <v>61</v>
      </c>
      <c r="Q934" t="s">
        <v>175</v>
      </c>
      <c r="R934" t="s">
        <v>176</v>
      </c>
      <c r="S934">
        <v>60611</v>
      </c>
      <c r="T934" s="1">
        <v>42049</v>
      </c>
      <c r="U934" s="1">
        <v>42051</v>
      </c>
      <c r="V934" s="2">
        <v>-38.380000000000003</v>
      </c>
      <c r="W934">
        <v>43</v>
      </c>
      <c r="X934" s="2">
        <v>284.48</v>
      </c>
      <c r="Y934">
        <v>14115</v>
      </c>
      <c r="Z934">
        <f t="shared" si="14"/>
        <v>12232.640000000001</v>
      </c>
    </row>
    <row r="935" spans="1:26" x14ac:dyDescent="0.25">
      <c r="A935">
        <v>5358</v>
      </c>
      <c r="B935" t="s">
        <v>37</v>
      </c>
      <c r="C935" s="2">
        <v>0.08</v>
      </c>
      <c r="D935" s="2">
        <v>4.9800000000000004</v>
      </c>
      <c r="E935" s="2">
        <v>4.7</v>
      </c>
      <c r="F935">
        <v>1682</v>
      </c>
      <c r="G935" t="s">
        <v>1671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1673</v>
      </c>
      <c r="N935">
        <v>0.38</v>
      </c>
      <c r="O935" t="s">
        <v>33</v>
      </c>
      <c r="P935" t="s">
        <v>61</v>
      </c>
      <c r="Q935" t="s">
        <v>175</v>
      </c>
      <c r="R935" t="s">
        <v>176</v>
      </c>
      <c r="S935">
        <v>60611</v>
      </c>
      <c r="T935" s="1">
        <v>42077</v>
      </c>
      <c r="U935" s="1">
        <v>42078</v>
      </c>
      <c r="V935" s="2">
        <v>-56.35</v>
      </c>
      <c r="W935">
        <v>47</v>
      </c>
      <c r="X935" s="2">
        <v>225.98</v>
      </c>
      <c r="Y935">
        <v>38080</v>
      </c>
      <c r="Z935">
        <f t="shared" si="14"/>
        <v>10621.06</v>
      </c>
    </row>
    <row r="936" spans="1:26" x14ac:dyDescent="0.25">
      <c r="A936">
        <v>19976</v>
      </c>
      <c r="B936" t="s">
        <v>37</v>
      </c>
      <c r="C936" s="2">
        <v>0.04</v>
      </c>
      <c r="D936" s="2">
        <v>6.28</v>
      </c>
      <c r="E936" s="2">
        <v>5.41</v>
      </c>
      <c r="F936">
        <v>1683</v>
      </c>
      <c r="G936" t="s">
        <v>1674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1672</v>
      </c>
      <c r="N936">
        <v>0.53</v>
      </c>
      <c r="O936" t="s">
        <v>33</v>
      </c>
      <c r="P936" t="s">
        <v>61</v>
      </c>
      <c r="Q936" t="s">
        <v>129</v>
      </c>
      <c r="R936" t="s">
        <v>1675</v>
      </c>
      <c r="S936">
        <v>77301</v>
      </c>
      <c r="T936" s="1">
        <v>42049</v>
      </c>
      <c r="U936" s="1">
        <v>42051</v>
      </c>
      <c r="V936" s="2">
        <v>-19.957599999999999</v>
      </c>
      <c r="W936">
        <v>11</v>
      </c>
      <c r="X936" s="2">
        <v>72.77</v>
      </c>
      <c r="Y936">
        <v>90612</v>
      </c>
      <c r="Z936">
        <f t="shared" si="14"/>
        <v>800.46999999999991</v>
      </c>
    </row>
    <row r="937" spans="1:26" x14ac:dyDescent="0.25">
      <c r="A937">
        <v>23358</v>
      </c>
      <c r="B937" t="s">
        <v>37</v>
      </c>
      <c r="C937" s="2">
        <v>0.08</v>
      </c>
      <c r="D937" s="2">
        <v>4.9800000000000004</v>
      </c>
      <c r="E937" s="2">
        <v>4.7</v>
      </c>
      <c r="F937">
        <v>1683</v>
      </c>
      <c r="G937" t="s">
        <v>1674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1673</v>
      </c>
      <c r="N937">
        <v>0.38</v>
      </c>
      <c r="O937" t="s">
        <v>33</v>
      </c>
      <c r="P937" t="s">
        <v>61</v>
      </c>
      <c r="Q937" t="s">
        <v>129</v>
      </c>
      <c r="R937" t="s">
        <v>1675</v>
      </c>
      <c r="S937">
        <v>77301</v>
      </c>
      <c r="T937" s="1">
        <v>42077</v>
      </c>
      <c r="U937" s="1">
        <v>42078</v>
      </c>
      <c r="V937" s="2">
        <v>-56.35</v>
      </c>
      <c r="W937">
        <v>12</v>
      </c>
      <c r="X937" s="2">
        <v>57.7</v>
      </c>
      <c r="Y937">
        <v>90613</v>
      </c>
      <c r="Z937">
        <f t="shared" si="14"/>
        <v>692.40000000000009</v>
      </c>
    </row>
    <row r="938" spans="1:26" x14ac:dyDescent="0.25">
      <c r="A938">
        <v>19751</v>
      </c>
      <c r="B938" t="s">
        <v>106</v>
      </c>
      <c r="C938" s="2">
        <v>0.08</v>
      </c>
      <c r="D938" s="2">
        <v>2.08</v>
      </c>
      <c r="E938" s="2">
        <v>5.33</v>
      </c>
      <c r="F938">
        <v>1686</v>
      </c>
      <c r="G938" t="s">
        <v>1676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736</v>
      </c>
      <c r="N938">
        <v>0.43</v>
      </c>
      <c r="O938" t="s">
        <v>33</v>
      </c>
      <c r="P938" t="s">
        <v>61</v>
      </c>
      <c r="Q938" t="s">
        <v>175</v>
      </c>
      <c r="R938" t="s">
        <v>1677</v>
      </c>
      <c r="S938">
        <v>60123</v>
      </c>
      <c r="T938" s="1">
        <v>42066</v>
      </c>
      <c r="U938" s="1">
        <v>42073</v>
      </c>
      <c r="V938" s="2">
        <v>-129.01</v>
      </c>
      <c r="W938">
        <v>9</v>
      </c>
      <c r="X938" s="2">
        <v>19.670000000000002</v>
      </c>
      <c r="Y938">
        <v>86973</v>
      </c>
      <c r="Z938">
        <f t="shared" si="14"/>
        <v>177.03000000000003</v>
      </c>
    </row>
    <row r="939" spans="1:26" x14ac:dyDescent="0.25">
      <c r="A939">
        <v>25690</v>
      </c>
      <c r="B939" t="s">
        <v>25</v>
      </c>
      <c r="C939" s="2">
        <v>0</v>
      </c>
      <c r="D939" s="2">
        <v>48.91</v>
      </c>
      <c r="E939" s="2">
        <v>35</v>
      </c>
      <c r="F939">
        <v>1689</v>
      </c>
      <c r="G939" t="s">
        <v>1678</v>
      </c>
      <c r="H939" t="s">
        <v>49</v>
      </c>
      <c r="I939" t="s">
        <v>28</v>
      </c>
      <c r="J939" t="s">
        <v>29</v>
      </c>
      <c r="K939" t="s">
        <v>139</v>
      </c>
      <c r="L939" t="s">
        <v>231</v>
      </c>
      <c r="M939" t="s">
        <v>1679</v>
      </c>
      <c r="N939">
        <v>0.83</v>
      </c>
      <c r="O939" t="s">
        <v>33</v>
      </c>
      <c r="P939" t="s">
        <v>61</v>
      </c>
      <c r="Q939" t="s">
        <v>695</v>
      </c>
      <c r="R939" t="s">
        <v>1610</v>
      </c>
      <c r="S939">
        <v>46322</v>
      </c>
      <c r="T939" s="1">
        <v>42087</v>
      </c>
      <c r="U939" s="1">
        <v>42088</v>
      </c>
      <c r="V939" s="2">
        <v>-628.38</v>
      </c>
      <c r="W939">
        <v>10</v>
      </c>
      <c r="X939" s="2">
        <v>514.79</v>
      </c>
      <c r="Y939">
        <v>91077</v>
      </c>
      <c r="Z939">
        <f t="shared" si="14"/>
        <v>5147.8999999999996</v>
      </c>
    </row>
    <row r="940" spans="1:26" x14ac:dyDescent="0.25">
      <c r="A940">
        <v>22798</v>
      </c>
      <c r="B940" t="s">
        <v>106</v>
      </c>
      <c r="C940" s="2">
        <v>0.05</v>
      </c>
      <c r="D940" s="2">
        <v>115.99</v>
      </c>
      <c r="E940" s="2">
        <v>5.26</v>
      </c>
      <c r="F940">
        <v>1690</v>
      </c>
      <c r="G940" t="s">
        <v>1680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>
        <v>636</v>
      </c>
      <c r="N940">
        <v>0.56999999999999995</v>
      </c>
      <c r="O940" t="s">
        <v>33</v>
      </c>
      <c r="P940" t="s">
        <v>53</v>
      </c>
      <c r="Q940" t="s">
        <v>229</v>
      </c>
      <c r="R940" t="s">
        <v>1681</v>
      </c>
      <c r="S940">
        <v>17112</v>
      </c>
      <c r="T940" s="1">
        <v>42028</v>
      </c>
      <c r="U940" s="1">
        <v>42032</v>
      </c>
      <c r="V940" s="2">
        <v>616.53570000000002</v>
      </c>
      <c r="W940">
        <v>9</v>
      </c>
      <c r="X940" s="2">
        <v>893.53</v>
      </c>
      <c r="Y940">
        <v>91076</v>
      </c>
      <c r="Z940">
        <f t="shared" si="14"/>
        <v>8041.7699999999995</v>
      </c>
    </row>
    <row r="941" spans="1:26" x14ac:dyDescent="0.25">
      <c r="A941">
        <v>23626</v>
      </c>
      <c r="B941" t="s">
        <v>37</v>
      </c>
      <c r="C941" s="2">
        <v>0.09</v>
      </c>
      <c r="D941" s="2">
        <v>95.43</v>
      </c>
      <c r="E941" s="2">
        <v>19.989999999999998</v>
      </c>
      <c r="F941">
        <v>1690</v>
      </c>
      <c r="G941" t="s">
        <v>1680</v>
      </c>
      <c r="H941" t="s">
        <v>49</v>
      </c>
      <c r="I941" t="s">
        <v>28</v>
      </c>
      <c r="J941" t="s">
        <v>29</v>
      </c>
      <c r="K941" t="s">
        <v>139</v>
      </c>
      <c r="L941" t="s">
        <v>59</v>
      </c>
      <c r="M941" t="s">
        <v>840</v>
      </c>
      <c r="N941">
        <v>0.79</v>
      </c>
      <c r="O941" t="s">
        <v>33</v>
      </c>
      <c r="P941" t="s">
        <v>53</v>
      </c>
      <c r="Q941" t="s">
        <v>229</v>
      </c>
      <c r="R941" t="s">
        <v>1681</v>
      </c>
      <c r="S941">
        <v>17112</v>
      </c>
      <c r="T941" s="1">
        <v>42156</v>
      </c>
      <c r="U941" s="1">
        <v>42157</v>
      </c>
      <c r="V941" s="2">
        <v>-143.23500000000001</v>
      </c>
      <c r="W941">
        <v>22</v>
      </c>
      <c r="X941" s="2">
        <v>2053.6</v>
      </c>
      <c r="Y941">
        <v>91078</v>
      </c>
      <c r="Z941">
        <f t="shared" si="14"/>
        <v>45179.199999999997</v>
      </c>
    </row>
    <row r="942" spans="1:26" x14ac:dyDescent="0.25">
      <c r="A942">
        <v>19481</v>
      </c>
      <c r="B942" t="s">
        <v>37</v>
      </c>
      <c r="C942" s="2">
        <v>0</v>
      </c>
      <c r="D942" s="2">
        <v>6.84</v>
      </c>
      <c r="E942" s="2">
        <v>8.3699999999999992</v>
      </c>
      <c r="F942">
        <v>1692</v>
      </c>
      <c r="G942" t="s">
        <v>1682</v>
      </c>
      <c r="H942" t="s">
        <v>49</v>
      </c>
      <c r="I942" t="s">
        <v>114</v>
      </c>
      <c r="J942" t="s">
        <v>29</v>
      </c>
      <c r="K942" t="s">
        <v>171</v>
      </c>
      <c r="L942" t="s">
        <v>51</v>
      </c>
      <c r="M942" t="s">
        <v>1683</v>
      </c>
      <c r="N942">
        <v>0.57999999999999996</v>
      </c>
      <c r="O942" t="s">
        <v>33</v>
      </c>
      <c r="P942" t="s">
        <v>61</v>
      </c>
      <c r="Q942" t="s">
        <v>180</v>
      </c>
      <c r="R942" t="s">
        <v>325</v>
      </c>
      <c r="S942">
        <v>67114</v>
      </c>
      <c r="T942" s="1">
        <v>42027</v>
      </c>
      <c r="U942" s="1">
        <v>42028</v>
      </c>
      <c r="V942" s="2">
        <v>-123.1816</v>
      </c>
      <c r="W942">
        <v>5</v>
      </c>
      <c r="X942" s="2">
        <v>37.89</v>
      </c>
      <c r="Y942">
        <v>90189</v>
      </c>
      <c r="Z942">
        <f t="shared" si="14"/>
        <v>189.45</v>
      </c>
    </row>
    <row r="943" spans="1:26" x14ac:dyDescent="0.25">
      <c r="A943">
        <v>19482</v>
      </c>
      <c r="B943" t="s">
        <v>37</v>
      </c>
      <c r="C943" s="2">
        <v>7.0000000000000007E-2</v>
      </c>
      <c r="D943" s="2">
        <v>30.98</v>
      </c>
      <c r="E943" s="2">
        <v>5.76</v>
      </c>
      <c r="F943">
        <v>1693</v>
      </c>
      <c r="G943" t="s">
        <v>1684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1331</v>
      </c>
      <c r="N943">
        <v>0.4</v>
      </c>
      <c r="O943" t="s">
        <v>33</v>
      </c>
      <c r="P943" t="s">
        <v>135</v>
      </c>
      <c r="Q943" t="s">
        <v>136</v>
      </c>
      <c r="R943" t="s">
        <v>1685</v>
      </c>
      <c r="S943">
        <v>20190</v>
      </c>
      <c r="T943" s="1">
        <v>42027</v>
      </c>
      <c r="U943" s="1">
        <v>42029</v>
      </c>
      <c r="V943" s="2">
        <v>-28.797999999999998</v>
      </c>
      <c r="W943">
        <v>11</v>
      </c>
      <c r="X943" s="2">
        <v>343.79</v>
      </c>
      <c r="Y943">
        <v>90189</v>
      </c>
      <c r="Z943">
        <f t="shared" si="14"/>
        <v>3781.69</v>
      </c>
    </row>
    <row r="944" spans="1:26" x14ac:dyDescent="0.25">
      <c r="A944">
        <v>21262</v>
      </c>
      <c r="B944" t="s">
        <v>106</v>
      </c>
      <c r="C944" s="2">
        <v>0.01</v>
      </c>
      <c r="D944" s="2">
        <v>15.67</v>
      </c>
      <c r="E944" s="2">
        <v>1.39</v>
      </c>
      <c r="F944">
        <v>1693</v>
      </c>
      <c r="G944" t="s">
        <v>1684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1686</v>
      </c>
      <c r="N944">
        <v>0.38</v>
      </c>
      <c r="O944" t="s">
        <v>33</v>
      </c>
      <c r="P944" t="s">
        <v>135</v>
      </c>
      <c r="Q944" t="s">
        <v>136</v>
      </c>
      <c r="R944" t="s">
        <v>1685</v>
      </c>
      <c r="S944">
        <v>20190</v>
      </c>
      <c r="T944" s="1">
        <v>42135</v>
      </c>
      <c r="U944" s="1">
        <v>42135</v>
      </c>
      <c r="V944" s="2">
        <v>-273.98</v>
      </c>
      <c r="W944">
        <v>11</v>
      </c>
      <c r="X944" s="2">
        <v>188.09</v>
      </c>
      <c r="Y944">
        <v>90190</v>
      </c>
      <c r="Z944">
        <f t="shared" si="14"/>
        <v>2068.9900000000002</v>
      </c>
    </row>
    <row r="945" spans="1:26" x14ac:dyDescent="0.25">
      <c r="A945">
        <v>24941</v>
      </c>
      <c r="B945" t="s">
        <v>56</v>
      </c>
      <c r="C945" s="2">
        <v>0</v>
      </c>
      <c r="D945" s="2">
        <v>13.43</v>
      </c>
      <c r="E945" s="2">
        <v>5.5</v>
      </c>
      <c r="F945">
        <v>1697</v>
      </c>
      <c r="G945" t="s">
        <v>1687</v>
      </c>
      <c r="H945" t="s">
        <v>49</v>
      </c>
      <c r="I945" t="s">
        <v>40</v>
      </c>
      <c r="J945" t="s">
        <v>29</v>
      </c>
      <c r="K945" t="s">
        <v>139</v>
      </c>
      <c r="L945" t="s">
        <v>59</v>
      </c>
      <c r="M945" t="s">
        <v>1688</v>
      </c>
      <c r="N945">
        <v>0.56999999999999995</v>
      </c>
      <c r="O945" t="s">
        <v>33</v>
      </c>
      <c r="P945" t="s">
        <v>135</v>
      </c>
      <c r="Q945" t="s">
        <v>949</v>
      </c>
      <c r="R945" t="s">
        <v>1689</v>
      </c>
      <c r="S945">
        <v>71901</v>
      </c>
      <c r="T945" s="1">
        <v>42020</v>
      </c>
      <c r="U945" s="1">
        <v>42021</v>
      </c>
      <c r="V945" s="2">
        <v>-253.77799999999999</v>
      </c>
      <c r="W945">
        <v>9</v>
      </c>
      <c r="X945" s="2">
        <v>129.54</v>
      </c>
      <c r="Y945">
        <v>86338</v>
      </c>
      <c r="Z945">
        <f t="shared" si="14"/>
        <v>1165.8599999999999</v>
      </c>
    </row>
    <row r="946" spans="1:26" x14ac:dyDescent="0.25">
      <c r="A946">
        <v>18275</v>
      </c>
      <c r="B946" t="s">
        <v>106</v>
      </c>
      <c r="C946" s="2">
        <v>0.05</v>
      </c>
      <c r="D946" s="2">
        <v>3.98</v>
      </c>
      <c r="E946" s="2">
        <v>5.26</v>
      </c>
      <c r="F946">
        <v>1699</v>
      </c>
      <c r="G946" t="s">
        <v>1690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1691</v>
      </c>
      <c r="N946">
        <v>0.38</v>
      </c>
      <c r="O946" t="s">
        <v>33</v>
      </c>
      <c r="P946" t="s">
        <v>53</v>
      </c>
      <c r="Q946" t="s">
        <v>229</v>
      </c>
      <c r="R946" t="s">
        <v>1692</v>
      </c>
      <c r="S946">
        <v>19057</v>
      </c>
      <c r="T946" s="1">
        <v>42088</v>
      </c>
      <c r="U946" s="1">
        <v>42092</v>
      </c>
      <c r="V946" s="2">
        <v>-152.52449999999999</v>
      </c>
      <c r="W946">
        <v>12</v>
      </c>
      <c r="X946" s="2">
        <v>49.44</v>
      </c>
      <c r="Y946">
        <v>87345</v>
      </c>
      <c r="Z946">
        <f t="shared" si="14"/>
        <v>593.28</v>
      </c>
    </row>
    <row r="947" spans="1:26" x14ac:dyDescent="0.25">
      <c r="A947">
        <v>18276</v>
      </c>
      <c r="B947" t="s">
        <v>106</v>
      </c>
      <c r="C947" s="2">
        <v>0.01</v>
      </c>
      <c r="D947" s="2">
        <v>6.48</v>
      </c>
      <c r="E947" s="2">
        <v>5.4</v>
      </c>
      <c r="F947">
        <v>1699</v>
      </c>
      <c r="G947" t="s">
        <v>1690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1693</v>
      </c>
      <c r="N947">
        <v>0.37</v>
      </c>
      <c r="O947" t="s">
        <v>33</v>
      </c>
      <c r="P947" t="s">
        <v>53</v>
      </c>
      <c r="Q947" t="s">
        <v>229</v>
      </c>
      <c r="R947" t="s">
        <v>1692</v>
      </c>
      <c r="S947">
        <v>19057</v>
      </c>
      <c r="T947" s="1">
        <v>42088</v>
      </c>
      <c r="U947" s="1">
        <v>42088</v>
      </c>
      <c r="V947" s="2">
        <v>-18.850000000000001</v>
      </c>
      <c r="W947">
        <v>2</v>
      </c>
      <c r="X947" s="2">
        <v>14.29</v>
      </c>
      <c r="Y947">
        <v>87345</v>
      </c>
      <c r="Z947">
        <f t="shared" si="14"/>
        <v>28.58</v>
      </c>
    </row>
    <row r="948" spans="1:26" x14ac:dyDescent="0.25">
      <c r="A948">
        <v>24158</v>
      </c>
      <c r="B948" t="s">
        <v>56</v>
      </c>
      <c r="C948" s="2">
        <v>0.05</v>
      </c>
      <c r="D948" s="2">
        <v>14.81</v>
      </c>
      <c r="E948" s="2">
        <v>13.32</v>
      </c>
      <c r="F948">
        <v>1702</v>
      </c>
      <c r="G948" t="s">
        <v>1694</v>
      </c>
      <c r="H948" t="s">
        <v>49</v>
      </c>
      <c r="I948" t="s">
        <v>40</v>
      </c>
      <c r="J948" t="s">
        <v>29</v>
      </c>
      <c r="K948" t="s">
        <v>252</v>
      </c>
      <c r="L948" t="s">
        <v>59</v>
      </c>
      <c r="M948" t="s">
        <v>824</v>
      </c>
      <c r="N948">
        <v>0.43</v>
      </c>
      <c r="O948" t="s">
        <v>33</v>
      </c>
      <c r="P948" t="s">
        <v>135</v>
      </c>
      <c r="Q948" t="s">
        <v>663</v>
      </c>
      <c r="R948" t="s">
        <v>1695</v>
      </c>
      <c r="S948">
        <v>39301</v>
      </c>
      <c r="T948" s="1">
        <v>42021</v>
      </c>
      <c r="U948" s="1">
        <v>42024</v>
      </c>
      <c r="V948" s="2">
        <v>-220.05199999999999</v>
      </c>
      <c r="W948">
        <v>3</v>
      </c>
      <c r="X948" s="2">
        <v>45.28</v>
      </c>
      <c r="Y948">
        <v>90473</v>
      </c>
      <c r="Z948">
        <f t="shared" si="14"/>
        <v>135.84</v>
      </c>
    </row>
    <row r="949" spans="1:26" x14ac:dyDescent="0.25">
      <c r="A949">
        <v>24159</v>
      </c>
      <c r="B949" t="s">
        <v>56</v>
      </c>
      <c r="C949" s="2">
        <v>0.05</v>
      </c>
      <c r="D949" s="2">
        <v>4.2</v>
      </c>
      <c r="E949" s="2">
        <v>2.2599999999999998</v>
      </c>
      <c r="F949">
        <v>1702</v>
      </c>
      <c r="G949" t="s">
        <v>1694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1223</v>
      </c>
      <c r="N949">
        <v>0.36</v>
      </c>
      <c r="O949" t="s">
        <v>33</v>
      </c>
      <c r="P949" t="s">
        <v>135</v>
      </c>
      <c r="Q949" t="s">
        <v>663</v>
      </c>
      <c r="R949" t="s">
        <v>1695</v>
      </c>
      <c r="S949">
        <v>39301</v>
      </c>
      <c r="T949" s="1">
        <v>42021</v>
      </c>
      <c r="U949" s="1">
        <v>42023</v>
      </c>
      <c r="V949" s="2">
        <v>20.393370000000001</v>
      </c>
      <c r="W949">
        <v>3</v>
      </c>
      <c r="X949" s="2">
        <v>13.57</v>
      </c>
      <c r="Y949">
        <v>90473</v>
      </c>
      <c r="Z949">
        <f t="shared" si="14"/>
        <v>40.71</v>
      </c>
    </row>
    <row r="950" spans="1:26" x14ac:dyDescent="0.25">
      <c r="A950">
        <v>25761</v>
      </c>
      <c r="B950" t="s">
        <v>56</v>
      </c>
      <c r="C950" s="2">
        <v>0.05</v>
      </c>
      <c r="D950" s="2">
        <v>5.68</v>
      </c>
      <c r="E950" s="2">
        <v>1.39</v>
      </c>
      <c r="F950">
        <v>1708</v>
      </c>
      <c r="G950" t="s">
        <v>1696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989</v>
      </c>
      <c r="N950">
        <v>0.38</v>
      </c>
      <c r="O950" t="s">
        <v>33</v>
      </c>
      <c r="P950" t="s">
        <v>53</v>
      </c>
      <c r="Q950" t="s">
        <v>152</v>
      </c>
      <c r="R950" t="s">
        <v>1697</v>
      </c>
      <c r="S950">
        <v>44118</v>
      </c>
      <c r="T950" s="1">
        <v>42021</v>
      </c>
      <c r="U950" s="1">
        <v>42022</v>
      </c>
      <c r="V950" s="2">
        <v>38.281199999999998</v>
      </c>
      <c r="W950">
        <v>10</v>
      </c>
      <c r="X950" s="2">
        <v>55.48</v>
      </c>
      <c r="Y950">
        <v>88781</v>
      </c>
      <c r="Z950">
        <f t="shared" si="14"/>
        <v>554.79999999999995</v>
      </c>
    </row>
    <row r="951" spans="1:26" x14ac:dyDescent="0.25">
      <c r="A951">
        <v>26037</v>
      </c>
      <c r="B951" t="s">
        <v>37</v>
      </c>
      <c r="C951" s="2">
        <v>0.03</v>
      </c>
      <c r="D951" s="2">
        <v>205.99</v>
      </c>
      <c r="E951" s="2">
        <v>3</v>
      </c>
      <c r="F951">
        <v>1708</v>
      </c>
      <c r="G951" t="s">
        <v>1696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>
        <v>6185</v>
      </c>
      <c r="N951">
        <v>0.57999999999999996</v>
      </c>
      <c r="O951" t="s">
        <v>33</v>
      </c>
      <c r="P951" t="s">
        <v>53</v>
      </c>
      <c r="Q951" t="s">
        <v>152</v>
      </c>
      <c r="R951" t="s">
        <v>1697</v>
      </c>
      <c r="S951">
        <v>44118</v>
      </c>
      <c r="T951" s="1">
        <v>42144</v>
      </c>
      <c r="U951" s="1">
        <v>42145</v>
      </c>
      <c r="V951" s="2">
        <v>3670.3515000000002</v>
      </c>
      <c r="W951">
        <v>29</v>
      </c>
      <c r="X951" s="2">
        <v>5319.35</v>
      </c>
      <c r="Y951">
        <v>88784</v>
      </c>
      <c r="Z951">
        <f t="shared" si="14"/>
        <v>154261.15000000002</v>
      </c>
    </row>
    <row r="952" spans="1:26" x14ac:dyDescent="0.25">
      <c r="A952">
        <v>23822</v>
      </c>
      <c r="B952" t="s">
        <v>37</v>
      </c>
      <c r="C952" s="2">
        <v>0.01</v>
      </c>
      <c r="D952" s="2">
        <v>14.28</v>
      </c>
      <c r="E952" s="2">
        <v>2.99</v>
      </c>
      <c r="F952">
        <v>1709</v>
      </c>
      <c r="G952" t="s">
        <v>1698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1699</v>
      </c>
      <c r="N952">
        <v>0.39</v>
      </c>
      <c r="O952" t="s">
        <v>33</v>
      </c>
      <c r="P952" t="s">
        <v>53</v>
      </c>
      <c r="Q952" t="s">
        <v>229</v>
      </c>
      <c r="R952" t="s">
        <v>1700</v>
      </c>
      <c r="S952">
        <v>19464</v>
      </c>
      <c r="T952" s="1">
        <v>42025</v>
      </c>
      <c r="U952" s="1">
        <v>42026</v>
      </c>
      <c r="V952" s="2">
        <v>21.003499999999999</v>
      </c>
      <c r="W952">
        <v>2</v>
      </c>
      <c r="X952" s="2">
        <v>30.44</v>
      </c>
      <c r="Y952">
        <v>88782</v>
      </c>
      <c r="Z952">
        <f t="shared" si="14"/>
        <v>60.88</v>
      </c>
    </row>
    <row r="953" spans="1:26" x14ac:dyDescent="0.25">
      <c r="A953">
        <v>24577</v>
      </c>
      <c r="B953" t="s">
        <v>56</v>
      </c>
      <c r="C953" s="2">
        <v>0.04</v>
      </c>
      <c r="D953" s="2">
        <v>95.43</v>
      </c>
      <c r="E953" s="2">
        <v>19.989999999999998</v>
      </c>
      <c r="F953">
        <v>1709</v>
      </c>
      <c r="G953" t="s">
        <v>1698</v>
      </c>
      <c r="H953" t="s">
        <v>49</v>
      </c>
      <c r="I953" t="s">
        <v>58</v>
      </c>
      <c r="J953" t="s">
        <v>29</v>
      </c>
      <c r="K953" t="s">
        <v>139</v>
      </c>
      <c r="L953" t="s">
        <v>59</v>
      </c>
      <c r="M953" t="s">
        <v>840</v>
      </c>
      <c r="N953">
        <v>0.79</v>
      </c>
      <c r="O953" t="s">
        <v>33</v>
      </c>
      <c r="P953" t="s">
        <v>53</v>
      </c>
      <c r="Q953" t="s">
        <v>229</v>
      </c>
      <c r="R953" t="s">
        <v>1700</v>
      </c>
      <c r="S953">
        <v>19464</v>
      </c>
      <c r="T953" s="1">
        <v>42134</v>
      </c>
      <c r="U953" s="1">
        <v>42136</v>
      </c>
      <c r="V953" s="2">
        <v>13.536</v>
      </c>
      <c r="W953">
        <v>33</v>
      </c>
      <c r="X953" s="2">
        <v>3251.76</v>
      </c>
      <c r="Y953">
        <v>88783</v>
      </c>
      <c r="Z953">
        <f t="shared" si="14"/>
        <v>107308.08</v>
      </c>
    </row>
    <row r="954" spans="1:26" x14ac:dyDescent="0.25">
      <c r="A954">
        <v>19287</v>
      </c>
      <c r="B954" t="s">
        <v>37</v>
      </c>
      <c r="C954" s="2">
        <v>7.0000000000000007E-2</v>
      </c>
      <c r="D954" s="2">
        <v>7.59</v>
      </c>
      <c r="E954" s="2">
        <v>4</v>
      </c>
      <c r="F954">
        <v>1711</v>
      </c>
      <c r="G954" t="s">
        <v>1701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438</v>
      </c>
      <c r="N954">
        <v>0.42</v>
      </c>
      <c r="O954" t="s">
        <v>33</v>
      </c>
      <c r="P954" t="s">
        <v>135</v>
      </c>
      <c r="Q954" t="s">
        <v>381</v>
      </c>
      <c r="R954" t="s">
        <v>1702</v>
      </c>
      <c r="S954">
        <v>30062</v>
      </c>
      <c r="T954" s="1">
        <v>42079</v>
      </c>
      <c r="U954" s="1">
        <v>42081</v>
      </c>
      <c r="V954" s="2">
        <v>-167.048</v>
      </c>
      <c r="W954">
        <v>3</v>
      </c>
      <c r="X954" s="2">
        <v>22.48</v>
      </c>
      <c r="Y954">
        <v>87747</v>
      </c>
      <c r="Z954">
        <f t="shared" si="14"/>
        <v>67.44</v>
      </c>
    </row>
    <row r="955" spans="1:26" x14ac:dyDescent="0.25">
      <c r="A955">
        <v>21655</v>
      </c>
      <c r="B955" t="s">
        <v>106</v>
      </c>
      <c r="C955" s="2">
        <v>0.03</v>
      </c>
      <c r="D955" s="2">
        <v>11.66</v>
      </c>
      <c r="E955" s="2">
        <v>7.95</v>
      </c>
      <c r="F955">
        <v>1712</v>
      </c>
      <c r="G955" t="s">
        <v>1703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1704</v>
      </c>
      <c r="N955">
        <v>0.57999999999999996</v>
      </c>
      <c r="O955" t="s">
        <v>33</v>
      </c>
      <c r="P955" t="s">
        <v>135</v>
      </c>
      <c r="Q955" t="s">
        <v>381</v>
      </c>
      <c r="R955" t="s">
        <v>1705</v>
      </c>
      <c r="S955">
        <v>30907</v>
      </c>
      <c r="T955" s="1">
        <v>42105</v>
      </c>
      <c r="U955" s="1">
        <v>42114</v>
      </c>
      <c r="V955" s="2">
        <v>-31.094000000000001</v>
      </c>
      <c r="W955">
        <v>22</v>
      </c>
      <c r="X955" s="2">
        <v>267.32</v>
      </c>
      <c r="Y955">
        <v>87749</v>
      </c>
      <c r="Z955">
        <f t="shared" si="14"/>
        <v>5881.04</v>
      </c>
    </row>
    <row r="956" spans="1:26" x14ac:dyDescent="0.25">
      <c r="A956">
        <v>25078</v>
      </c>
      <c r="B956" t="s">
        <v>25</v>
      </c>
      <c r="C956" s="2">
        <v>0.01</v>
      </c>
      <c r="D956" s="2">
        <v>23.99</v>
      </c>
      <c r="E956" s="2">
        <v>6.3</v>
      </c>
      <c r="F956">
        <v>1713</v>
      </c>
      <c r="G956" t="s">
        <v>1706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1707</v>
      </c>
      <c r="N956">
        <v>0.38</v>
      </c>
      <c r="O956" t="s">
        <v>33</v>
      </c>
      <c r="P956" t="s">
        <v>135</v>
      </c>
      <c r="Q956" t="s">
        <v>381</v>
      </c>
      <c r="R956" t="s">
        <v>1708</v>
      </c>
      <c r="S956">
        <v>30265</v>
      </c>
      <c r="T956" s="1">
        <v>42153</v>
      </c>
      <c r="U956" s="1">
        <v>42155</v>
      </c>
      <c r="V956" s="2">
        <v>-6.202</v>
      </c>
      <c r="W956">
        <v>11</v>
      </c>
      <c r="X956" s="2">
        <v>284.39</v>
      </c>
      <c r="Y956">
        <v>87748</v>
      </c>
      <c r="Z956">
        <f t="shared" si="14"/>
        <v>3128.29</v>
      </c>
    </row>
    <row r="957" spans="1:26" x14ac:dyDescent="0.25">
      <c r="A957">
        <v>19884</v>
      </c>
      <c r="B957" t="s">
        <v>106</v>
      </c>
      <c r="C957" s="2">
        <v>0.01</v>
      </c>
      <c r="D957" s="2">
        <v>300.98</v>
      </c>
      <c r="E957" s="2">
        <v>64.73</v>
      </c>
      <c r="F957">
        <v>1718</v>
      </c>
      <c r="G957" t="s">
        <v>1709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1476</v>
      </c>
      <c r="N957">
        <v>0.56000000000000005</v>
      </c>
      <c r="O957" t="s">
        <v>33</v>
      </c>
      <c r="P957" t="s">
        <v>135</v>
      </c>
      <c r="Q957" t="s">
        <v>316</v>
      </c>
      <c r="R957" t="s">
        <v>1710</v>
      </c>
      <c r="S957">
        <v>27529</v>
      </c>
      <c r="T957" s="1">
        <v>42071</v>
      </c>
      <c r="U957" s="1">
        <v>42078</v>
      </c>
      <c r="V957" s="2">
        <v>-48.874000000000002</v>
      </c>
      <c r="W957">
        <v>3</v>
      </c>
      <c r="X957" s="2">
        <v>974.14</v>
      </c>
      <c r="Y957">
        <v>90621</v>
      </c>
      <c r="Z957">
        <f t="shared" si="14"/>
        <v>2922.42</v>
      </c>
    </row>
    <row r="958" spans="1:26" x14ac:dyDescent="0.25">
      <c r="A958">
        <v>20619</v>
      </c>
      <c r="B958" t="s">
        <v>56</v>
      </c>
      <c r="C958" s="2">
        <v>0.06</v>
      </c>
      <c r="D958" s="2">
        <v>16.48</v>
      </c>
      <c r="E958" s="2">
        <v>1.99</v>
      </c>
      <c r="F958">
        <v>1719</v>
      </c>
      <c r="G958" t="s">
        <v>1711</v>
      </c>
      <c r="H958" t="s">
        <v>49</v>
      </c>
      <c r="I958" t="s">
        <v>28</v>
      </c>
      <c r="J958" t="s">
        <v>77</v>
      </c>
      <c r="K958" t="s">
        <v>177</v>
      </c>
      <c r="L958" t="s">
        <v>51</v>
      </c>
      <c r="M958" t="s">
        <v>1459</v>
      </c>
      <c r="N958">
        <v>0.42</v>
      </c>
      <c r="O958" t="s">
        <v>33</v>
      </c>
      <c r="P958" t="s">
        <v>135</v>
      </c>
      <c r="Q958" t="s">
        <v>1266</v>
      </c>
      <c r="R958" t="s">
        <v>1712</v>
      </c>
      <c r="S958">
        <v>35473</v>
      </c>
      <c r="T958" s="1">
        <v>42021</v>
      </c>
      <c r="U958" s="1">
        <v>42023</v>
      </c>
      <c r="V958" s="2">
        <v>-144.59200000000001</v>
      </c>
      <c r="W958">
        <v>8</v>
      </c>
      <c r="X958" s="2">
        <v>128.13</v>
      </c>
      <c r="Y958">
        <v>90786</v>
      </c>
      <c r="Z958">
        <f t="shared" si="14"/>
        <v>1025.04</v>
      </c>
    </row>
    <row r="959" spans="1:26" x14ac:dyDescent="0.25">
      <c r="A959">
        <v>22596</v>
      </c>
      <c r="B959" t="s">
        <v>25</v>
      </c>
      <c r="C959" s="2">
        <v>0.04</v>
      </c>
      <c r="D959" s="2">
        <v>12.44</v>
      </c>
      <c r="E959" s="2">
        <v>6.27</v>
      </c>
      <c r="F959">
        <v>1721</v>
      </c>
      <c r="G959" t="s">
        <v>1713</v>
      </c>
      <c r="H959" t="s">
        <v>49</v>
      </c>
      <c r="I959" t="s">
        <v>28</v>
      </c>
      <c r="J959" t="s">
        <v>29</v>
      </c>
      <c r="K959" t="s">
        <v>139</v>
      </c>
      <c r="L959" t="s">
        <v>86</v>
      </c>
      <c r="M959" t="s">
        <v>1714</v>
      </c>
      <c r="N959">
        <v>0.56999999999999995</v>
      </c>
      <c r="O959" t="s">
        <v>33</v>
      </c>
      <c r="P959" t="s">
        <v>135</v>
      </c>
      <c r="Q959" t="s">
        <v>949</v>
      </c>
      <c r="R959" t="s">
        <v>1715</v>
      </c>
      <c r="S959">
        <v>72401</v>
      </c>
      <c r="T959" s="1">
        <v>42140</v>
      </c>
      <c r="U959" s="1">
        <v>42141</v>
      </c>
      <c r="V959" s="2">
        <v>-258.56599999999997</v>
      </c>
      <c r="W959">
        <v>37</v>
      </c>
      <c r="X959" s="2">
        <v>464.94</v>
      </c>
      <c r="Y959">
        <v>90787</v>
      </c>
      <c r="Z959">
        <f t="shared" si="14"/>
        <v>17202.78</v>
      </c>
    </row>
    <row r="960" spans="1:26" x14ac:dyDescent="0.25">
      <c r="A960">
        <v>5670</v>
      </c>
      <c r="B960" t="s">
        <v>106</v>
      </c>
      <c r="C960" s="2">
        <v>0.1</v>
      </c>
      <c r="D960" s="2">
        <v>49.99</v>
      </c>
      <c r="E960" s="2">
        <v>19.989999999999998</v>
      </c>
      <c r="F960">
        <v>1723</v>
      </c>
      <c r="G960" t="s">
        <v>1716</v>
      </c>
      <c r="H960" t="s">
        <v>27</v>
      </c>
      <c r="I960" t="s">
        <v>28</v>
      </c>
      <c r="J960" t="s">
        <v>77</v>
      </c>
      <c r="K960" t="s">
        <v>177</v>
      </c>
      <c r="L960" t="s">
        <v>59</v>
      </c>
      <c r="M960" t="s">
        <v>1717</v>
      </c>
      <c r="N960">
        <v>0.45</v>
      </c>
      <c r="O960" t="s">
        <v>33</v>
      </c>
      <c r="P960" t="s">
        <v>34</v>
      </c>
      <c r="Q960" t="s">
        <v>45</v>
      </c>
      <c r="R960" t="s">
        <v>1718</v>
      </c>
      <c r="S960">
        <v>92037</v>
      </c>
      <c r="T960" s="1">
        <v>42035</v>
      </c>
      <c r="U960" s="1">
        <v>42040</v>
      </c>
      <c r="V960" s="2">
        <v>13.507999999999999</v>
      </c>
      <c r="W960">
        <v>46</v>
      </c>
      <c r="X960" s="2">
        <v>2188.06</v>
      </c>
      <c r="Y960">
        <v>40101</v>
      </c>
      <c r="Z960">
        <f t="shared" si="14"/>
        <v>100650.76</v>
      </c>
    </row>
    <row r="961" spans="1:26" x14ac:dyDescent="0.25">
      <c r="A961">
        <v>6212</v>
      </c>
      <c r="B961" t="s">
        <v>56</v>
      </c>
      <c r="C961" s="2">
        <v>0.05</v>
      </c>
      <c r="D961" s="2">
        <v>6.68</v>
      </c>
      <c r="E961" s="2">
        <v>5.66</v>
      </c>
      <c r="F961">
        <v>1723</v>
      </c>
      <c r="G961" t="s">
        <v>1716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1153</v>
      </c>
      <c r="N961">
        <v>0.37</v>
      </c>
      <c r="O961" t="s">
        <v>33</v>
      </c>
      <c r="P961" t="s">
        <v>34</v>
      </c>
      <c r="Q961" t="s">
        <v>45</v>
      </c>
      <c r="R961" t="s">
        <v>1718</v>
      </c>
      <c r="S961">
        <v>92037</v>
      </c>
      <c r="T961" s="1">
        <v>42042</v>
      </c>
      <c r="U961" s="1">
        <v>42044</v>
      </c>
      <c r="V961" s="2">
        <v>-66.48</v>
      </c>
      <c r="W961">
        <v>46</v>
      </c>
      <c r="X961" s="2">
        <v>320.93</v>
      </c>
      <c r="Y961">
        <v>44002</v>
      </c>
      <c r="Z961">
        <f t="shared" si="14"/>
        <v>14762.78</v>
      </c>
    </row>
    <row r="962" spans="1:26" x14ac:dyDescent="0.25">
      <c r="A962">
        <v>6213</v>
      </c>
      <c r="B962" t="s">
        <v>56</v>
      </c>
      <c r="C962" s="2">
        <v>0.03</v>
      </c>
      <c r="D962" s="2">
        <v>17.7</v>
      </c>
      <c r="E962" s="2">
        <v>9.4700000000000006</v>
      </c>
      <c r="F962">
        <v>1723</v>
      </c>
      <c r="G962" t="s">
        <v>1716</v>
      </c>
      <c r="H962" t="s">
        <v>49</v>
      </c>
      <c r="I962" t="s">
        <v>28</v>
      </c>
      <c r="J962" t="s">
        <v>29</v>
      </c>
      <c r="K962" t="s">
        <v>139</v>
      </c>
      <c r="L962" t="s">
        <v>59</v>
      </c>
      <c r="M962" t="s">
        <v>1556</v>
      </c>
      <c r="N962">
        <v>0.59</v>
      </c>
      <c r="O962" t="s">
        <v>33</v>
      </c>
      <c r="P962" t="s">
        <v>34</v>
      </c>
      <c r="Q962" t="s">
        <v>45</v>
      </c>
      <c r="R962" t="s">
        <v>1718</v>
      </c>
      <c r="S962">
        <v>92037</v>
      </c>
      <c r="T962" s="1">
        <v>42042</v>
      </c>
      <c r="U962" s="1">
        <v>42042</v>
      </c>
      <c r="V962" s="2">
        <v>-52.33</v>
      </c>
      <c r="W962">
        <v>14</v>
      </c>
      <c r="X962" s="2">
        <v>261.85000000000002</v>
      </c>
      <c r="Y962">
        <v>44002</v>
      </c>
      <c r="Z962">
        <f t="shared" si="14"/>
        <v>3665.9000000000005</v>
      </c>
    </row>
    <row r="963" spans="1:26" x14ac:dyDescent="0.25">
      <c r="A963">
        <v>4596</v>
      </c>
      <c r="B963" t="s">
        <v>25</v>
      </c>
      <c r="C963" s="2">
        <v>0.04</v>
      </c>
      <c r="D963" s="2">
        <v>12.44</v>
      </c>
      <c r="E963" s="2">
        <v>6.27</v>
      </c>
      <c r="F963">
        <v>1723</v>
      </c>
      <c r="G963" t="s">
        <v>1716</v>
      </c>
      <c r="H963" t="s">
        <v>49</v>
      </c>
      <c r="I963" t="s">
        <v>28</v>
      </c>
      <c r="J963" t="s">
        <v>29</v>
      </c>
      <c r="K963" t="s">
        <v>139</v>
      </c>
      <c r="L963" t="s">
        <v>86</v>
      </c>
      <c r="M963" t="s">
        <v>1714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1718</v>
      </c>
      <c r="S963">
        <v>92037</v>
      </c>
      <c r="T963" s="1">
        <v>42140</v>
      </c>
      <c r="U963" s="1">
        <v>42141</v>
      </c>
      <c r="V963" s="2">
        <v>-59.06</v>
      </c>
      <c r="W963">
        <v>146</v>
      </c>
      <c r="X963" s="2">
        <v>1834.61</v>
      </c>
      <c r="Y963">
        <v>32710</v>
      </c>
      <c r="Z963">
        <f t="shared" ref="Z963:Z1026" si="15">W963*X963</f>
        <v>267853.06</v>
      </c>
    </row>
    <row r="964" spans="1:26" x14ac:dyDescent="0.25">
      <c r="A964">
        <v>18244</v>
      </c>
      <c r="B964" t="s">
        <v>25</v>
      </c>
      <c r="C964" s="2">
        <v>0.05</v>
      </c>
      <c r="D964" s="2">
        <v>35.99</v>
      </c>
      <c r="E964" s="2">
        <v>1.1000000000000001</v>
      </c>
      <c r="F964">
        <v>1725</v>
      </c>
      <c r="G964" t="s">
        <v>1719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926</v>
      </c>
      <c r="N964">
        <v>0.55000000000000004</v>
      </c>
      <c r="O964" t="s">
        <v>33</v>
      </c>
      <c r="P964" t="s">
        <v>53</v>
      </c>
      <c r="Q964" t="s">
        <v>152</v>
      </c>
      <c r="R964" t="s">
        <v>1720</v>
      </c>
      <c r="S964">
        <v>43026</v>
      </c>
      <c r="T964" s="1">
        <v>42131</v>
      </c>
      <c r="U964" s="1">
        <v>42133</v>
      </c>
      <c r="V964" s="2">
        <v>149.166</v>
      </c>
      <c r="W964">
        <v>9</v>
      </c>
      <c r="X964" s="2">
        <v>261.56</v>
      </c>
      <c r="Y964">
        <v>87193</v>
      </c>
      <c r="Z964">
        <f t="shared" si="15"/>
        <v>2354.04</v>
      </c>
    </row>
    <row r="965" spans="1:26" x14ac:dyDescent="0.25">
      <c r="A965">
        <v>24872</v>
      </c>
      <c r="B965" t="s">
        <v>37</v>
      </c>
      <c r="C965" s="2">
        <v>0.1</v>
      </c>
      <c r="D965" s="2">
        <v>14.98</v>
      </c>
      <c r="E965" s="2">
        <v>7.69</v>
      </c>
      <c r="F965">
        <v>1727</v>
      </c>
      <c r="G965" t="s">
        <v>1721</v>
      </c>
      <c r="H965" t="s">
        <v>27</v>
      </c>
      <c r="I965" t="s">
        <v>58</v>
      </c>
      <c r="J965" t="s">
        <v>29</v>
      </c>
      <c r="K965" t="s">
        <v>139</v>
      </c>
      <c r="L965" t="s">
        <v>59</v>
      </c>
      <c r="M965" t="s">
        <v>1722</v>
      </c>
      <c r="N965">
        <v>0.56999999999999995</v>
      </c>
      <c r="O965" t="s">
        <v>33</v>
      </c>
      <c r="P965" t="s">
        <v>53</v>
      </c>
      <c r="Q965" t="s">
        <v>152</v>
      </c>
      <c r="R965" t="s">
        <v>1723</v>
      </c>
      <c r="S965">
        <v>44240</v>
      </c>
      <c r="T965" s="1">
        <v>42025</v>
      </c>
      <c r="U965" s="1">
        <v>42027</v>
      </c>
      <c r="V965" s="2">
        <v>-76.900000000000006</v>
      </c>
      <c r="W965">
        <v>8</v>
      </c>
      <c r="X965" s="2">
        <v>114.81</v>
      </c>
      <c r="Y965">
        <v>87194</v>
      </c>
      <c r="Z965">
        <f t="shared" si="15"/>
        <v>918.48</v>
      </c>
    </row>
    <row r="966" spans="1:26" x14ac:dyDescent="0.25">
      <c r="A966">
        <v>26066</v>
      </c>
      <c r="B966" t="s">
        <v>25</v>
      </c>
      <c r="C966" s="2">
        <v>0.04</v>
      </c>
      <c r="D966" s="2">
        <v>55.48</v>
      </c>
      <c r="E966" s="2">
        <v>6.79</v>
      </c>
      <c r="F966">
        <v>1728</v>
      </c>
      <c r="G966" t="s">
        <v>1724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1637</v>
      </c>
      <c r="N966">
        <v>0.37</v>
      </c>
      <c r="O966" t="s">
        <v>33</v>
      </c>
      <c r="P966" t="s">
        <v>53</v>
      </c>
      <c r="Q966" t="s">
        <v>152</v>
      </c>
      <c r="R966" t="s">
        <v>1725</v>
      </c>
      <c r="S966">
        <v>45429</v>
      </c>
      <c r="T966" s="1">
        <v>42057</v>
      </c>
      <c r="U966" s="1">
        <v>42059</v>
      </c>
      <c r="V966" s="2">
        <v>376.88490000000002</v>
      </c>
      <c r="W966">
        <v>10</v>
      </c>
      <c r="X966" s="2">
        <v>546.21</v>
      </c>
      <c r="Y966">
        <v>87195</v>
      </c>
      <c r="Z966">
        <f t="shared" si="15"/>
        <v>5462.1</v>
      </c>
    </row>
    <row r="967" spans="1:26" x14ac:dyDescent="0.25">
      <c r="A967">
        <v>24545</v>
      </c>
      <c r="B967" t="s">
        <v>25</v>
      </c>
      <c r="C967" s="2">
        <v>0.1</v>
      </c>
      <c r="D967" s="2">
        <v>65.989999999999995</v>
      </c>
      <c r="E967" s="2">
        <v>3.99</v>
      </c>
      <c r="F967">
        <v>1730</v>
      </c>
      <c r="G967" t="s">
        <v>1726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1042</v>
      </c>
      <c r="N967">
        <v>0.59</v>
      </c>
      <c r="O967" t="s">
        <v>33</v>
      </c>
      <c r="P967" t="s">
        <v>34</v>
      </c>
      <c r="Q967" t="s">
        <v>1727</v>
      </c>
      <c r="R967" t="s">
        <v>1728</v>
      </c>
      <c r="S967">
        <v>83843</v>
      </c>
      <c r="T967" s="1">
        <v>42101</v>
      </c>
      <c r="U967" s="1">
        <v>42103</v>
      </c>
      <c r="V967" s="2">
        <v>-88.624799999999993</v>
      </c>
      <c r="W967">
        <v>5</v>
      </c>
      <c r="X967" s="2">
        <v>272.86</v>
      </c>
      <c r="Y967">
        <v>90653</v>
      </c>
      <c r="Z967">
        <f t="shared" si="15"/>
        <v>1364.3000000000002</v>
      </c>
    </row>
    <row r="968" spans="1:26" x14ac:dyDescent="0.25">
      <c r="A968">
        <v>566</v>
      </c>
      <c r="B968" t="s">
        <v>37</v>
      </c>
      <c r="C968" s="2">
        <v>0.02</v>
      </c>
      <c r="D968" s="2">
        <v>60.98</v>
      </c>
      <c r="E968" s="2">
        <v>49</v>
      </c>
      <c r="F968">
        <v>1733</v>
      </c>
      <c r="G968" t="s">
        <v>1729</v>
      </c>
      <c r="H968" t="s">
        <v>49</v>
      </c>
      <c r="I968" t="s">
        <v>58</v>
      </c>
      <c r="J968" t="s">
        <v>29</v>
      </c>
      <c r="K968" t="s">
        <v>252</v>
      </c>
      <c r="L968" t="s">
        <v>231</v>
      </c>
      <c r="M968" t="s">
        <v>1570</v>
      </c>
      <c r="N968">
        <v>0.59</v>
      </c>
      <c r="O968" t="s">
        <v>33</v>
      </c>
      <c r="P968" t="s">
        <v>53</v>
      </c>
      <c r="Q968" t="s">
        <v>998</v>
      </c>
      <c r="R968" t="s">
        <v>35</v>
      </c>
      <c r="S968">
        <v>20012</v>
      </c>
      <c r="T968" s="1">
        <v>42098</v>
      </c>
      <c r="U968" s="1">
        <v>42100</v>
      </c>
      <c r="V968" s="2">
        <v>-662.52</v>
      </c>
      <c r="W968">
        <v>34</v>
      </c>
      <c r="X968" s="2">
        <v>2119.54</v>
      </c>
      <c r="Y968">
        <v>3841</v>
      </c>
      <c r="Z968">
        <f t="shared" si="15"/>
        <v>72064.36</v>
      </c>
    </row>
    <row r="969" spans="1:26" x14ac:dyDescent="0.25">
      <c r="A969">
        <v>567</v>
      </c>
      <c r="B969" t="s">
        <v>37</v>
      </c>
      <c r="C969" s="2">
        <v>0.02</v>
      </c>
      <c r="D969" s="2">
        <v>1270.99</v>
      </c>
      <c r="E969" s="2">
        <v>19.989999999999998</v>
      </c>
      <c r="F969">
        <v>1733</v>
      </c>
      <c r="G969" t="s">
        <v>1729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624</v>
      </c>
      <c r="N969">
        <v>0.35</v>
      </c>
      <c r="O969" t="s">
        <v>33</v>
      </c>
      <c r="P969" t="s">
        <v>53</v>
      </c>
      <c r="Q969" t="s">
        <v>998</v>
      </c>
      <c r="R969" t="s">
        <v>35</v>
      </c>
      <c r="S969">
        <v>20012</v>
      </c>
      <c r="T969" s="1">
        <v>42098</v>
      </c>
      <c r="U969" s="1">
        <v>42100</v>
      </c>
      <c r="V969" s="2">
        <v>9228.2255999999998</v>
      </c>
      <c r="W969">
        <v>36</v>
      </c>
      <c r="X969" s="2">
        <v>45737.33</v>
      </c>
      <c r="Y969">
        <v>3841</v>
      </c>
      <c r="Z969">
        <f t="shared" si="15"/>
        <v>1646543.8800000001</v>
      </c>
    </row>
    <row r="970" spans="1:26" x14ac:dyDescent="0.25">
      <c r="A970">
        <v>8389</v>
      </c>
      <c r="B970" t="s">
        <v>25</v>
      </c>
      <c r="C970" s="2">
        <v>0.02</v>
      </c>
      <c r="D970" s="2">
        <v>30.98</v>
      </c>
      <c r="E970" s="2">
        <v>17.079999999999998</v>
      </c>
      <c r="F970">
        <v>1733</v>
      </c>
      <c r="G970" t="s">
        <v>1729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1730</v>
      </c>
      <c r="N970">
        <v>0.4</v>
      </c>
      <c r="O970" t="s">
        <v>33</v>
      </c>
      <c r="P970" t="s">
        <v>53</v>
      </c>
      <c r="Q970" t="s">
        <v>998</v>
      </c>
      <c r="R970" t="s">
        <v>35</v>
      </c>
      <c r="S970">
        <v>20012</v>
      </c>
      <c r="T970" s="1">
        <v>42183</v>
      </c>
      <c r="U970" s="1">
        <v>42184</v>
      </c>
      <c r="V970" s="2">
        <v>-32.28</v>
      </c>
      <c r="W970">
        <v>13</v>
      </c>
      <c r="X970" s="2">
        <v>438.25</v>
      </c>
      <c r="Y970">
        <v>59937</v>
      </c>
      <c r="Z970">
        <f t="shared" si="15"/>
        <v>5697.25</v>
      </c>
    </row>
    <row r="971" spans="1:26" x14ac:dyDescent="0.25">
      <c r="A971">
        <v>18566</v>
      </c>
      <c r="B971" t="s">
        <v>37</v>
      </c>
      <c r="C971" s="2">
        <v>0.02</v>
      </c>
      <c r="D971" s="2">
        <v>60.98</v>
      </c>
      <c r="E971" s="2">
        <v>49</v>
      </c>
      <c r="F971">
        <v>1734</v>
      </c>
      <c r="G971" t="s">
        <v>1731</v>
      </c>
      <c r="H971" t="s">
        <v>49</v>
      </c>
      <c r="I971" t="s">
        <v>58</v>
      </c>
      <c r="J971" t="s">
        <v>29</v>
      </c>
      <c r="K971" t="s">
        <v>252</v>
      </c>
      <c r="L971" t="s">
        <v>231</v>
      </c>
      <c r="M971" t="s">
        <v>1570</v>
      </c>
      <c r="N971">
        <v>0.59</v>
      </c>
      <c r="O971" t="s">
        <v>33</v>
      </c>
      <c r="P971" t="s">
        <v>53</v>
      </c>
      <c r="Q971" t="s">
        <v>71</v>
      </c>
      <c r="R971" t="s">
        <v>1732</v>
      </c>
      <c r="S971">
        <v>10528</v>
      </c>
      <c r="T971" s="1">
        <v>42098</v>
      </c>
      <c r="U971" s="1">
        <v>42100</v>
      </c>
      <c r="V971" s="2">
        <v>-596.26800000000003</v>
      </c>
      <c r="W971">
        <v>9</v>
      </c>
      <c r="X971" s="2">
        <v>561.05999999999995</v>
      </c>
      <c r="Y971">
        <v>88443</v>
      </c>
      <c r="Z971">
        <f t="shared" si="15"/>
        <v>5049.5399999999991</v>
      </c>
    </row>
    <row r="972" spans="1:26" x14ac:dyDescent="0.25">
      <c r="A972">
        <v>18567</v>
      </c>
      <c r="B972" t="s">
        <v>37</v>
      </c>
      <c r="C972" s="2">
        <v>0.02</v>
      </c>
      <c r="D972" s="2">
        <v>1270.99</v>
      </c>
      <c r="E972" s="2">
        <v>19.989999999999998</v>
      </c>
      <c r="F972">
        <v>1734</v>
      </c>
      <c r="G972" t="s">
        <v>1731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624</v>
      </c>
      <c r="N972">
        <v>0.35</v>
      </c>
      <c r="O972" t="s">
        <v>33</v>
      </c>
      <c r="P972" t="s">
        <v>53</v>
      </c>
      <c r="Q972" t="s">
        <v>71</v>
      </c>
      <c r="R972" t="s">
        <v>1732</v>
      </c>
      <c r="S972">
        <v>10528</v>
      </c>
      <c r="T972" s="1">
        <v>42098</v>
      </c>
      <c r="U972" s="1">
        <v>42100</v>
      </c>
      <c r="V972" s="2">
        <v>7889.6877000000004</v>
      </c>
      <c r="W972">
        <v>9</v>
      </c>
      <c r="X972" s="2">
        <v>11434.33</v>
      </c>
      <c r="Y972">
        <v>88443</v>
      </c>
      <c r="Z972">
        <f t="shared" si="15"/>
        <v>102908.97</v>
      </c>
    </row>
    <row r="973" spans="1:26" x14ac:dyDescent="0.25">
      <c r="A973">
        <v>18568</v>
      </c>
      <c r="B973" t="s">
        <v>37</v>
      </c>
      <c r="C973" s="2">
        <v>0.05</v>
      </c>
      <c r="D973" s="2">
        <v>205.99</v>
      </c>
      <c r="E973" s="2">
        <v>8.99</v>
      </c>
      <c r="F973">
        <v>1734</v>
      </c>
      <c r="G973" t="s">
        <v>1731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1529</v>
      </c>
      <c r="N973">
        <v>0.6</v>
      </c>
      <c r="O973" t="s">
        <v>33</v>
      </c>
      <c r="P973" t="s">
        <v>53</v>
      </c>
      <c r="Q973" t="s">
        <v>71</v>
      </c>
      <c r="R973" t="s">
        <v>1732</v>
      </c>
      <c r="S973">
        <v>10528</v>
      </c>
      <c r="T973" s="1">
        <v>42098</v>
      </c>
      <c r="U973" s="1">
        <v>42100</v>
      </c>
      <c r="V973" s="2">
        <v>1545.8097600000001</v>
      </c>
      <c r="W973">
        <v>19</v>
      </c>
      <c r="X973" s="2">
        <v>3229.24</v>
      </c>
      <c r="Y973">
        <v>88443</v>
      </c>
      <c r="Z973">
        <f t="shared" si="15"/>
        <v>61355.56</v>
      </c>
    </row>
    <row r="974" spans="1:26" x14ac:dyDescent="0.25">
      <c r="A974">
        <v>26389</v>
      </c>
      <c r="B974" t="s">
        <v>25</v>
      </c>
      <c r="C974" s="2">
        <v>0.02</v>
      </c>
      <c r="D974" s="2">
        <v>30.98</v>
      </c>
      <c r="E974" s="2">
        <v>17.079999999999998</v>
      </c>
      <c r="F974">
        <v>1735</v>
      </c>
      <c r="G974" t="s">
        <v>1733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1730</v>
      </c>
      <c r="N974">
        <v>0.4</v>
      </c>
      <c r="O974" t="s">
        <v>33</v>
      </c>
      <c r="P974" t="s">
        <v>53</v>
      </c>
      <c r="Q974" t="s">
        <v>71</v>
      </c>
      <c r="R974" t="s">
        <v>1734</v>
      </c>
      <c r="S974">
        <v>11550</v>
      </c>
      <c r="T974" s="1">
        <v>42183</v>
      </c>
      <c r="U974" s="1">
        <v>42184</v>
      </c>
      <c r="V974" s="2">
        <v>-16.14</v>
      </c>
      <c r="W974">
        <v>3</v>
      </c>
      <c r="X974" s="2">
        <v>101.13</v>
      </c>
      <c r="Y974">
        <v>88444</v>
      </c>
      <c r="Z974">
        <f t="shared" si="15"/>
        <v>303.39</v>
      </c>
    </row>
    <row r="975" spans="1:26" x14ac:dyDescent="0.25">
      <c r="A975">
        <v>18012</v>
      </c>
      <c r="B975" t="s">
        <v>37</v>
      </c>
      <c r="C975" s="2">
        <v>0.09</v>
      </c>
      <c r="D975" s="2">
        <v>30.93</v>
      </c>
      <c r="E975" s="2">
        <v>3.92</v>
      </c>
      <c r="F975">
        <v>1737</v>
      </c>
      <c r="G975" t="s">
        <v>1735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1736</v>
      </c>
      <c r="N975">
        <v>0.44</v>
      </c>
      <c r="O975" t="s">
        <v>33</v>
      </c>
      <c r="P975" t="s">
        <v>135</v>
      </c>
      <c r="Q975" t="s">
        <v>316</v>
      </c>
      <c r="R975" t="s">
        <v>1710</v>
      </c>
      <c r="S975">
        <v>27529</v>
      </c>
      <c r="T975" s="1">
        <v>42158</v>
      </c>
      <c r="U975" s="1">
        <v>42160</v>
      </c>
      <c r="V975" s="2">
        <v>-130.42400000000001</v>
      </c>
      <c r="W975">
        <v>16</v>
      </c>
      <c r="X975" s="2">
        <v>451.83</v>
      </c>
      <c r="Y975">
        <v>85866</v>
      </c>
      <c r="Z975">
        <f t="shared" si="15"/>
        <v>7229.28</v>
      </c>
    </row>
    <row r="976" spans="1:26" x14ac:dyDescent="0.25">
      <c r="A976">
        <v>18013</v>
      </c>
      <c r="B976" t="s">
        <v>37</v>
      </c>
      <c r="C976" s="2">
        <v>0.03</v>
      </c>
      <c r="D976" s="2">
        <v>1.68</v>
      </c>
      <c r="E976" s="2">
        <v>0.7</v>
      </c>
      <c r="F976">
        <v>1737</v>
      </c>
      <c r="G976" t="s">
        <v>1735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1737</v>
      </c>
      <c r="N976">
        <v>0.6</v>
      </c>
      <c r="O976" t="s">
        <v>33</v>
      </c>
      <c r="P976" t="s">
        <v>135</v>
      </c>
      <c r="Q976" t="s">
        <v>316</v>
      </c>
      <c r="R976" t="s">
        <v>1710</v>
      </c>
      <c r="S976">
        <v>27529</v>
      </c>
      <c r="T976" s="1">
        <v>42158</v>
      </c>
      <c r="U976" s="1">
        <v>42160</v>
      </c>
      <c r="V976" s="2">
        <v>-106.42100000000001</v>
      </c>
      <c r="W976">
        <v>11</v>
      </c>
      <c r="X976" s="2">
        <v>20.239999999999998</v>
      </c>
      <c r="Y976">
        <v>85866</v>
      </c>
      <c r="Z976">
        <f t="shared" si="15"/>
        <v>222.64</v>
      </c>
    </row>
    <row r="977" spans="1:26" x14ac:dyDescent="0.25">
      <c r="A977">
        <v>18306</v>
      </c>
      <c r="B977" t="s">
        <v>56</v>
      </c>
      <c r="C977" s="2">
        <v>0.08</v>
      </c>
      <c r="D977" s="2">
        <v>175.99</v>
      </c>
      <c r="E977" s="2">
        <v>4.99</v>
      </c>
      <c r="F977">
        <v>1738</v>
      </c>
      <c r="G977" t="s">
        <v>1738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>
        <v>5165</v>
      </c>
      <c r="N977">
        <v>0.59</v>
      </c>
      <c r="O977" t="s">
        <v>33</v>
      </c>
      <c r="P977" t="s">
        <v>135</v>
      </c>
      <c r="Q977" t="s">
        <v>316</v>
      </c>
      <c r="R977" t="s">
        <v>1739</v>
      </c>
      <c r="S977">
        <v>28052</v>
      </c>
      <c r="T977" s="1">
        <v>42091</v>
      </c>
      <c r="U977" s="1">
        <v>42091</v>
      </c>
      <c r="V977" s="2">
        <v>-16476.838</v>
      </c>
      <c r="W977">
        <v>10</v>
      </c>
      <c r="X977" s="2">
        <v>1486.34</v>
      </c>
      <c r="Y977">
        <v>85865</v>
      </c>
      <c r="Z977">
        <f t="shared" si="15"/>
        <v>14863.4</v>
      </c>
    </row>
    <row r="978" spans="1:26" x14ac:dyDescent="0.25">
      <c r="A978">
        <v>18804</v>
      </c>
      <c r="B978" t="s">
        <v>106</v>
      </c>
      <c r="C978" s="2">
        <v>0.04</v>
      </c>
      <c r="D978" s="2">
        <v>35.44</v>
      </c>
      <c r="E978" s="2">
        <v>19.989999999999998</v>
      </c>
      <c r="F978">
        <v>1738</v>
      </c>
      <c r="G978" t="s">
        <v>1738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1740</v>
      </c>
      <c r="N978">
        <v>0.38</v>
      </c>
      <c r="O978" t="s">
        <v>33</v>
      </c>
      <c r="P978" t="s">
        <v>135</v>
      </c>
      <c r="Q978" t="s">
        <v>316</v>
      </c>
      <c r="R978" t="s">
        <v>1739</v>
      </c>
      <c r="S978">
        <v>28052</v>
      </c>
      <c r="T978" s="1">
        <v>42169</v>
      </c>
      <c r="U978" s="1">
        <v>42176</v>
      </c>
      <c r="V978" s="2">
        <v>-108.27249999999999</v>
      </c>
      <c r="W978">
        <v>11</v>
      </c>
      <c r="X978" s="2">
        <v>406.26</v>
      </c>
      <c r="Y978">
        <v>85868</v>
      </c>
      <c r="Z978">
        <f t="shared" si="15"/>
        <v>4468.8599999999997</v>
      </c>
    </row>
    <row r="979" spans="1:26" x14ac:dyDescent="0.25">
      <c r="A979">
        <v>22593</v>
      </c>
      <c r="B979" t="s">
        <v>25</v>
      </c>
      <c r="C979" s="2">
        <v>0.09</v>
      </c>
      <c r="D979" s="2">
        <v>349.45</v>
      </c>
      <c r="E979" s="2">
        <v>60</v>
      </c>
      <c r="F979">
        <v>1739</v>
      </c>
      <c r="G979" t="s">
        <v>1741</v>
      </c>
      <c r="H979" t="s">
        <v>39</v>
      </c>
      <c r="I979" t="s">
        <v>28</v>
      </c>
      <c r="J979" t="s">
        <v>41</v>
      </c>
      <c r="K979" t="s">
        <v>150</v>
      </c>
      <c r="L979" t="s">
        <v>43</v>
      </c>
      <c r="M979" t="s">
        <v>980</v>
      </c>
      <c r="O979" t="s">
        <v>33</v>
      </c>
      <c r="P979" t="s">
        <v>135</v>
      </c>
      <c r="Q979" t="s">
        <v>316</v>
      </c>
      <c r="R979" t="s">
        <v>1742</v>
      </c>
      <c r="S979">
        <v>27534</v>
      </c>
      <c r="T979" s="1">
        <v>42127</v>
      </c>
      <c r="U979" s="1">
        <v>42128</v>
      </c>
      <c r="V979" s="2">
        <v>-90.748000000000005</v>
      </c>
      <c r="W979">
        <v>17</v>
      </c>
      <c r="X979" s="2">
        <v>5835.41</v>
      </c>
      <c r="Y979">
        <v>85867</v>
      </c>
      <c r="Z979">
        <f t="shared" si="15"/>
        <v>99201.97</v>
      </c>
    </row>
    <row r="980" spans="1:26" x14ac:dyDescent="0.25">
      <c r="A980">
        <v>20591</v>
      </c>
      <c r="B980" t="s">
        <v>56</v>
      </c>
      <c r="C980" s="2">
        <v>0</v>
      </c>
      <c r="D980" s="2">
        <v>55.99</v>
      </c>
      <c r="E980" s="2">
        <v>2.5</v>
      </c>
      <c r="F980">
        <v>1743</v>
      </c>
      <c r="G980" t="s">
        <v>1743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1744</v>
      </c>
      <c r="N980">
        <v>0.83</v>
      </c>
      <c r="O980" t="s">
        <v>33</v>
      </c>
      <c r="P980" t="s">
        <v>61</v>
      </c>
      <c r="Q980" t="s">
        <v>129</v>
      </c>
      <c r="R980" t="s">
        <v>1641</v>
      </c>
      <c r="S980">
        <v>77546</v>
      </c>
      <c r="T980" s="1">
        <v>42047</v>
      </c>
      <c r="U980" s="1">
        <v>42049</v>
      </c>
      <c r="V980" s="2">
        <v>-121.05808</v>
      </c>
      <c r="W980">
        <v>1</v>
      </c>
      <c r="X980" s="2">
        <v>52.1</v>
      </c>
      <c r="Y980">
        <v>91025</v>
      </c>
      <c r="Z980">
        <f t="shared" si="15"/>
        <v>52.1</v>
      </c>
    </row>
    <row r="981" spans="1:26" x14ac:dyDescent="0.25">
      <c r="A981">
        <v>2571</v>
      </c>
      <c r="B981" t="s">
        <v>37</v>
      </c>
      <c r="C981" s="2">
        <v>0.02</v>
      </c>
      <c r="D981" s="2">
        <v>4.13</v>
      </c>
      <c r="E981" s="2">
        <v>6.89</v>
      </c>
      <c r="F981">
        <v>1745</v>
      </c>
      <c r="G981" t="s">
        <v>1745</v>
      </c>
      <c r="H981" t="s">
        <v>49</v>
      </c>
      <c r="I981" t="s">
        <v>40</v>
      </c>
      <c r="J981" t="s">
        <v>29</v>
      </c>
      <c r="K981" t="s">
        <v>133</v>
      </c>
      <c r="L981" t="s">
        <v>59</v>
      </c>
      <c r="M981" t="s">
        <v>1746</v>
      </c>
      <c r="N981">
        <v>0.39</v>
      </c>
      <c r="O981" t="s">
        <v>33</v>
      </c>
      <c r="P981" t="s">
        <v>135</v>
      </c>
      <c r="Q981" t="s">
        <v>381</v>
      </c>
      <c r="R981" t="s">
        <v>573</v>
      </c>
      <c r="S981">
        <v>30305</v>
      </c>
      <c r="T981" s="1">
        <v>42013</v>
      </c>
      <c r="U981" s="1">
        <v>42014</v>
      </c>
      <c r="V981" s="2">
        <v>-51.737000000000002</v>
      </c>
      <c r="W981">
        <v>9</v>
      </c>
      <c r="X981" s="2">
        <v>45.87</v>
      </c>
      <c r="Y981">
        <v>18561</v>
      </c>
      <c r="Z981">
        <f t="shared" si="15"/>
        <v>412.83</v>
      </c>
    </row>
    <row r="982" spans="1:26" x14ac:dyDescent="0.25">
      <c r="A982">
        <v>1863</v>
      </c>
      <c r="B982" t="s">
        <v>106</v>
      </c>
      <c r="C982" s="2">
        <v>0.04</v>
      </c>
      <c r="D982" s="2">
        <v>60.65</v>
      </c>
      <c r="E982" s="2">
        <v>12.23</v>
      </c>
      <c r="F982">
        <v>1745</v>
      </c>
      <c r="G982" t="s">
        <v>1745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1747</v>
      </c>
      <c r="N982">
        <v>0.64</v>
      </c>
      <c r="O982" t="s">
        <v>33</v>
      </c>
      <c r="P982" t="s">
        <v>135</v>
      </c>
      <c r="Q982" t="s">
        <v>381</v>
      </c>
      <c r="R982" t="s">
        <v>573</v>
      </c>
      <c r="S982">
        <v>30305</v>
      </c>
      <c r="T982" s="1">
        <v>42049</v>
      </c>
      <c r="U982" s="1">
        <v>42051</v>
      </c>
      <c r="V982" s="2">
        <v>116.5063</v>
      </c>
      <c r="W982">
        <v>4</v>
      </c>
      <c r="X982" s="2">
        <v>256.77</v>
      </c>
      <c r="Y982">
        <v>13408</v>
      </c>
      <c r="Z982">
        <f t="shared" si="15"/>
        <v>1027.08</v>
      </c>
    </row>
    <row r="983" spans="1:26" x14ac:dyDescent="0.25">
      <c r="A983">
        <v>1692</v>
      </c>
      <c r="B983" t="s">
        <v>25</v>
      </c>
      <c r="C983" s="2">
        <v>0.04</v>
      </c>
      <c r="D983" s="2">
        <v>124.49</v>
      </c>
      <c r="E983" s="2">
        <v>51.94</v>
      </c>
      <c r="F983">
        <v>1745</v>
      </c>
      <c r="G983" t="s">
        <v>1745</v>
      </c>
      <c r="H983" t="s">
        <v>39</v>
      </c>
      <c r="I983" t="s">
        <v>114</v>
      </c>
      <c r="J983" t="s">
        <v>41</v>
      </c>
      <c r="K983" t="s">
        <v>150</v>
      </c>
      <c r="L983" t="s">
        <v>120</v>
      </c>
      <c r="M983" t="s">
        <v>456</v>
      </c>
      <c r="N983">
        <v>0.63</v>
      </c>
      <c r="O983" t="s">
        <v>33</v>
      </c>
      <c r="P983" t="s">
        <v>135</v>
      </c>
      <c r="Q983" t="s">
        <v>381</v>
      </c>
      <c r="R983" t="s">
        <v>573</v>
      </c>
      <c r="S983">
        <v>30305</v>
      </c>
      <c r="T983" s="1">
        <v>42167</v>
      </c>
      <c r="U983" s="1">
        <v>42169</v>
      </c>
      <c r="V983" s="2">
        <v>-247.55157</v>
      </c>
      <c r="W983">
        <v>4</v>
      </c>
      <c r="X983" s="2">
        <v>605.82000000000005</v>
      </c>
      <c r="Y983">
        <v>12224</v>
      </c>
      <c r="Z983">
        <f t="shared" si="15"/>
        <v>2423.2800000000002</v>
      </c>
    </row>
    <row r="984" spans="1:26" x14ac:dyDescent="0.25">
      <c r="A984">
        <v>1693</v>
      </c>
      <c r="B984" t="s">
        <v>25</v>
      </c>
      <c r="C984" s="2">
        <v>0.1</v>
      </c>
      <c r="D984" s="2">
        <v>35.99</v>
      </c>
      <c r="E984" s="2">
        <v>5</v>
      </c>
      <c r="F984">
        <v>1745</v>
      </c>
      <c r="G984" t="s">
        <v>1745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1748</v>
      </c>
      <c r="N984">
        <v>0.82</v>
      </c>
      <c r="O984" t="s">
        <v>33</v>
      </c>
      <c r="P984" t="s">
        <v>135</v>
      </c>
      <c r="Q984" t="s">
        <v>381</v>
      </c>
      <c r="R984" t="s">
        <v>573</v>
      </c>
      <c r="S984">
        <v>30305</v>
      </c>
      <c r="T984" s="1">
        <v>42167</v>
      </c>
      <c r="U984" s="1">
        <v>42167</v>
      </c>
      <c r="V984" s="2">
        <v>-277.20924000000002</v>
      </c>
      <c r="W984">
        <v>54</v>
      </c>
      <c r="X984" s="2">
        <v>1569</v>
      </c>
      <c r="Y984">
        <v>12224</v>
      </c>
      <c r="Z984">
        <f t="shared" si="15"/>
        <v>84726</v>
      </c>
    </row>
    <row r="985" spans="1:26" x14ac:dyDescent="0.25">
      <c r="A985">
        <v>19692</v>
      </c>
      <c r="B985" t="s">
        <v>25</v>
      </c>
      <c r="C985" s="2">
        <v>0.04</v>
      </c>
      <c r="D985" s="2">
        <v>124.49</v>
      </c>
      <c r="E985" s="2">
        <v>51.94</v>
      </c>
      <c r="F985">
        <v>1748</v>
      </c>
      <c r="G985" t="s">
        <v>1749</v>
      </c>
      <c r="H985" t="s">
        <v>39</v>
      </c>
      <c r="I985" t="s">
        <v>114</v>
      </c>
      <c r="J985" t="s">
        <v>41</v>
      </c>
      <c r="K985" t="s">
        <v>150</v>
      </c>
      <c r="L985" t="s">
        <v>120</v>
      </c>
      <c r="M985" t="s">
        <v>456</v>
      </c>
      <c r="N985">
        <v>0.63</v>
      </c>
      <c r="O985" t="s">
        <v>33</v>
      </c>
      <c r="P985" t="s">
        <v>61</v>
      </c>
      <c r="Q985" t="s">
        <v>299</v>
      </c>
      <c r="R985" t="s">
        <v>1750</v>
      </c>
      <c r="S985">
        <v>73703</v>
      </c>
      <c r="T985" s="1">
        <v>42167</v>
      </c>
      <c r="U985" s="1">
        <v>42169</v>
      </c>
      <c r="V985" s="2">
        <v>-93.064499999999995</v>
      </c>
      <c r="W985">
        <v>1</v>
      </c>
      <c r="X985" s="2">
        <v>151.46</v>
      </c>
      <c r="Y985">
        <v>87245</v>
      </c>
      <c r="Z985">
        <f t="shared" si="15"/>
        <v>151.46</v>
      </c>
    </row>
    <row r="986" spans="1:26" x14ac:dyDescent="0.25">
      <c r="A986">
        <v>20571</v>
      </c>
      <c r="B986" t="s">
        <v>37</v>
      </c>
      <c r="C986" s="2">
        <v>0.02</v>
      </c>
      <c r="D986" s="2">
        <v>4.13</v>
      </c>
      <c r="E986" s="2">
        <v>6.89</v>
      </c>
      <c r="F986">
        <v>1749</v>
      </c>
      <c r="G986" t="s">
        <v>1751</v>
      </c>
      <c r="H986" t="s">
        <v>49</v>
      </c>
      <c r="I986" t="s">
        <v>40</v>
      </c>
      <c r="J986" t="s">
        <v>29</v>
      </c>
      <c r="K986" t="s">
        <v>133</v>
      </c>
      <c r="L986" t="s">
        <v>59</v>
      </c>
      <c r="M986" t="s">
        <v>1746</v>
      </c>
      <c r="N986">
        <v>0.39</v>
      </c>
      <c r="O986" t="s">
        <v>33</v>
      </c>
      <c r="P986" t="s">
        <v>61</v>
      </c>
      <c r="Q986" t="s">
        <v>299</v>
      </c>
      <c r="R986" t="s">
        <v>1752</v>
      </c>
      <c r="S986">
        <v>73505</v>
      </c>
      <c r="T986" s="1">
        <v>42013</v>
      </c>
      <c r="U986" s="1">
        <v>42014</v>
      </c>
      <c r="V986" s="2">
        <v>-48.235999999999997</v>
      </c>
      <c r="W986">
        <v>2</v>
      </c>
      <c r="X986" s="2">
        <v>10.19</v>
      </c>
      <c r="Y986">
        <v>87243</v>
      </c>
      <c r="Z986">
        <f t="shared" si="15"/>
        <v>20.38</v>
      </c>
    </row>
    <row r="987" spans="1:26" x14ac:dyDescent="0.25">
      <c r="A987">
        <v>19863</v>
      </c>
      <c r="B987" t="s">
        <v>106</v>
      </c>
      <c r="C987" s="2">
        <v>0.04</v>
      </c>
      <c r="D987" s="2">
        <v>60.65</v>
      </c>
      <c r="E987" s="2">
        <v>12.23</v>
      </c>
      <c r="F987">
        <v>1749</v>
      </c>
      <c r="G987" t="s">
        <v>1751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1747</v>
      </c>
      <c r="N987">
        <v>0.64</v>
      </c>
      <c r="O987" t="s">
        <v>33</v>
      </c>
      <c r="P987" t="s">
        <v>61</v>
      </c>
      <c r="Q987" t="s">
        <v>299</v>
      </c>
      <c r="R987" t="s">
        <v>1752</v>
      </c>
      <c r="S987">
        <v>73505</v>
      </c>
      <c r="T987" s="1">
        <v>42049</v>
      </c>
      <c r="U987" s="1">
        <v>42051</v>
      </c>
      <c r="V987" s="2">
        <v>44.2911</v>
      </c>
      <c r="W987">
        <v>1</v>
      </c>
      <c r="X987" s="2">
        <v>64.19</v>
      </c>
      <c r="Y987">
        <v>87244</v>
      </c>
      <c r="Z987">
        <f t="shared" si="15"/>
        <v>64.19</v>
      </c>
    </row>
    <row r="988" spans="1:26" x14ac:dyDescent="0.25">
      <c r="A988">
        <v>19477</v>
      </c>
      <c r="B988" t="s">
        <v>106</v>
      </c>
      <c r="C988" s="2">
        <v>0.04</v>
      </c>
      <c r="D988" s="2">
        <v>8.5</v>
      </c>
      <c r="E988" s="2">
        <v>1.99</v>
      </c>
      <c r="F988">
        <v>1754</v>
      </c>
      <c r="G988" t="s">
        <v>1753</v>
      </c>
      <c r="H988" t="s">
        <v>49</v>
      </c>
      <c r="I988" t="s">
        <v>114</v>
      </c>
      <c r="J988" t="s">
        <v>77</v>
      </c>
      <c r="K988" t="s">
        <v>177</v>
      </c>
      <c r="L988" t="s">
        <v>51</v>
      </c>
      <c r="M988" t="s">
        <v>838</v>
      </c>
      <c r="N988">
        <v>0.49</v>
      </c>
      <c r="O988" t="s">
        <v>33</v>
      </c>
      <c r="P988" t="s">
        <v>34</v>
      </c>
      <c r="Q988" t="s">
        <v>45</v>
      </c>
      <c r="R988" t="s">
        <v>1754</v>
      </c>
      <c r="S988">
        <v>90503</v>
      </c>
      <c r="T988" s="1">
        <v>42062</v>
      </c>
      <c r="U988" s="1">
        <v>42063</v>
      </c>
      <c r="V988" s="2">
        <v>43.275199999999998</v>
      </c>
      <c r="W988">
        <v>14</v>
      </c>
      <c r="X988" s="2">
        <v>118.57</v>
      </c>
      <c r="Y988">
        <v>90178</v>
      </c>
      <c r="Z988">
        <f t="shared" si="15"/>
        <v>1659.98</v>
      </c>
    </row>
    <row r="989" spans="1:26" x14ac:dyDescent="0.25">
      <c r="A989">
        <v>19478</v>
      </c>
      <c r="B989" t="s">
        <v>106</v>
      </c>
      <c r="C989" s="2">
        <v>0.1</v>
      </c>
      <c r="D989" s="2">
        <v>15.99</v>
      </c>
      <c r="E989" s="2">
        <v>9.4</v>
      </c>
      <c r="F989">
        <v>1754</v>
      </c>
      <c r="G989" t="s">
        <v>1753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1755</v>
      </c>
      <c r="N989">
        <v>0.49</v>
      </c>
      <c r="O989" t="s">
        <v>33</v>
      </c>
      <c r="P989" t="s">
        <v>34</v>
      </c>
      <c r="Q989" t="s">
        <v>45</v>
      </c>
      <c r="R989" t="s">
        <v>1754</v>
      </c>
      <c r="S989">
        <v>90503</v>
      </c>
      <c r="T989" s="1">
        <v>42062</v>
      </c>
      <c r="U989" s="1">
        <v>42062</v>
      </c>
      <c r="V989" s="2">
        <v>-36.214619999999996</v>
      </c>
      <c r="W989">
        <v>5</v>
      </c>
      <c r="X989" s="2">
        <v>79.47</v>
      </c>
      <c r="Y989">
        <v>90178</v>
      </c>
      <c r="Z989">
        <f t="shared" si="15"/>
        <v>397.35</v>
      </c>
    </row>
    <row r="990" spans="1:26" x14ac:dyDescent="0.25">
      <c r="A990">
        <v>19479</v>
      </c>
      <c r="B990" t="s">
        <v>106</v>
      </c>
      <c r="C990" s="2">
        <v>0.09</v>
      </c>
      <c r="D990" s="2">
        <v>95.99</v>
      </c>
      <c r="E990" s="2">
        <v>8.99</v>
      </c>
      <c r="F990">
        <v>1754</v>
      </c>
      <c r="G990" t="s">
        <v>1753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1756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1754</v>
      </c>
      <c r="S990">
        <v>90503</v>
      </c>
      <c r="T990" s="1">
        <v>42062</v>
      </c>
      <c r="U990" s="1">
        <v>42066</v>
      </c>
      <c r="V990" s="2">
        <v>7.0329600000000001</v>
      </c>
      <c r="W990">
        <v>8</v>
      </c>
      <c r="X990" s="2">
        <v>627.28</v>
      </c>
      <c r="Y990">
        <v>90178</v>
      </c>
      <c r="Z990">
        <f t="shared" si="15"/>
        <v>5018.24</v>
      </c>
    </row>
    <row r="991" spans="1:26" x14ac:dyDescent="0.25">
      <c r="A991">
        <v>25920</v>
      </c>
      <c r="B991" t="s">
        <v>25</v>
      </c>
      <c r="C991" s="2">
        <v>0</v>
      </c>
      <c r="D991" s="2">
        <v>115.99</v>
      </c>
      <c r="E991" s="2">
        <v>5.92</v>
      </c>
      <c r="F991">
        <v>1764</v>
      </c>
      <c r="G991" t="s">
        <v>1757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>
        <v>8890</v>
      </c>
      <c r="N991">
        <v>0.57999999999999996</v>
      </c>
      <c r="O991" t="s">
        <v>33</v>
      </c>
      <c r="P991" t="s">
        <v>135</v>
      </c>
      <c r="Q991" t="s">
        <v>356</v>
      </c>
      <c r="R991" t="s">
        <v>1758</v>
      </c>
      <c r="S991">
        <v>34698</v>
      </c>
      <c r="T991" s="1">
        <v>42026</v>
      </c>
      <c r="U991" s="1">
        <v>42026</v>
      </c>
      <c r="V991" s="2">
        <v>-16.771999999999998</v>
      </c>
      <c r="W991">
        <v>11</v>
      </c>
      <c r="X991" s="2">
        <v>1160.42</v>
      </c>
      <c r="Y991">
        <v>89775</v>
      </c>
      <c r="Z991">
        <f t="shared" si="15"/>
        <v>12764.62</v>
      </c>
    </row>
    <row r="992" spans="1:26" x14ac:dyDescent="0.25">
      <c r="A992">
        <v>25608</v>
      </c>
      <c r="B992" t="s">
        <v>25</v>
      </c>
      <c r="C992" s="2">
        <v>0.06</v>
      </c>
      <c r="D992" s="2">
        <v>19.98</v>
      </c>
      <c r="E992" s="2">
        <v>10.49</v>
      </c>
      <c r="F992">
        <v>1764</v>
      </c>
      <c r="G992" t="s">
        <v>1757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1759</v>
      </c>
      <c r="N992">
        <v>0.49</v>
      </c>
      <c r="O992" t="s">
        <v>33</v>
      </c>
      <c r="P992" t="s">
        <v>135</v>
      </c>
      <c r="Q992" t="s">
        <v>356</v>
      </c>
      <c r="R992" t="s">
        <v>1758</v>
      </c>
      <c r="S992">
        <v>34698</v>
      </c>
      <c r="T992" s="1">
        <v>42064</v>
      </c>
      <c r="U992" s="1">
        <v>42066</v>
      </c>
      <c r="V992" s="2">
        <v>514.17719999999997</v>
      </c>
      <c r="W992">
        <v>5</v>
      </c>
      <c r="X992" s="2">
        <v>103.37</v>
      </c>
      <c r="Y992">
        <v>89776</v>
      </c>
      <c r="Z992">
        <f t="shared" si="15"/>
        <v>516.85</v>
      </c>
    </row>
    <row r="993" spans="1:26" x14ac:dyDescent="0.25">
      <c r="A993">
        <v>25609</v>
      </c>
      <c r="B993" t="s">
        <v>25</v>
      </c>
      <c r="C993" s="2">
        <v>0.08</v>
      </c>
      <c r="D993" s="2">
        <v>1.76</v>
      </c>
      <c r="E993" s="2">
        <v>4.8600000000000003</v>
      </c>
      <c r="F993">
        <v>1764</v>
      </c>
      <c r="G993" t="s">
        <v>1757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1760</v>
      </c>
      <c r="N993">
        <v>0.41</v>
      </c>
      <c r="O993" t="s">
        <v>33</v>
      </c>
      <c r="P993" t="s">
        <v>135</v>
      </c>
      <c r="Q993" t="s">
        <v>356</v>
      </c>
      <c r="R993" t="s">
        <v>1758</v>
      </c>
      <c r="S993">
        <v>34698</v>
      </c>
      <c r="T993" s="1">
        <v>42064</v>
      </c>
      <c r="U993" s="1">
        <v>42065</v>
      </c>
      <c r="V993" s="2">
        <v>235.65600000000001</v>
      </c>
      <c r="W993">
        <v>23</v>
      </c>
      <c r="X993" s="2">
        <v>40.22</v>
      </c>
      <c r="Y993">
        <v>89776</v>
      </c>
      <c r="Z993">
        <f t="shared" si="15"/>
        <v>925.06</v>
      </c>
    </row>
    <row r="994" spans="1:26" x14ac:dyDescent="0.25">
      <c r="A994">
        <v>25054</v>
      </c>
      <c r="B994" t="s">
        <v>37</v>
      </c>
      <c r="C994" s="2">
        <v>0</v>
      </c>
      <c r="D994" s="2">
        <v>5.77</v>
      </c>
      <c r="E994" s="2">
        <v>4.97</v>
      </c>
      <c r="F994">
        <v>1765</v>
      </c>
      <c r="G994" t="s">
        <v>1761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1762</v>
      </c>
      <c r="N994">
        <v>0.35</v>
      </c>
      <c r="O994" t="s">
        <v>33</v>
      </c>
      <c r="P994" t="s">
        <v>61</v>
      </c>
      <c r="Q994" t="s">
        <v>499</v>
      </c>
      <c r="R994" t="s">
        <v>1763</v>
      </c>
      <c r="S994">
        <v>63141</v>
      </c>
      <c r="T994" s="1">
        <v>42128</v>
      </c>
      <c r="U994" s="1">
        <v>42129</v>
      </c>
      <c r="V994" s="2">
        <v>3.5581</v>
      </c>
      <c r="W994">
        <v>8</v>
      </c>
      <c r="X994" s="2">
        <v>52.43</v>
      </c>
      <c r="Y994">
        <v>89777</v>
      </c>
      <c r="Z994">
        <f t="shared" si="15"/>
        <v>419.44</v>
      </c>
    </row>
    <row r="995" spans="1:26" x14ac:dyDescent="0.25">
      <c r="A995">
        <v>20636</v>
      </c>
      <c r="B995" t="s">
        <v>47</v>
      </c>
      <c r="C995" s="2">
        <v>0.01</v>
      </c>
      <c r="D995" s="2">
        <v>50.98</v>
      </c>
      <c r="E995" s="2">
        <v>6.5</v>
      </c>
      <c r="F995">
        <v>1767</v>
      </c>
      <c r="G995" t="s">
        <v>1764</v>
      </c>
      <c r="H995" t="s">
        <v>49</v>
      </c>
      <c r="I995" t="s">
        <v>40</v>
      </c>
      <c r="J995" t="s">
        <v>77</v>
      </c>
      <c r="K995" t="s">
        <v>177</v>
      </c>
      <c r="L995" t="s">
        <v>59</v>
      </c>
      <c r="M995" t="s">
        <v>928</v>
      </c>
      <c r="N995">
        <v>0.73</v>
      </c>
      <c r="O995" t="s">
        <v>33</v>
      </c>
      <c r="P995" t="s">
        <v>135</v>
      </c>
      <c r="Q995" t="s">
        <v>381</v>
      </c>
      <c r="R995" t="s">
        <v>1708</v>
      </c>
      <c r="S995">
        <v>30265</v>
      </c>
      <c r="T995" s="1">
        <v>42089</v>
      </c>
      <c r="U995" s="1">
        <v>42090</v>
      </c>
      <c r="V995" s="2">
        <v>5.3396999999999997</v>
      </c>
      <c r="W995">
        <v>16</v>
      </c>
      <c r="X995" s="2">
        <v>818.49</v>
      </c>
      <c r="Y995">
        <v>89211</v>
      </c>
      <c r="Z995">
        <f t="shared" si="15"/>
        <v>13095.84</v>
      </c>
    </row>
    <row r="996" spans="1:26" x14ac:dyDescent="0.25">
      <c r="A996">
        <v>24894</v>
      </c>
      <c r="B996" t="s">
        <v>56</v>
      </c>
      <c r="C996" s="2">
        <v>7.0000000000000007E-2</v>
      </c>
      <c r="D996" s="2">
        <v>60.98</v>
      </c>
      <c r="E996" s="2">
        <v>49</v>
      </c>
      <c r="F996">
        <v>1771</v>
      </c>
      <c r="G996" t="s">
        <v>1765</v>
      </c>
      <c r="H996" t="s">
        <v>49</v>
      </c>
      <c r="I996" t="s">
        <v>40</v>
      </c>
      <c r="J996" t="s">
        <v>29</v>
      </c>
      <c r="K996" t="s">
        <v>252</v>
      </c>
      <c r="L996" t="s">
        <v>231</v>
      </c>
      <c r="M996" t="s">
        <v>1570</v>
      </c>
      <c r="N996">
        <v>0.59</v>
      </c>
      <c r="O996" t="s">
        <v>33</v>
      </c>
      <c r="P996" t="s">
        <v>61</v>
      </c>
      <c r="Q996" t="s">
        <v>175</v>
      </c>
      <c r="R996" t="s">
        <v>1601</v>
      </c>
      <c r="S996">
        <v>61032</v>
      </c>
      <c r="T996" s="1">
        <v>42069</v>
      </c>
      <c r="U996" s="1">
        <v>42070</v>
      </c>
      <c r="V996" s="2">
        <v>-807.89</v>
      </c>
      <c r="W996">
        <v>7</v>
      </c>
      <c r="X996" s="2">
        <v>410.17</v>
      </c>
      <c r="Y996">
        <v>89106</v>
      </c>
      <c r="Z996">
        <f t="shared" si="15"/>
        <v>2871.19</v>
      </c>
    </row>
    <row r="997" spans="1:26" x14ac:dyDescent="0.25">
      <c r="A997">
        <v>19826</v>
      </c>
      <c r="B997" t="s">
        <v>106</v>
      </c>
      <c r="C997" s="2">
        <v>0.09</v>
      </c>
      <c r="D997" s="2">
        <v>12.95</v>
      </c>
      <c r="E997" s="2">
        <v>4.9800000000000004</v>
      </c>
      <c r="F997">
        <v>1775</v>
      </c>
      <c r="G997" t="s">
        <v>1766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1491</v>
      </c>
      <c r="N997">
        <v>0.4</v>
      </c>
      <c r="O997" t="s">
        <v>33</v>
      </c>
      <c r="P997" t="s">
        <v>61</v>
      </c>
      <c r="Q997" t="s">
        <v>695</v>
      </c>
      <c r="R997" t="s">
        <v>1767</v>
      </c>
      <c r="S997">
        <v>46614</v>
      </c>
      <c r="T997" s="1">
        <v>42169</v>
      </c>
      <c r="U997" s="1">
        <v>42176</v>
      </c>
      <c r="V997" s="2">
        <v>123.89175</v>
      </c>
      <c r="W997">
        <v>21</v>
      </c>
      <c r="X997" s="2">
        <v>269.54000000000002</v>
      </c>
      <c r="Y997">
        <v>89944</v>
      </c>
      <c r="Z997">
        <f t="shared" si="15"/>
        <v>5660.34</v>
      </c>
    </row>
    <row r="998" spans="1:26" x14ac:dyDescent="0.25">
      <c r="A998">
        <v>20278</v>
      </c>
      <c r="B998" t="s">
        <v>37</v>
      </c>
      <c r="C998" s="2">
        <v>0.08</v>
      </c>
      <c r="D998" s="2">
        <v>5.78</v>
      </c>
      <c r="E998" s="2">
        <v>5.67</v>
      </c>
      <c r="F998">
        <v>1776</v>
      </c>
      <c r="G998" t="s">
        <v>1768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629</v>
      </c>
      <c r="N998">
        <v>0.36</v>
      </c>
      <c r="O998" t="s">
        <v>33</v>
      </c>
      <c r="P998" t="s">
        <v>61</v>
      </c>
      <c r="Q998" t="s">
        <v>695</v>
      </c>
      <c r="R998" t="s">
        <v>1769</v>
      </c>
      <c r="S998">
        <v>47802</v>
      </c>
      <c r="T998" s="1">
        <v>42039</v>
      </c>
      <c r="U998" s="1">
        <v>42040</v>
      </c>
      <c r="V998" s="2">
        <v>-53.898000000000003</v>
      </c>
      <c r="W998">
        <v>19</v>
      </c>
      <c r="X998" s="2">
        <v>106.57</v>
      </c>
      <c r="Y998">
        <v>89941</v>
      </c>
      <c r="Z998">
        <f t="shared" si="15"/>
        <v>2024.83</v>
      </c>
    </row>
    <row r="999" spans="1:26" x14ac:dyDescent="0.25">
      <c r="A999">
        <v>20391</v>
      </c>
      <c r="B999" t="s">
        <v>106</v>
      </c>
      <c r="C999" s="2">
        <v>7.0000000000000007E-2</v>
      </c>
      <c r="D999" s="2">
        <v>5.43</v>
      </c>
      <c r="E999" s="2">
        <v>0.95</v>
      </c>
      <c r="F999">
        <v>1777</v>
      </c>
      <c r="G999" t="s">
        <v>1770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621</v>
      </c>
      <c r="N999">
        <v>0.36</v>
      </c>
      <c r="O999" t="s">
        <v>33</v>
      </c>
      <c r="P999" t="s">
        <v>61</v>
      </c>
      <c r="Q999" t="s">
        <v>695</v>
      </c>
      <c r="R999" t="s">
        <v>1771</v>
      </c>
      <c r="S999">
        <v>46383</v>
      </c>
      <c r="T999" s="1">
        <v>42116</v>
      </c>
      <c r="U999" s="1">
        <v>42120</v>
      </c>
      <c r="V999" s="2">
        <v>26.5029</v>
      </c>
      <c r="W999">
        <v>7</v>
      </c>
      <c r="X999" s="2">
        <v>38.409999999999997</v>
      </c>
      <c r="Y999">
        <v>89939</v>
      </c>
      <c r="Z999">
        <f t="shared" si="15"/>
        <v>268.87</v>
      </c>
    </row>
    <row r="1000" spans="1:26" x14ac:dyDescent="0.25">
      <c r="A1000">
        <v>21163</v>
      </c>
      <c r="B1000" t="s">
        <v>106</v>
      </c>
      <c r="C1000" s="2">
        <v>0.02</v>
      </c>
      <c r="D1000" s="2">
        <v>10.06</v>
      </c>
      <c r="E1000" s="2">
        <v>2.06</v>
      </c>
      <c r="F1000">
        <v>1777</v>
      </c>
      <c r="G1000" t="s">
        <v>1770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275</v>
      </c>
      <c r="N1000">
        <v>0.39</v>
      </c>
      <c r="O1000" t="s">
        <v>33</v>
      </c>
      <c r="P1000" t="s">
        <v>61</v>
      </c>
      <c r="Q1000" t="s">
        <v>695</v>
      </c>
      <c r="R1000" t="s">
        <v>1771</v>
      </c>
      <c r="S1000">
        <v>46383</v>
      </c>
      <c r="T1000" s="1">
        <v>42007</v>
      </c>
      <c r="U1000" s="1">
        <v>42012</v>
      </c>
      <c r="V1000" s="2">
        <v>90.624600000000001</v>
      </c>
      <c r="W1000">
        <v>13</v>
      </c>
      <c r="X1000" s="2">
        <v>131.34</v>
      </c>
      <c r="Y1000">
        <v>89940</v>
      </c>
      <c r="Z1000">
        <f t="shared" si="15"/>
        <v>1707.42</v>
      </c>
    </row>
    <row r="1001" spans="1:26" x14ac:dyDescent="0.25">
      <c r="A1001">
        <v>20600</v>
      </c>
      <c r="B1001" t="s">
        <v>37</v>
      </c>
      <c r="C1001" s="2">
        <v>0.03</v>
      </c>
      <c r="D1001" s="2">
        <v>19.989999999999998</v>
      </c>
      <c r="E1001" s="2">
        <v>11.17</v>
      </c>
      <c r="F1001">
        <v>1777</v>
      </c>
      <c r="G1001" t="s">
        <v>1770</v>
      </c>
      <c r="H1001" t="s">
        <v>49</v>
      </c>
      <c r="I1001" t="s">
        <v>28</v>
      </c>
      <c r="J1001" t="s">
        <v>41</v>
      </c>
      <c r="K1001" t="s">
        <v>50</v>
      </c>
      <c r="L1001" t="s">
        <v>231</v>
      </c>
      <c r="M1001" t="s">
        <v>501</v>
      </c>
      <c r="N1001">
        <v>0.6</v>
      </c>
      <c r="O1001" t="s">
        <v>33</v>
      </c>
      <c r="P1001" t="s">
        <v>61</v>
      </c>
      <c r="Q1001" t="s">
        <v>695</v>
      </c>
      <c r="R1001" t="s">
        <v>1771</v>
      </c>
      <c r="S1001">
        <v>46383</v>
      </c>
      <c r="T1001" s="1">
        <v>42096</v>
      </c>
      <c r="U1001" s="1">
        <v>42097</v>
      </c>
      <c r="V1001" s="2">
        <v>-20.8764</v>
      </c>
      <c r="W1001">
        <v>12</v>
      </c>
      <c r="X1001" s="2">
        <v>251.61</v>
      </c>
      <c r="Y1001">
        <v>89942</v>
      </c>
      <c r="Z1001">
        <f t="shared" si="15"/>
        <v>3019.32</v>
      </c>
    </row>
    <row r="1002" spans="1:26" x14ac:dyDescent="0.25">
      <c r="A1002">
        <v>25498</v>
      </c>
      <c r="B1002" t="s">
        <v>25</v>
      </c>
      <c r="C1002" s="2">
        <v>0.06</v>
      </c>
      <c r="D1002" s="2">
        <v>13.99</v>
      </c>
      <c r="E1002" s="2">
        <v>7.51</v>
      </c>
      <c r="F1002">
        <v>1778</v>
      </c>
      <c r="G1002" t="s">
        <v>1772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1354</v>
      </c>
      <c r="N1002">
        <v>0.39</v>
      </c>
      <c r="O1002" t="s">
        <v>33</v>
      </c>
      <c r="P1002" t="s">
        <v>61</v>
      </c>
      <c r="Q1002" t="s">
        <v>695</v>
      </c>
      <c r="R1002" t="s">
        <v>1773</v>
      </c>
      <c r="S1002">
        <v>47906</v>
      </c>
      <c r="T1002" s="1">
        <v>42134</v>
      </c>
      <c r="U1002" s="1">
        <v>42136</v>
      </c>
      <c r="V1002" s="2">
        <v>6.4832400000000003</v>
      </c>
      <c r="W1002">
        <v>21</v>
      </c>
      <c r="X1002" s="2">
        <v>287.99</v>
      </c>
      <c r="Y1002">
        <v>89943</v>
      </c>
      <c r="Z1002">
        <f t="shared" si="15"/>
        <v>6047.79</v>
      </c>
    </row>
    <row r="1003" spans="1:26" x14ac:dyDescent="0.25">
      <c r="A1003">
        <v>25499</v>
      </c>
      <c r="B1003" t="s">
        <v>25</v>
      </c>
      <c r="C1003" s="2">
        <v>0.06</v>
      </c>
      <c r="D1003" s="2">
        <v>15.04</v>
      </c>
      <c r="E1003" s="2">
        <v>1.97</v>
      </c>
      <c r="F1003">
        <v>1778</v>
      </c>
      <c r="G1003" t="s">
        <v>1772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651</v>
      </c>
      <c r="N1003">
        <v>0.39</v>
      </c>
      <c r="O1003" t="s">
        <v>33</v>
      </c>
      <c r="P1003" t="s">
        <v>61</v>
      </c>
      <c r="Q1003" t="s">
        <v>695</v>
      </c>
      <c r="R1003" t="s">
        <v>1773</v>
      </c>
      <c r="S1003">
        <v>47906</v>
      </c>
      <c r="T1003" s="1">
        <v>42134</v>
      </c>
      <c r="U1003" s="1">
        <v>42134</v>
      </c>
      <c r="V1003" s="2">
        <v>2.3319999999999999</v>
      </c>
      <c r="W1003">
        <v>3</v>
      </c>
      <c r="X1003" s="2">
        <v>46.86</v>
      </c>
      <c r="Y1003">
        <v>89943</v>
      </c>
      <c r="Z1003">
        <f t="shared" si="15"/>
        <v>140.57999999999998</v>
      </c>
    </row>
    <row r="1004" spans="1:26" x14ac:dyDescent="0.25">
      <c r="A1004">
        <v>19237</v>
      </c>
      <c r="B1004" t="s">
        <v>25</v>
      </c>
      <c r="C1004" s="2">
        <v>0</v>
      </c>
      <c r="D1004" s="2">
        <v>55.48</v>
      </c>
      <c r="E1004" s="2">
        <v>14.3</v>
      </c>
      <c r="F1004">
        <v>1781</v>
      </c>
      <c r="G1004" t="s">
        <v>1774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1775</v>
      </c>
      <c r="S1004">
        <v>94070</v>
      </c>
      <c r="T1004" s="1">
        <v>42167</v>
      </c>
      <c r="U1004" s="1">
        <v>42169</v>
      </c>
      <c r="V1004" s="2">
        <v>454.44779999999997</v>
      </c>
      <c r="W1004">
        <v>11</v>
      </c>
      <c r="X1004" s="2">
        <v>658.62</v>
      </c>
      <c r="Y1004">
        <v>89857</v>
      </c>
      <c r="Z1004">
        <f t="shared" si="15"/>
        <v>7244.82</v>
      </c>
    </row>
    <row r="1005" spans="1:26" x14ac:dyDescent="0.25">
      <c r="A1005">
        <v>19419</v>
      </c>
      <c r="B1005" t="s">
        <v>106</v>
      </c>
      <c r="C1005" s="2">
        <v>0.03</v>
      </c>
      <c r="D1005" s="2">
        <v>5.08</v>
      </c>
      <c r="E1005" s="2">
        <v>2.0299999999999998</v>
      </c>
      <c r="F1005">
        <v>1781</v>
      </c>
      <c r="G1005" t="s">
        <v>1774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1776</v>
      </c>
      <c r="N1005">
        <v>0.51</v>
      </c>
      <c r="O1005" t="s">
        <v>33</v>
      </c>
      <c r="P1005" t="s">
        <v>34</v>
      </c>
      <c r="Q1005" t="s">
        <v>45</v>
      </c>
      <c r="R1005" t="s">
        <v>1775</v>
      </c>
      <c r="S1005">
        <v>94070</v>
      </c>
      <c r="T1005" s="1">
        <v>42011</v>
      </c>
      <c r="U1005" s="1">
        <v>42016</v>
      </c>
      <c r="V1005" s="2">
        <v>15.1524</v>
      </c>
      <c r="W1005">
        <v>4</v>
      </c>
      <c r="X1005" s="2">
        <v>21.96</v>
      </c>
      <c r="Y1005">
        <v>89858</v>
      </c>
      <c r="Z1005">
        <f t="shared" si="15"/>
        <v>87.84</v>
      </c>
    </row>
    <row r="1006" spans="1:26" x14ac:dyDescent="0.25">
      <c r="A1006">
        <v>21283</v>
      </c>
      <c r="B1006" t="s">
        <v>25</v>
      </c>
      <c r="C1006" s="2">
        <v>0.03</v>
      </c>
      <c r="D1006" s="2">
        <v>3.28</v>
      </c>
      <c r="E1006" s="2">
        <v>3.97</v>
      </c>
      <c r="F1006">
        <v>1782</v>
      </c>
      <c r="G1006" t="s">
        <v>1777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1778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1779</v>
      </c>
      <c r="S1006">
        <v>92672</v>
      </c>
      <c r="T1006" s="1">
        <v>42010</v>
      </c>
      <c r="U1006" s="1">
        <v>42012</v>
      </c>
      <c r="V1006" s="2">
        <v>-90.755600000000001</v>
      </c>
      <c r="W1006">
        <v>7</v>
      </c>
      <c r="X1006" s="2">
        <v>24.57</v>
      </c>
      <c r="Y1006">
        <v>89856</v>
      </c>
      <c r="Z1006">
        <f t="shared" si="15"/>
        <v>171.99</v>
      </c>
    </row>
    <row r="1007" spans="1:26" x14ac:dyDescent="0.25">
      <c r="A1007">
        <v>23966</v>
      </c>
      <c r="B1007" t="s">
        <v>47</v>
      </c>
      <c r="C1007" s="2">
        <v>0.04</v>
      </c>
      <c r="D1007" s="2">
        <v>205.99</v>
      </c>
      <c r="E1007" s="2">
        <v>8.99</v>
      </c>
      <c r="F1007">
        <v>1788</v>
      </c>
      <c r="G1007" t="s">
        <v>1780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135</v>
      </c>
      <c r="Q1007" t="s">
        <v>381</v>
      </c>
      <c r="R1007" t="s">
        <v>1645</v>
      </c>
      <c r="S1007">
        <v>30188</v>
      </c>
      <c r="T1007" s="1">
        <v>42025</v>
      </c>
      <c r="U1007" s="1">
        <v>42026</v>
      </c>
      <c r="V1007" s="2">
        <v>960.98400000000004</v>
      </c>
      <c r="W1007">
        <v>6</v>
      </c>
      <c r="X1007" s="2">
        <v>1008.53</v>
      </c>
      <c r="Y1007">
        <v>88256</v>
      </c>
      <c r="Z1007">
        <f t="shared" si="15"/>
        <v>6051.18</v>
      </c>
    </row>
    <row r="1008" spans="1:26" x14ac:dyDescent="0.25">
      <c r="A1008">
        <v>21284</v>
      </c>
      <c r="B1008" t="s">
        <v>47</v>
      </c>
      <c r="C1008" s="2">
        <v>0.04</v>
      </c>
      <c r="D1008" s="2">
        <v>880.98</v>
      </c>
      <c r="E1008" s="2">
        <v>44.55</v>
      </c>
      <c r="F1008">
        <v>1793</v>
      </c>
      <c r="G1008" t="s">
        <v>1781</v>
      </c>
      <c r="H1008" t="s">
        <v>39</v>
      </c>
      <c r="I1008" t="s">
        <v>40</v>
      </c>
      <c r="J1008" t="s">
        <v>41</v>
      </c>
      <c r="K1008" t="s">
        <v>187</v>
      </c>
      <c r="L1008" t="s">
        <v>120</v>
      </c>
      <c r="M1008" t="s">
        <v>760</v>
      </c>
      <c r="N1008">
        <v>0.62</v>
      </c>
      <c r="O1008" t="s">
        <v>33</v>
      </c>
      <c r="P1008" t="s">
        <v>61</v>
      </c>
      <c r="Q1008" t="s">
        <v>175</v>
      </c>
      <c r="R1008" t="s">
        <v>1782</v>
      </c>
      <c r="S1008">
        <v>61401</v>
      </c>
      <c r="T1008" s="1">
        <v>42010</v>
      </c>
      <c r="U1008" s="1">
        <v>42011</v>
      </c>
      <c r="V1008" s="2">
        <v>-13706.464</v>
      </c>
      <c r="W1008">
        <v>8</v>
      </c>
      <c r="X1008" s="2">
        <v>6968.9</v>
      </c>
      <c r="Y1008">
        <v>87853</v>
      </c>
      <c r="Z1008">
        <f t="shared" si="15"/>
        <v>55751.199999999997</v>
      </c>
    </row>
    <row r="1009" spans="1:26" x14ac:dyDescent="0.25">
      <c r="A1009">
        <v>22986</v>
      </c>
      <c r="B1009" t="s">
        <v>47</v>
      </c>
      <c r="C1009" s="2">
        <v>0.04</v>
      </c>
      <c r="D1009" s="2">
        <v>3.68</v>
      </c>
      <c r="E1009" s="2">
        <v>1.32</v>
      </c>
      <c r="F1009">
        <v>1802</v>
      </c>
      <c r="G1009" t="s">
        <v>1783</v>
      </c>
      <c r="H1009" t="s">
        <v>49</v>
      </c>
      <c r="I1009" t="s">
        <v>28</v>
      </c>
      <c r="J1009" t="s">
        <v>29</v>
      </c>
      <c r="K1009" t="s">
        <v>171</v>
      </c>
      <c r="L1009" t="s">
        <v>31</v>
      </c>
      <c r="M1009" t="s">
        <v>830</v>
      </c>
      <c r="N1009">
        <v>0.83</v>
      </c>
      <c r="O1009" t="s">
        <v>33</v>
      </c>
      <c r="P1009" t="s">
        <v>135</v>
      </c>
      <c r="Q1009" t="s">
        <v>356</v>
      </c>
      <c r="R1009" t="s">
        <v>1758</v>
      </c>
      <c r="S1009">
        <v>34698</v>
      </c>
      <c r="T1009" s="1">
        <v>42156</v>
      </c>
      <c r="U1009" s="1">
        <v>42157</v>
      </c>
      <c r="V1009" s="2">
        <v>300.92579999999998</v>
      </c>
      <c r="W1009">
        <v>11</v>
      </c>
      <c r="X1009" s="2">
        <v>41.29</v>
      </c>
      <c r="Y1009">
        <v>91543</v>
      </c>
      <c r="Z1009">
        <f t="shared" si="15"/>
        <v>454.19</v>
      </c>
    </row>
    <row r="1010" spans="1:26" x14ac:dyDescent="0.25">
      <c r="A1010">
        <v>18901</v>
      </c>
      <c r="B1010" t="s">
        <v>56</v>
      </c>
      <c r="C1010" s="2">
        <v>0.01</v>
      </c>
      <c r="D1010" s="2">
        <v>8.1199999999999992</v>
      </c>
      <c r="E1010" s="2">
        <v>2.83</v>
      </c>
      <c r="F1010">
        <v>1808</v>
      </c>
      <c r="G1010" t="s">
        <v>1784</v>
      </c>
      <c r="H1010" t="s">
        <v>27</v>
      </c>
      <c r="I1010" t="s">
        <v>40</v>
      </c>
      <c r="J1010" t="s">
        <v>77</v>
      </c>
      <c r="K1010" t="s">
        <v>177</v>
      </c>
      <c r="L1010" t="s">
        <v>51</v>
      </c>
      <c r="M1010" t="s">
        <v>818</v>
      </c>
      <c r="N1010">
        <v>0.77</v>
      </c>
      <c r="O1010" t="s">
        <v>33</v>
      </c>
      <c r="P1010" t="s">
        <v>53</v>
      </c>
      <c r="Q1010" t="s">
        <v>641</v>
      </c>
      <c r="R1010" t="s">
        <v>1785</v>
      </c>
      <c r="S1010">
        <v>26101</v>
      </c>
      <c r="T1010" s="1">
        <v>42080</v>
      </c>
      <c r="U1010" s="1">
        <v>42081</v>
      </c>
      <c r="V1010" s="2">
        <v>-40.76</v>
      </c>
      <c r="W1010">
        <v>10</v>
      </c>
      <c r="X1010" s="2">
        <v>88.64</v>
      </c>
      <c r="Y1010">
        <v>89251</v>
      </c>
      <c r="Z1010">
        <f t="shared" si="15"/>
        <v>886.4</v>
      </c>
    </row>
    <row r="1011" spans="1:26" x14ac:dyDescent="0.25">
      <c r="A1011">
        <v>21746</v>
      </c>
      <c r="B1011" t="s">
        <v>37</v>
      </c>
      <c r="C1011" s="2">
        <v>0.09</v>
      </c>
      <c r="D1011" s="2">
        <v>77.510000000000005</v>
      </c>
      <c r="E1011" s="2">
        <v>4</v>
      </c>
      <c r="F1011">
        <v>1814</v>
      </c>
      <c r="G1011" t="s">
        <v>1786</v>
      </c>
      <c r="H1011" t="s">
        <v>27</v>
      </c>
      <c r="I1011" t="s">
        <v>40</v>
      </c>
      <c r="J1011" t="s">
        <v>77</v>
      </c>
      <c r="K1011" t="s">
        <v>177</v>
      </c>
      <c r="L1011" t="s">
        <v>59</v>
      </c>
      <c r="M1011" t="s">
        <v>1787</v>
      </c>
      <c r="N1011">
        <v>0.76</v>
      </c>
      <c r="O1011" t="s">
        <v>33</v>
      </c>
      <c r="P1011" t="s">
        <v>135</v>
      </c>
      <c r="Q1011" t="s">
        <v>663</v>
      </c>
      <c r="R1011" t="s">
        <v>1788</v>
      </c>
      <c r="S1011">
        <v>38654</v>
      </c>
      <c r="T1011" s="1">
        <v>42147</v>
      </c>
      <c r="U1011" s="1">
        <v>42149</v>
      </c>
      <c r="V1011" s="2">
        <v>-986.524</v>
      </c>
      <c r="W1011">
        <v>17</v>
      </c>
      <c r="X1011" s="2">
        <v>1300.54</v>
      </c>
      <c r="Y1011">
        <v>90524</v>
      </c>
      <c r="Z1011">
        <f t="shared" si="15"/>
        <v>22109.18</v>
      </c>
    </row>
    <row r="1012" spans="1:26" x14ac:dyDescent="0.25">
      <c r="A1012">
        <v>21747</v>
      </c>
      <c r="B1012" t="s">
        <v>37</v>
      </c>
      <c r="C1012" s="2">
        <v>0</v>
      </c>
      <c r="D1012" s="2">
        <v>2.88</v>
      </c>
      <c r="E1012" s="2">
        <v>0.7</v>
      </c>
      <c r="F1012">
        <v>1814</v>
      </c>
      <c r="G1012" t="s">
        <v>1786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359</v>
      </c>
      <c r="N1012">
        <v>0.56000000000000005</v>
      </c>
      <c r="O1012" t="s">
        <v>33</v>
      </c>
      <c r="P1012" t="s">
        <v>135</v>
      </c>
      <c r="Q1012" t="s">
        <v>663</v>
      </c>
      <c r="R1012" t="s">
        <v>1788</v>
      </c>
      <c r="S1012">
        <v>38654</v>
      </c>
      <c r="T1012" s="1">
        <v>42147</v>
      </c>
      <c r="U1012" s="1">
        <v>42149</v>
      </c>
      <c r="V1012" s="2">
        <v>-141.666</v>
      </c>
      <c r="W1012">
        <v>13</v>
      </c>
      <c r="X1012" s="2">
        <v>38.06</v>
      </c>
      <c r="Y1012">
        <v>90524</v>
      </c>
      <c r="Z1012">
        <f t="shared" si="15"/>
        <v>494.78000000000003</v>
      </c>
    </row>
    <row r="1013" spans="1:26" x14ac:dyDescent="0.25">
      <c r="A1013">
        <v>24463</v>
      </c>
      <c r="B1013" t="s">
        <v>56</v>
      </c>
      <c r="C1013" s="2">
        <v>0.06</v>
      </c>
      <c r="D1013" s="2">
        <v>90.97</v>
      </c>
      <c r="E1013" s="2">
        <v>14</v>
      </c>
      <c r="F1013">
        <v>1815</v>
      </c>
      <c r="G1013" t="s">
        <v>1789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1790</v>
      </c>
      <c r="N1013">
        <v>0.36</v>
      </c>
      <c r="O1013" t="s">
        <v>33</v>
      </c>
      <c r="P1013" t="s">
        <v>135</v>
      </c>
      <c r="Q1013" t="s">
        <v>663</v>
      </c>
      <c r="R1013" t="s">
        <v>1791</v>
      </c>
      <c r="S1013">
        <v>39208</v>
      </c>
      <c r="T1013" s="1">
        <v>42046</v>
      </c>
      <c r="U1013" s="1">
        <v>42047</v>
      </c>
      <c r="V1013" s="2">
        <v>47.334000000000003</v>
      </c>
      <c r="W1013">
        <v>14</v>
      </c>
      <c r="X1013" s="2">
        <v>1263.3499999999999</v>
      </c>
      <c r="Y1013">
        <v>90525</v>
      </c>
      <c r="Z1013">
        <f t="shared" si="15"/>
        <v>17686.899999999998</v>
      </c>
    </row>
    <row r="1014" spans="1:26" x14ac:dyDescent="0.25">
      <c r="A1014">
        <v>22843</v>
      </c>
      <c r="B1014" t="s">
        <v>106</v>
      </c>
      <c r="C1014" s="2">
        <v>0.01</v>
      </c>
      <c r="D1014" s="2">
        <v>10.48</v>
      </c>
      <c r="E1014" s="2">
        <v>2.89</v>
      </c>
      <c r="F1014">
        <v>1816</v>
      </c>
      <c r="G1014" t="s">
        <v>1792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1793</v>
      </c>
      <c r="N1014">
        <v>0.6</v>
      </c>
      <c r="O1014" t="s">
        <v>33</v>
      </c>
      <c r="P1014" t="s">
        <v>61</v>
      </c>
      <c r="Q1014" t="s">
        <v>295</v>
      </c>
      <c r="R1014" t="s">
        <v>153</v>
      </c>
      <c r="S1014">
        <v>48187</v>
      </c>
      <c r="T1014" s="1">
        <v>42040</v>
      </c>
      <c r="U1014" s="1">
        <v>42042</v>
      </c>
      <c r="V1014" s="2">
        <v>60.561599999999999</v>
      </c>
      <c r="W1014">
        <v>19</v>
      </c>
      <c r="X1014" s="2">
        <v>202.38</v>
      </c>
      <c r="Y1014">
        <v>85990</v>
      </c>
      <c r="Z1014">
        <f t="shared" si="15"/>
        <v>3845.22</v>
      </c>
    </row>
    <row r="1015" spans="1:26" x14ac:dyDescent="0.25">
      <c r="A1015">
        <v>24622</v>
      </c>
      <c r="B1015" t="s">
        <v>37</v>
      </c>
      <c r="C1015" s="2">
        <v>0.06</v>
      </c>
      <c r="D1015" s="2">
        <v>17.98</v>
      </c>
      <c r="E1015" s="2">
        <v>8.51</v>
      </c>
      <c r="F1015">
        <v>1818</v>
      </c>
      <c r="G1015" t="s">
        <v>1794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295</v>
      </c>
      <c r="R1015" t="s">
        <v>1795</v>
      </c>
      <c r="S1015">
        <v>48126</v>
      </c>
      <c r="T1015" s="1">
        <v>42109</v>
      </c>
      <c r="U1015" s="1">
        <v>42111</v>
      </c>
      <c r="V1015" s="2">
        <v>-47.243088</v>
      </c>
      <c r="W1015">
        <v>3</v>
      </c>
      <c r="X1015" s="2">
        <v>56.38</v>
      </c>
      <c r="Y1015">
        <v>85991</v>
      </c>
      <c r="Z1015">
        <f t="shared" si="15"/>
        <v>169.14000000000001</v>
      </c>
    </row>
    <row r="1016" spans="1:26" x14ac:dyDescent="0.25">
      <c r="A1016">
        <v>24623</v>
      </c>
      <c r="B1016" t="s">
        <v>37</v>
      </c>
      <c r="C1016" s="2">
        <v>0.1</v>
      </c>
      <c r="D1016" s="2">
        <v>9.99</v>
      </c>
      <c r="E1016" s="2">
        <v>4.78</v>
      </c>
      <c r="F1016">
        <v>1818</v>
      </c>
      <c r="G1016" t="s">
        <v>1794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1796</v>
      </c>
      <c r="N1016">
        <v>0.4</v>
      </c>
      <c r="O1016" t="s">
        <v>33</v>
      </c>
      <c r="P1016" t="s">
        <v>61</v>
      </c>
      <c r="Q1016" t="s">
        <v>295</v>
      </c>
      <c r="R1016" t="s">
        <v>1795</v>
      </c>
      <c r="S1016">
        <v>48126</v>
      </c>
      <c r="T1016" s="1">
        <v>42109</v>
      </c>
      <c r="U1016" s="1">
        <v>42112</v>
      </c>
      <c r="V1016" s="2">
        <v>9.1539999999999999</v>
      </c>
      <c r="W1016">
        <v>12</v>
      </c>
      <c r="X1016" s="2">
        <v>119.13</v>
      </c>
      <c r="Y1016">
        <v>85991</v>
      </c>
      <c r="Z1016">
        <f t="shared" si="15"/>
        <v>1429.56</v>
      </c>
    </row>
    <row r="1017" spans="1:26" x14ac:dyDescent="0.25">
      <c r="A1017">
        <v>4843</v>
      </c>
      <c r="B1017" t="s">
        <v>106</v>
      </c>
      <c r="C1017" s="2">
        <v>0.01</v>
      </c>
      <c r="D1017" s="2">
        <v>10.48</v>
      </c>
      <c r="E1017" s="2">
        <v>2.89</v>
      </c>
      <c r="F1017">
        <v>1821</v>
      </c>
      <c r="G1017" t="s">
        <v>1797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1793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1">
        <v>42040</v>
      </c>
      <c r="U1017" s="1">
        <v>42042</v>
      </c>
      <c r="V1017" s="2">
        <v>40.92</v>
      </c>
      <c r="W1017">
        <v>76</v>
      </c>
      <c r="X1017" s="2">
        <v>809.51</v>
      </c>
      <c r="Y1017">
        <v>34435</v>
      </c>
      <c r="Z1017">
        <f t="shared" si="15"/>
        <v>61522.76</v>
      </c>
    </row>
    <row r="1018" spans="1:26" x14ac:dyDescent="0.25">
      <c r="A1018">
        <v>6621</v>
      </c>
      <c r="B1018" t="s">
        <v>37</v>
      </c>
      <c r="C1018" s="2">
        <v>7.0000000000000007E-2</v>
      </c>
      <c r="D1018" s="2">
        <v>18.649999999999999</v>
      </c>
      <c r="E1018" s="2">
        <v>3.77</v>
      </c>
      <c r="F1018">
        <v>1821</v>
      </c>
      <c r="G1018" t="s">
        <v>1797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1798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1">
        <v>42109</v>
      </c>
      <c r="U1018" s="1">
        <v>42110</v>
      </c>
      <c r="V1018" s="2">
        <v>149.72</v>
      </c>
      <c r="W1018">
        <v>34</v>
      </c>
      <c r="X1018" s="2">
        <v>643.64</v>
      </c>
      <c r="Y1018">
        <v>47108</v>
      </c>
      <c r="Z1018">
        <f t="shared" si="15"/>
        <v>21883.759999999998</v>
      </c>
    </row>
    <row r="1019" spans="1:26" x14ac:dyDescent="0.25">
      <c r="A1019">
        <v>6622</v>
      </c>
      <c r="B1019" t="s">
        <v>37</v>
      </c>
      <c r="C1019" s="2">
        <v>0.06</v>
      </c>
      <c r="D1019" s="2">
        <v>17.98</v>
      </c>
      <c r="E1019" s="2">
        <v>8.51</v>
      </c>
      <c r="F1019">
        <v>1821</v>
      </c>
      <c r="G1019" t="s">
        <v>1797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1">
        <v>42109</v>
      </c>
      <c r="U1019" s="1">
        <v>42111</v>
      </c>
      <c r="V1019" s="2">
        <v>-52.492319999999999</v>
      </c>
      <c r="W1019">
        <v>13</v>
      </c>
      <c r="X1019" s="2">
        <v>244.31</v>
      </c>
      <c r="Y1019">
        <v>47108</v>
      </c>
      <c r="Z1019">
        <f t="shared" si="15"/>
        <v>3176.03</v>
      </c>
    </row>
    <row r="1020" spans="1:26" x14ac:dyDescent="0.25">
      <c r="A1020">
        <v>6623</v>
      </c>
      <c r="B1020" t="s">
        <v>37</v>
      </c>
      <c r="C1020" s="2">
        <v>0.1</v>
      </c>
      <c r="D1020" s="2">
        <v>9.99</v>
      </c>
      <c r="E1020" s="2">
        <v>4.78</v>
      </c>
      <c r="F1020">
        <v>1821</v>
      </c>
      <c r="G1020" t="s">
        <v>1797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1796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1">
        <v>42109</v>
      </c>
      <c r="U1020" s="1">
        <v>42112</v>
      </c>
      <c r="V1020" s="2">
        <v>7.96</v>
      </c>
      <c r="W1020">
        <v>47</v>
      </c>
      <c r="X1020" s="2">
        <v>466.58</v>
      </c>
      <c r="Y1020">
        <v>47108</v>
      </c>
      <c r="Z1020">
        <f t="shared" si="15"/>
        <v>21929.26</v>
      </c>
    </row>
    <row r="1021" spans="1:26" x14ac:dyDescent="0.25">
      <c r="A1021">
        <v>6624</v>
      </c>
      <c r="B1021" t="s">
        <v>37</v>
      </c>
      <c r="C1021" s="2">
        <v>0.08</v>
      </c>
      <c r="D1021" s="2">
        <v>175.99</v>
      </c>
      <c r="E1021" s="2">
        <v>8.99</v>
      </c>
      <c r="F1021">
        <v>1821</v>
      </c>
      <c r="G1021" t="s">
        <v>1797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>
        <v>2180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1">
        <v>42109</v>
      </c>
      <c r="U1021" s="1">
        <v>42110</v>
      </c>
      <c r="V1021" s="2">
        <v>-459.08280000000002</v>
      </c>
      <c r="W1021">
        <v>16</v>
      </c>
      <c r="X1021" s="2">
        <v>2290.69</v>
      </c>
      <c r="Y1021">
        <v>47108</v>
      </c>
      <c r="Z1021">
        <f t="shared" si="15"/>
        <v>36651.040000000001</v>
      </c>
    </row>
    <row r="1022" spans="1:26" x14ac:dyDescent="0.25">
      <c r="A1022">
        <v>19596</v>
      </c>
      <c r="B1022" t="s">
        <v>56</v>
      </c>
      <c r="C1022" s="2">
        <v>0.1</v>
      </c>
      <c r="D1022" s="2">
        <v>52.99</v>
      </c>
      <c r="E1022" s="2">
        <v>19.989999999999998</v>
      </c>
      <c r="F1022">
        <v>1826</v>
      </c>
      <c r="G1022" t="s">
        <v>1799</v>
      </c>
      <c r="H1022" t="s">
        <v>27</v>
      </c>
      <c r="I1022" t="s">
        <v>28</v>
      </c>
      <c r="J1022" t="s">
        <v>29</v>
      </c>
      <c r="K1022" t="s">
        <v>139</v>
      </c>
      <c r="L1022" t="s">
        <v>59</v>
      </c>
      <c r="M1022" t="s">
        <v>1800</v>
      </c>
      <c r="N1022">
        <v>0.81</v>
      </c>
      <c r="O1022" t="s">
        <v>33</v>
      </c>
      <c r="P1022" t="s">
        <v>61</v>
      </c>
      <c r="Q1022" t="s">
        <v>324</v>
      </c>
      <c r="R1022" t="s">
        <v>1801</v>
      </c>
      <c r="S1022">
        <v>52722</v>
      </c>
      <c r="T1022" s="1">
        <v>42112</v>
      </c>
      <c r="U1022" s="1">
        <v>42113</v>
      </c>
      <c r="V1022" s="2">
        <v>-517.16999999999996</v>
      </c>
      <c r="W1022">
        <v>7</v>
      </c>
      <c r="X1022" s="2">
        <v>337.59</v>
      </c>
      <c r="Y1022">
        <v>86958</v>
      </c>
      <c r="Z1022">
        <f t="shared" si="15"/>
        <v>2363.1299999999997</v>
      </c>
    </row>
    <row r="1023" spans="1:26" x14ac:dyDescent="0.25">
      <c r="A1023">
        <v>18199</v>
      </c>
      <c r="B1023" t="s">
        <v>56</v>
      </c>
      <c r="C1023" s="2">
        <v>0</v>
      </c>
      <c r="D1023" s="2">
        <v>9.27</v>
      </c>
      <c r="E1023" s="2">
        <v>4.3899999999999997</v>
      </c>
      <c r="F1023">
        <v>1826</v>
      </c>
      <c r="G1023" t="s">
        <v>1799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1802</v>
      </c>
      <c r="N1023">
        <v>0.38</v>
      </c>
      <c r="O1023" t="s">
        <v>33</v>
      </c>
      <c r="P1023" t="s">
        <v>61</v>
      </c>
      <c r="Q1023" t="s">
        <v>324</v>
      </c>
      <c r="R1023" t="s">
        <v>1801</v>
      </c>
      <c r="S1023">
        <v>52722</v>
      </c>
      <c r="T1023" s="1">
        <v>42136</v>
      </c>
      <c r="U1023" s="1">
        <v>42138</v>
      </c>
      <c r="V1023" s="2">
        <v>-7.61</v>
      </c>
      <c r="W1023">
        <v>1</v>
      </c>
      <c r="X1023" s="2">
        <v>10.65</v>
      </c>
      <c r="Y1023">
        <v>86959</v>
      </c>
      <c r="Z1023">
        <f t="shared" si="15"/>
        <v>10.65</v>
      </c>
    </row>
    <row r="1024" spans="1:26" x14ac:dyDescent="0.25">
      <c r="A1024">
        <v>20551</v>
      </c>
      <c r="B1024" t="s">
        <v>37</v>
      </c>
      <c r="C1024" s="2">
        <v>0</v>
      </c>
      <c r="D1024" s="2">
        <v>5.98</v>
      </c>
      <c r="E1024" s="2">
        <v>0.96</v>
      </c>
      <c r="F1024">
        <v>1827</v>
      </c>
      <c r="G1024" t="s">
        <v>1803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1804</v>
      </c>
      <c r="N1024">
        <v>0.6</v>
      </c>
      <c r="O1024" t="s">
        <v>33</v>
      </c>
      <c r="P1024" t="s">
        <v>61</v>
      </c>
      <c r="Q1024" t="s">
        <v>324</v>
      </c>
      <c r="R1024" t="s">
        <v>148</v>
      </c>
      <c r="S1024">
        <v>52601</v>
      </c>
      <c r="T1024" s="1">
        <v>42054</v>
      </c>
      <c r="U1024" s="1">
        <v>42055</v>
      </c>
      <c r="V1024" s="2">
        <v>38.039700000000003</v>
      </c>
      <c r="W1024">
        <v>9</v>
      </c>
      <c r="X1024" s="2">
        <v>55.13</v>
      </c>
      <c r="Y1024">
        <v>86956</v>
      </c>
      <c r="Z1024">
        <f t="shared" si="15"/>
        <v>496.17</v>
      </c>
    </row>
    <row r="1025" spans="1:26" x14ac:dyDescent="0.25">
      <c r="A1025">
        <v>19597</v>
      </c>
      <c r="B1025" t="s">
        <v>56</v>
      </c>
      <c r="C1025" s="2">
        <v>7.0000000000000007E-2</v>
      </c>
      <c r="D1025" s="2">
        <v>100.98</v>
      </c>
      <c r="E1025" s="2">
        <v>57.38</v>
      </c>
      <c r="F1025">
        <v>1827</v>
      </c>
      <c r="G1025" t="s">
        <v>1803</v>
      </c>
      <c r="H1025" t="s">
        <v>39</v>
      </c>
      <c r="I1025" t="s">
        <v>28</v>
      </c>
      <c r="J1025" t="s">
        <v>41</v>
      </c>
      <c r="K1025" t="s">
        <v>187</v>
      </c>
      <c r="L1025" t="s">
        <v>120</v>
      </c>
      <c r="M1025" t="s">
        <v>1805</v>
      </c>
      <c r="N1025">
        <v>0.78</v>
      </c>
      <c r="O1025" t="s">
        <v>33</v>
      </c>
      <c r="P1025" t="s">
        <v>61</v>
      </c>
      <c r="Q1025" t="s">
        <v>324</v>
      </c>
      <c r="R1025" t="s">
        <v>148</v>
      </c>
      <c r="S1025">
        <v>52601</v>
      </c>
      <c r="T1025" s="1">
        <v>42112</v>
      </c>
      <c r="U1025" s="1">
        <v>42115</v>
      </c>
      <c r="V1025" s="2">
        <v>-429.86</v>
      </c>
      <c r="W1025">
        <v>2</v>
      </c>
      <c r="X1025" s="2">
        <v>215.32</v>
      </c>
      <c r="Y1025">
        <v>86958</v>
      </c>
      <c r="Z1025">
        <f t="shared" si="15"/>
        <v>430.64</v>
      </c>
    </row>
    <row r="1026" spans="1:26" x14ac:dyDescent="0.25">
      <c r="A1026">
        <v>19598</v>
      </c>
      <c r="B1026" t="s">
        <v>56</v>
      </c>
      <c r="C1026" s="2">
        <v>0.03</v>
      </c>
      <c r="D1026" s="2">
        <v>85.99</v>
      </c>
      <c r="E1026" s="2">
        <v>0.99</v>
      </c>
      <c r="F1026">
        <v>1827</v>
      </c>
      <c r="G1026" t="s">
        <v>1803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411</v>
      </c>
      <c r="N1026">
        <v>0.55000000000000004</v>
      </c>
      <c r="O1026" t="s">
        <v>33</v>
      </c>
      <c r="P1026" t="s">
        <v>61</v>
      </c>
      <c r="Q1026" t="s">
        <v>324</v>
      </c>
      <c r="R1026" t="s">
        <v>148</v>
      </c>
      <c r="S1026">
        <v>52601</v>
      </c>
      <c r="T1026" s="1">
        <v>42112</v>
      </c>
      <c r="U1026" s="1">
        <v>42114</v>
      </c>
      <c r="V1026" s="2">
        <v>264.16649999999998</v>
      </c>
      <c r="W1026">
        <v>5</v>
      </c>
      <c r="X1026" s="2">
        <v>382.85</v>
      </c>
      <c r="Y1026">
        <v>86958</v>
      </c>
      <c r="Z1026">
        <f t="shared" si="15"/>
        <v>1914.25</v>
      </c>
    </row>
    <row r="1027" spans="1:26" x14ac:dyDescent="0.25">
      <c r="A1027">
        <v>20553</v>
      </c>
      <c r="B1027" t="s">
        <v>37</v>
      </c>
      <c r="C1027" s="2">
        <v>0.02</v>
      </c>
      <c r="D1027" s="2">
        <v>5.98</v>
      </c>
      <c r="E1027" s="2">
        <v>5.46</v>
      </c>
      <c r="F1027">
        <v>1828</v>
      </c>
      <c r="G1027" t="s">
        <v>1806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1040</v>
      </c>
      <c r="N1027">
        <v>0.36</v>
      </c>
      <c r="O1027" t="s">
        <v>33</v>
      </c>
      <c r="P1027" t="s">
        <v>61</v>
      </c>
      <c r="Q1027" t="s">
        <v>324</v>
      </c>
      <c r="R1027" t="s">
        <v>1807</v>
      </c>
      <c r="S1027">
        <v>50613</v>
      </c>
      <c r="T1027" s="1">
        <v>42054</v>
      </c>
      <c r="U1027" s="1">
        <v>42055</v>
      </c>
      <c r="V1027" s="2">
        <v>-47.12</v>
      </c>
      <c r="W1027">
        <v>7</v>
      </c>
      <c r="X1027" s="2">
        <v>44.8</v>
      </c>
      <c r="Y1027">
        <v>86956</v>
      </c>
      <c r="Z1027">
        <f t="shared" ref="Z1027:Z1090" si="16">W1027*X1027</f>
        <v>313.59999999999997</v>
      </c>
    </row>
    <row r="1028" spans="1:26" x14ac:dyDescent="0.25">
      <c r="A1028">
        <v>21383</v>
      </c>
      <c r="B1028" t="s">
        <v>106</v>
      </c>
      <c r="C1028" s="2">
        <v>0.05</v>
      </c>
      <c r="D1028" s="2">
        <v>7.1</v>
      </c>
      <c r="E1028" s="2">
        <v>6.05</v>
      </c>
      <c r="F1028">
        <v>1828</v>
      </c>
      <c r="G1028" t="s">
        <v>1806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644</v>
      </c>
      <c r="N1028">
        <v>0.39</v>
      </c>
      <c r="O1028" t="s">
        <v>33</v>
      </c>
      <c r="P1028" t="s">
        <v>61</v>
      </c>
      <c r="Q1028" t="s">
        <v>324</v>
      </c>
      <c r="R1028" t="s">
        <v>1807</v>
      </c>
      <c r="S1028">
        <v>50613</v>
      </c>
      <c r="T1028" s="1">
        <v>42010</v>
      </c>
      <c r="U1028" s="1">
        <v>42010</v>
      </c>
      <c r="V1028" s="2">
        <v>-101.246</v>
      </c>
      <c r="W1028">
        <v>14</v>
      </c>
      <c r="X1028" s="2">
        <v>100.99</v>
      </c>
      <c r="Y1028">
        <v>86960</v>
      </c>
      <c r="Z1028">
        <f t="shared" si="16"/>
        <v>1413.86</v>
      </c>
    </row>
    <row r="1029" spans="1:26" x14ac:dyDescent="0.25">
      <c r="A1029">
        <v>21384</v>
      </c>
      <c r="B1029" t="s">
        <v>106</v>
      </c>
      <c r="C1029" s="2">
        <v>0.04</v>
      </c>
      <c r="D1029" s="2">
        <v>20.95</v>
      </c>
      <c r="E1029" s="2">
        <v>4</v>
      </c>
      <c r="F1029">
        <v>1828</v>
      </c>
      <c r="G1029" t="s">
        <v>1806</v>
      </c>
      <c r="H1029" t="s">
        <v>49</v>
      </c>
      <c r="I1029" t="s">
        <v>28</v>
      </c>
      <c r="J1029" t="s">
        <v>77</v>
      </c>
      <c r="K1029" t="s">
        <v>177</v>
      </c>
      <c r="L1029" t="s">
        <v>59</v>
      </c>
      <c r="M1029" t="s">
        <v>1578</v>
      </c>
      <c r="N1029">
        <v>0.6</v>
      </c>
      <c r="O1029" t="s">
        <v>33</v>
      </c>
      <c r="P1029" t="s">
        <v>61</v>
      </c>
      <c r="Q1029" t="s">
        <v>324</v>
      </c>
      <c r="R1029" t="s">
        <v>1807</v>
      </c>
      <c r="S1029">
        <v>50613</v>
      </c>
      <c r="T1029" s="1">
        <v>42010</v>
      </c>
      <c r="U1029" s="1">
        <v>42015</v>
      </c>
      <c r="V1029" s="2">
        <v>-1.88</v>
      </c>
      <c r="W1029">
        <v>7</v>
      </c>
      <c r="X1029" s="2">
        <v>142.06</v>
      </c>
      <c r="Y1029">
        <v>86960</v>
      </c>
      <c r="Z1029">
        <f t="shared" si="16"/>
        <v>994.42000000000007</v>
      </c>
    </row>
    <row r="1030" spans="1:26" x14ac:dyDescent="0.25">
      <c r="A1030">
        <v>23430</v>
      </c>
      <c r="B1030" t="s">
        <v>47</v>
      </c>
      <c r="C1030" s="2">
        <v>0.01</v>
      </c>
      <c r="D1030" s="2">
        <v>10.64</v>
      </c>
      <c r="E1030" s="2">
        <v>5.16</v>
      </c>
      <c r="F1030">
        <v>1829</v>
      </c>
      <c r="G1030" t="s">
        <v>1808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842</v>
      </c>
      <c r="N1030">
        <v>0.56999999999999995</v>
      </c>
      <c r="O1030" t="s">
        <v>33</v>
      </c>
      <c r="P1030" t="s">
        <v>61</v>
      </c>
      <c r="Q1030" t="s">
        <v>324</v>
      </c>
      <c r="R1030" t="s">
        <v>1809</v>
      </c>
      <c r="S1030">
        <v>52402</v>
      </c>
      <c r="T1030" s="1">
        <v>42088</v>
      </c>
      <c r="U1030" s="1">
        <v>42090</v>
      </c>
      <c r="V1030" s="2">
        <v>-11.69</v>
      </c>
      <c r="W1030">
        <v>5</v>
      </c>
      <c r="X1030" s="2">
        <v>58.52</v>
      </c>
      <c r="Y1030">
        <v>86957</v>
      </c>
      <c r="Z1030">
        <f t="shared" si="16"/>
        <v>292.60000000000002</v>
      </c>
    </row>
    <row r="1031" spans="1:26" x14ac:dyDescent="0.25">
      <c r="A1031">
        <v>21385</v>
      </c>
      <c r="B1031" t="s">
        <v>106</v>
      </c>
      <c r="C1031" s="2">
        <v>0.05</v>
      </c>
      <c r="D1031" s="2">
        <v>39.06</v>
      </c>
      <c r="E1031" s="2">
        <v>10.55</v>
      </c>
      <c r="F1031">
        <v>1829</v>
      </c>
      <c r="G1031" t="s">
        <v>1808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1121</v>
      </c>
      <c r="N1031">
        <v>0.37</v>
      </c>
      <c r="O1031" t="s">
        <v>33</v>
      </c>
      <c r="P1031" t="s">
        <v>61</v>
      </c>
      <c r="Q1031" t="s">
        <v>324</v>
      </c>
      <c r="R1031" t="s">
        <v>1809</v>
      </c>
      <c r="S1031">
        <v>52402</v>
      </c>
      <c r="T1031" s="1">
        <v>42010</v>
      </c>
      <c r="U1031" s="1">
        <v>42017</v>
      </c>
      <c r="V1031" s="2">
        <v>250.98060000000001</v>
      </c>
      <c r="W1031">
        <v>9</v>
      </c>
      <c r="X1031" s="2">
        <v>363.74</v>
      </c>
      <c r="Y1031">
        <v>86960</v>
      </c>
      <c r="Z1031">
        <f t="shared" si="16"/>
        <v>3273.66</v>
      </c>
    </row>
    <row r="1032" spans="1:26" x14ac:dyDescent="0.25">
      <c r="A1032">
        <v>21386</v>
      </c>
      <c r="B1032" t="s">
        <v>106</v>
      </c>
      <c r="C1032" s="2">
        <v>0.04</v>
      </c>
      <c r="D1032" s="2">
        <v>3.52</v>
      </c>
      <c r="E1032" s="2">
        <v>6.83</v>
      </c>
      <c r="F1032">
        <v>1829</v>
      </c>
      <c r="G1032" t="s">
        <v>1808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1810</v>
      </c>
      <c r="N1032">
        <v>0.38</v>
      </c>
      <c r="O1032" t="s">
        <v>33</v>
      </c>
      <c r="P1032" t="s">
        <v>61</v>
      </c>
      <c r="Q1032" t="s">
        <v>324</v>
      </c>
      <c r="R1032" t="s">
        <v>1809</v>
      </c>
      <c r="S1032">
        <v>52402</v>
      </c>
      <c r="T1032" s="1">
        <v>42010</v>
      </c>
      <c r="U1032" s="1">
        <v>42019</v>
      </c>
      <c r="V1032" s="2">
        <v>-57.753</v>
      </c>
      <c r="W1032">
        <v>4</v>
      </c>
      <c r="X1032" s="2">
        <v>15.93</v>
      </c>
      <c r="Y1032">
        <v>86960</v>
      </c>
      <c r="Z1032">
        <f t="shared" si="16"/>
        <v>63.72</v>
      </c>
    </row>
    <row r="1033" spans="1:26" x14ac:dyDescent="0.25">
      <c r="A1033">
        <v>21387</v>
      </c>
      <c r="B1033" t="s">
        <v>106</v>
      </c>
      <c r="C1033" s="2">
        <v>0.02</v>
      </c>
      <c r="D1033" s="2">
        <v>15.51</v>
      </c>
      <c r="E1033" s="2">
        <v>17.78</v>
      </c>
      <c r="F1033">
        <v>1829</v>
      </c>
      <c r="G1033" t="s">
        <v>1808</v>
      </c>
      <c r="H1033" t="s">
        <v>49</v>
      </c>
      <c r="I1033" t="s">
        <v>28</v>
      </c>
      <c r="J1033" t="s">
        <v>29</v>
      </c>
      <c r="K1033" t="s">
        <v>139</v>
      </c>
      <c r="L1033" t="s">
        <v>59</v>
      </c>
      <c r="M1033" t="s">
        <v>683</v>
      </c>
      <c r="N1033">
        <v>0.59</v>
      </c>
      <c r="O1033" t="s">
        <v>33</v>
      </c>
      <c r="P1033" t="s">
        <v>61</v>
      </c>
      <c r="Q1033" t="s">
        <v>324</v>
      </c>
      <c r="R1033" t="s">
        <v>1809</v>
      </c>
      <c r="S1033">
        <v>52402</v>
      </c>
      <c r="T1033" s="1">
        <v>42010</v>
      </c>
      <c r="U1033" s="1">
        <v>42017</v>
      </c>
      <c r="V1033" s="2">
        <v>-47.97</v>
      </c>
      <c r="W1033">
        <v>1</v>
      </c>
      <c r="X1033" s="2">
        <v>21.28</v>
      </c>
      <c r="Y1033">
        <v>86960</v>
      </c>
      <c r="Z1033">
        <f t="shared" si="16"/>
        <v>21.28</v>
      </c>
    </row>
    <row r="1034" spans="1:26" x14ac:dyDescent="0.25">
      <c r="A1034">
        <v>23589</v>
      </c>
      <c r="B1034" t="s">
        <v>25</v>
      </c>
      <c r="C1034" s="2">
        <v>0.01</v>
      </c>
      <c r="D1034" s="2">
        <v>155.99</v>
      </c>
      <c r="E1034" s="2">
        <v>8.99</v>
      </c>
      <c r="F1034">
        <v>1836</v>
      </c>
      <c r="G1034" t="s">
        <v>1811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987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271</v>
      </c>
      <c r="S1034">
        <v>94110</v>
      </c>
      <c r="T1034" s="1">
        <v>42113</v>
      </c>
      <c r="U1034" s="1">
        <v>42114</v>
      </c>
      <c r="V1034" s="2">
        <v>-219.07908</v>
      </c>
      <c r="W1034">
        <v>5</v>
      </c>
      <c r="X1034" s="2">
        <v>675.83</v>
      </c>
      <c r="Y1034">
        <v>86600</v>
      </c>
      <c r="Z1034">
        <f t="shared" si="16"/>
        <v>3379.15</v>
      </c>
    </row>
    <row r="1035" spans="1:26" x14ac:dyDescent="0.25">
      <c r="A1035">
        <v>23590</v>
      </c>
      <c r="B1035" t="s">
        <v>25</v>
      </c>
      <c r="C1035" s="2">
        <v>0.01</v>
      </c>
      <c r="D1035" s="2">
        <v>5.98</v>
      </c>
      <c r="E1035" s="2">
        <v>5.46</v>
      </c>
      <c r="F1035">
        <v>1837</v>
      </c>
      <c r="G1035" t="s">
        <v>1812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1040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1">
        <v>42113</v>
      </c>
      <c r="U1035" s="1">
        <v>42115</v>
      </c>
      <c r="V1035" s="2">
        <v>-18.878399999999999</v>
      </c>
      <c r="W1035">
        <v>4</v>
      </c>
      <c r="X1035" s="2">
        <v>28</v>
      </c>
      <c r="Y1035">
        <v>86600</v>
      </c>
      <c r="Z1035">
        <f t="shared" si="16"/>
        <v>112</v>
      </c>
    </row>
    <row r="1036" spans="1:26" x14ac:dyDescent="0.25">
      <c r="A1036">
        <v>18141</v>
      </c>
      <c r="B1036" t="s">
        <v>37</v>
      </c>
      <c r="C1036" s="2">
        <v>7.0000000000000007E-2</v>
      </c>
      <c r="D1036" s="2">
        <v>40.98</v>
      </c>
      <c r="E1036" s="2">
        <v>2.99</v>
      </c>
      <c r="F1036">
        <v>1840</v>
      </c>
      <c r="G1036" t="s">
        <v>1813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1055</v>
      </c>
      <c r="N1036">
        <v>0.36</v>
      </c>
      <c r="O1036" t="s">
        <v>33</v>
      </c>
      <c r="P1036" t="s">
        <v>53</v>
      </c>
      <c r="Q1036" t="s">
        <v>189</v>
      </c>
      <c r="R1036" t="s">
        <v>1814</v>
      </c>
      <c r="S1036">
        <v>1469</v>
      </c>
      <c r="T1036" s="1">
        <v>42093</v>
      </c>
      <c r="U1036" s="1">
        <v>42095</v>
      </c>
      <c r="V1036" s="2">
        <v>369.20519999999999</v>
      </c>
      <c r="W1036">
        <v>13</v>
      </c>
      <c r="X1036" s="2">
        <v>535.08000000000004</v>
      </c>
      <c r="Y1036">
        <v>86599</v>
      </c>
      <c r="Z1036">
        <f t="shared" si="16"/>
        <v>6956.0400000000009</v>
      </c>
    </row>
    <row r="1037" spans="1:26" x14ac:dyDescent="0.25">
      <c r="A1037">
        <v>19139</v>
      </c>
      <c r="B1037" t="s">
        <v>25</v>
      </c>
      <c r="C1037" s="2">
        <v>0.09</v>
      </c>
      <c r="D1037" s="2">
        <v>35.99</v>
      </c>
      <c r="E1037" s="2">
        <v>1.1000000000000001</v>
      </c>
      <c r="F1037">
        <v>1849</v>
      </c>
      <c r="G1037" t="s">
        <v>1815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926</v>
      </c>
      <c r="N1037">
        <v>0.55000000000000004</v>
      </c>
      <c r="O1037" t="s">
        <v>33</v>
      </c>
      <c r="P1037" t="s">
        <v>135</v>
      </c>
      <c r="Q1037" t="s">
        <v>1266</v>
      </c>
      <c r="R1037" t="s">
        <v>1816</v>
      </c>
      <c r="S1037">
        <v>36330</v>
      </c>
      <c r="T1037" s="1">
        <v>42095</v>
      </c>
      <c r="U1037" s="1">
        <v>42097</v>
      </c>
      <c r="V1037" s="2">
        <v>19.350000000000001</v>
      </c>
      <c r="W1037">
        <v>8</v>
      </c>
      <c r="X1037" s="2">
        <v>222.71</v>
      </c>
      <c r="Y1037">
        <v>89697</v>
      </c>
      <c r="Z1037">
        <f t="shared" si="16"/>
        <v>1781.68</v>
      </c>
    </row>
    <row r="1038" spans="1:26" x14ac:dyDescent="0.25">
      <c r="A1038">
        <v>19140</v>
      </c>
      <c r="B1038" t="s">
        <v>25</v>
      </c>
      <c r="C1038" s="2">
        <v>0.01</v>
      </c>
      <c r="D1038" s="2">
        <v>125.99</v>
      </c>
      <c r="E1038" s="2">
        <v>2.5</v>
      </c>
      <c r="F1038">
        <v>1849</v>
      </c>
      <c r="G1038" t="s">
        <v>1815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1137</v>
      </c>
      <c r="N1038">
        <v>0.6</v>
      </c>
      <c r="O1038" t="s">
        <v>33</v>
      </c>
      <c r="P1038" t="s">
        <v>135</v>
      </c>
      <c r="Q1038" t="s">
        <v>1266</v>
      </c>
      <c r="R1038" t="s">
        <v>1816</v>
      </c>
      <c r="S1038">
        <v>36330</v>
      </c>
      <c r="T1038" s="1">
        <v>42095</v>
      </c>
      <c r="U1038" s="1">
        <v>42096</v>
      </c>
      <c r="V1038" s="2">
        <v>-967.83399999999995</v>
      </c>
      <c r="W1038">
        <v>2</v>
      </c>
      <c r="X1038" s="2">
        <v>220.52</v>
      </c>
      <c r="Y1038">
        <v>89697</v>
      </c>
      <c r="Z1038">
        <f t="shared" si="16"/>
        <v>441.04</v>
      </c>
    </row>
    <row r="1039" spans="1:26" x14ac:dyDescent="0.25">
      <c r="A1039">
        <v>19141</v>
      </c>
      <c r="B1039" t="s">
        <v>37</v>
      </c>
      <c r="C1039" s="2">
        <v>0.06</v>
      </c>
      <c r="D1039" s="2">
        <v>6.48</v>
      </c>
      <c r="E1039" s="2">
        <v>5.14</v>
      </c>
      <c r="F1039">
        <v>1852</v>
      </c>
      <c r="G1039" t="s">
        <v>1817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929</v>
      </c>
      <c r="N1039">
        <v>0.37</v>
      </c>
      <c r="O1039" t="s">
        <v>33</v>
      </c>
      <c r="P1039" t="s">
        <v>34</v>
      </c>
      <c r="Q1039" t="s">
        <v>45</v>
      </c>
      <c r="R1039" t="s">
        <v>1818</v>
      </c>
      <c r="S1039">
        <v>92008</v>
      </c>
      <c r="T1039" s="1">
        <v>42082</v>
      </c>
      <c r="U1039" s="1">
        <v>42084</v>
      </c>
      <c r="V1039" s="2">
        <v>-28.45</v>
      </c>
      <c r="W1039">
        <v>10</v>
      </c>
      <c r="X1039" s="2">
        <v>68.34</v>
      </c>
      <c r="Y1039">
        <v>86847</v>
      </c>
      <c r="Z1039">
        <f t="shared" si="16"/>
        <v>683.40000000000009</v>
      </c>
    </row>
    <row r="1040" spans="1:26" x14ac:dyDescent="0.25">
      <c r="A1040">
        <v>19142</v>
      </c>
      <c r="B1040" t="s">
        <v>37</v>
      </c>
      <c r="C1040" s="2">
        <v>0.02</v>
      </c>
      <c r="D1040" s="2">
        <v>30.73</v>
      </c>
      <c r="E1040" s="2">
        <v>4</v>
      </c>
      <c r="F1040">
        <v>1854</v>
      </c>
      <c r="G1040" t="s">
        <v>1819</v>
      </c>
      <c r="H1040" t="s">
        <v>49</v>
      </c>
      <c r="I1040" t="s">
        <v>40</v>
      </c>
      <c r="J1040" t="s">
        <v>77</v>
      </c>
      <c r="K1040" t="s">
        <v>177</v>
      </c>
      <c r="L1040" t="s">
        <v>59</v>
      </c>
      <c r="M1040" t="s">
        <v>283</v>
      </c>
      <c r="N1040">
        <v>0.75</v>
      </c>
      <c r="O1040" t="s">
        <v>33</v>
      </c>
      <c r="P1040" t="s">
        <v>53</v>
      </c>
      <c r="Q1040" t="s">
        <v>223</v>
      </c>
      <c r="R1040" t="s">
        <v>679</v>
      </c>
      <c r="S1040">
        <v>6478</v>
      </c>
      <c r="T1040" s="1">
        <v>42082</v>
      </c>
      <c r="U1040" s="1">
        <v>42085</v>
      </c>
      <c r="V1040" s="2">
        <v>72.78</v>
      </c>
      <c r="W1040">
        <v>16</v>
      </c>
      <c r="X1040" s="2">
        <v>522.22</v>
      </c>
      <c r="Y1040">
        <v>86847</v>
      </c>
      <c r="Z1040">
        <f t="shared" si="16"/>
        <v>8355.52</v>
      </c>
    </row>
    <row r="1041" spans="1:26" x14ac:dyDescent="0.25">
      <c r="A1041">
        <v>20036</v>
      </c>
      <c r="B1041" t="s">
        <v>47</v>
      </c>
      <c r="C1041" s="2">
        <v>0.09</v>
      </c>
      <c r="D1041" s="2">
        <v>5.98</v>
      </c>
      <c r="E1041" s="2">
        <v>1.49</v>
      </c>
      <c r="F1041">
        <v>1860</v>
      </c>
      <c r="G1041" t="s">
        <v>1820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1010</v>
      </c>
      <c r="N1041">
        <v>0.39</v>
      </c>
      <c r="O1041" t="s">
        <v>33</v>
      </c>
      <c r="P1041" t="s">
        <v>53</v>
      </c>
      <c r="Q1041" t="s">
        <v>189</v>
      </c>
      <c r="R1041" t="s">
        <v>1821</v>
      </c>
      <c r="S1041">
        <v>1570</v>
      </c>
      <c r="T1041" s="1">
        <v>42170</v>
      </c>
      <c r="U1041" s="1">
        <v>42172</v>
      </c>
      <c r="V1041" s="2">
        <v>13.2294</v>
      </c>
      <c r="W1041">
        <v>5</v>
      </c>
      <c r="X1041" s="2">
        <v>28.01</v>
      </c>
      <c r="Y1041">
        <v>86846</v>
      </c>
      <c r="Z1041">
        <f t="shared" si="16"/>
        <v>140.05000000000001</v>
      </c>
    </row>
    <row r="1042" spans="1:26" x14ac:dyDescent="0.25">
      <c r="A1042">
        <v>18879</v>
      </c>
      <c r="B1042" t="s">
        <v>37</v>
      </c>
      <c r="C1042" s="2">
        <v>0.08</v>
      </c>
      <c r="D1042" s="2">
        <v>8.09</v>
      </c>
      <c r="E1042" s="2">
        <v>7.96</v>
      </c>
      <c r="F1042">
        <v>1869</v>
      </c>
      <c r="G1042" t="s">
        <v>1822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155</v>
      </c>
      <c r="N1042">
        <v>0.49</v>
      </c>
      <c r="O1042" t="s">
        <v>33</v>
      </c>
      <c r="P1042" t="s">
        <v>34</v>
      </c>
      <c r="Q1042" t="s">
        <v>360</v>
      </c>
      <c r="R1042" t="s">
        <v>1823</v>
      </c>
      <c r="S1042">
        <v>88310</v>
      </c>
      <c r="T1042" s="1">
        <v>42127</v>
      </c>
      <c r="U1042" s="1">
        <v>42128</v>
      </c>
      <c r="V1042" s="2">
        <v>-88.82</v>
      </c>
      <c r="W1042">
        <v>10</v>
      </c>
      <c r="X1042" s="2">
        <v>80.349999999999994</v>
      </c>
      <c r="Y1042">
        <v>89209</v>
      </c>
      <c r="Z1042">
        <f t="shared" si="16"/>
        <v>803.5</v>
      </c>
    </row>
    <row r="1043" spans="1:26" x14ac:dyDescent="0.25">
      <c r="A1043">
        <v>19415</v>
      </c>
      <c r="B1043" t="s">
        <v>56</v>
      </c>
      <c r="C1043" s="2">
        <v>0.03</v>
      </c>
      <c r="D1043" s="2">
        <v>90.48</v>
      </c>
      <c r="E1043" s="2">
        <v>19.989999999999998</v>
      </c>
      <c r="F1043">
        <v>1873</v>
      </c>
      <c r="G1043" t="s">
        <v>1824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1825</v>
      </c>
      <c r="N1043">
        <v>0.4</v>
      </c>
      <c r="O1043" t="s">
        <v>33</v>
      </c>
      <c r="P1043" t="s">
        <v>135</v>
      </c>
      <c r="Q1043" t="s">
        <v>356</v>
      </c>
      <c r="R1043" t="s">
        <v>1826</v>
      </c>
      <c r="S1043">
        <v>33403</v>
      </c>
      <c r="T1043" s="1">
        <v>42021</v>
      </c>
      <c r="U1043" s="1">
        <v>42023</v>
      </c>
      <c r="V1043" s="2">
        <v>15.353999999999999</v>
      </c>
      <c r="W1043">
        <v>1</v>
      </c>
      <c r="X1043" s="2">
        <v>99.69</v>
      </c>
      <c r="Y1043">
        <v>90099</v>
      </c>
      <c r="Z1043">
        <f t="shared" si="16"/>
        <v>99.69</v>
      </c>
    </row>
    <row r="1044" spans="1:26" x14ac:dyDescent="0.25">
      <c r="A1044">
        <v>19416</v>
      </c>
      <c r="B1044" t="s">
        <v>56</v>
      </c>
      <c r="C1044" s="2">
        <v>0.06</v>
      </c>
      <c r="D1044" s="2">
        <v>22.84</v>
      </c>
      <c r="E1044" s="2">
        <v>8.18</v>
      </c>
      <c r="F1044">
        <v>1873</v>
      </c>
      <c r="G1044" t="s">
        <v>1824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1827</v>
      </c>
      <c r="N1044">
        <v>0.39</v>
      </c>
      <c r="O1044" t="s">
        <v>33</v>
      </c>
      <c r="P1044" t="s">
        <v>135</v>
      </c>
      <c r="Q1044" t="s">
        <v>356</v>
      </c>
      <c r="R1044" t="s">
        <v>1826</v>
      </c>
      <c r="S1044">
        <v>33403</v>
      </c>
      <c r="T1044" s="1">
        <v>42021</v>
      </c>
      <c r="U1044" s="1">
        <v>42021</v>
      </c>
      <c r="V1044" s="2">
        <v>-357.92399999999998</v>
      </c>
      <c r="W1044">
        <v>7</v>
      </c>
      <c r="X1044" s="2">
        <v>152.49</v>
      </c>
      <c r="Y1044">
        <v>90099</v>
      </c>
      <c r="Z1044">
        <f t="shared" si="16"/>
        <v>1067.43</v>
      </c>
    </row>
    <row r="1045" spans="1:26" x14ac:dyDescent="0.25">
      <c r="A1045">
        <v>20844</v>
      </c>
      <c r="B1045" t="s">
        <v>47</v>
      </c>
      <c r="C1045" s="2">
        <v>0.09</v>
      </c>
      <c r="D1045" s="2">
        <v>95.99</v>
      </c>
      <c r="E1045" s="2">
        <v>4.9000000000000004</v>
      </c>
      <c r="F1045">
        <v>1875</v>
      </c>
      <c r="G1045" t="s">
        <v>1828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249</v>
      </c>
      <c r="N1045">
        <v>0.56000000000000005</v>
      </c>
      <c r="O1045" t="s">
        <v>33</v>
      </c>
      <c r="P1045" t="s">
        <v>135</v>
      </c>
      <c r="Q1045" t="s">
        <v>136</v>
      </c>
      <c r="R1045" t="s">
        <v>1829</v>
      </c>
      <c r="S1045">
        <v>23320</v>
      </c>
      <c r="T1045" s="1">
        <v>42033</v>
      </c>
      <c r="U1045" s="1">
        <v>42035</v>
      </c>
      <c r="V1045" s="2">
        <v>34.302</v>
      </c>
      <c r="W1045">
        <v>4</v>
      </c>
      <c r="X1045" s="2">
        <v>320.75</v>
      </c>
      <c r="Y1045">
        <v>90899</v>
      </c>
      <c r="Z1045">
        <f t="shared" si="16"/>
        <v>1283</v>
      </c>
    </row>
    <row r="1046" spans="1:26" x14ac:dyDescent="0.25">
      <c r="A1046">
        <v>18284</v>
      </c>
      <c r="B1046" t="s">
        <v>37</v>
      </c>
      <c r="C1046" s="2">
        <v>0.09</v>
      </c>
      <c r="D1046" s="2">
        <v>5.78</v>
      </c>
      <c r="E1046" s="2">
        <v>5.67</v>
      </c>
      <c r="F1046">
        <v>1882</v>
      </c>
      <c r="G1046" t="s">
        <v>1830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629</v>
      </c>
      <c r="N1046">
        <v>0.36</v>
      </c>
      <c r="O1046" t="s">
        <v>33</v>
      </c>
      <c r="P1046" t="s">
        <v>53</v>
      </c>
      <c r="Q1046" t="s">
        <v>54</v>
      </c>
      <c r="R1046" t="s">
        <v>1831</v>
      </c>
      <c r="S1046">
        <v>7036</v>
      </c>
      <c r="T1046" s="1">
        <v>42064</v>
      </c>
      <c r="U1046" s="1">
        <v>42066</v>
      </c>
      <c r="V1046" s="2">
        <v>-7.96</v>
      </c>
      <c r="W1046">
        <v>1</v>
      </c>
      <c r="X1046" s="2">
        <v>11.35</v>
      </c>
      <c r="Y1046">
        <v>87378</v>
      </c>
      <c r="Z1046">
        <f t="shared" si="16"/>
        <v>11.35</v>
      </c>
    </row>
    <row r="1047" spans="1:26" x14ac:dyDescent="0.25">
      <c r="A1047">
        <v>18283</v>
      </c>
      <c r="B1047" t="s">
        <v>37</v>
      </c>
      <c r="C1047" s="2">
        <v>0.05</v>
      </c>
      <c r="D1047" s="2">
        <v>535.64</v>
      </c>
      <c r="E1047" s="2">
        <v>14.7</v>
      </c>
      <c r="F1047">
        <v>1885</v>
      </c>
      <c r="G1047" t="s">
        <v>1832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1833</v>
      </c>
      <c r="N1047">
        <v>0.59</v>
      </c>
      <c r="O1047" t="s">
        <v>33</v>
      </c>
      <c r="P1047" t="s">
        <v>53</v>
      </c>
      <c r="Q1047" t="s">
        <v>463</v>
      </c>
      <c r="R1047" t="s">
        <v>1834</v>
      </c>
      <c r="S1047">
        <v>2806</v>
      </c>
      <c r="T1047" s="1">
        <v>42064</v>
      </c>
      <c r="U1047" s="1">
        <v>42066</v>
      </c>
      <c r="V1047" s="2">
        <v>4407.4399999999996</v>
      </c>
      <c r="W1047">
        <v>15</v>
      </c>
      <c r="X1047" s="2">
        <v>7029.1</v>
      </c>
      <c r="Y1047">
        <v>87378</v>
      </c>
      <c r="Z1047">
        <f t="shared" si="16"/>
        <v>105436.5</v>
      </c>
    </row>
    <row r="1048" spans="1:26" x14ac:dyDescent="0.25">
      <c r="A1048">
        <v>19918</v>
      </c>
      <c r="B1048" t="s">
        <v>106</v>
      </c>
      <c r="C1048" s="2">
        <v>0.09</v>
      </c>
      <c r="D1048" s="2">
        <v>78.8</v>
      </c>
      <c r="E1048" s="2">
        <v>35</v>
      </c>
      <c r="F1048">
        <v>1889</v>
      </c>
      <c r="G1048" t="s">
        <v>1835</v>
      </c>
      <c r="H1048" t="s">
        <v>49</v>
      </c>
      <c r="I1048" t="s">
        <v>40</v>
      </c>
      <c r="J1048" t="s">
        <v>29</v>
      </c>
      <c r="K1048" t="s">
        <v>139</v>
      </c>
      <c r="L1048" t="s">
        <v>231</v>
      </c>
      <c r="M1048" t="s">
        <v>1836</v>
      </c>
      <c r="N1048">
        <v>0.83</v>
      </c>
      <c r="O1048" t="s">
        <v>33</v>
      </c>
      <c r="P1048" t="s">
        <v>53</v>
      </c>
      <c r="Q1048" t="s">
        <v>152</v>
      </c>
      <c r="R1048" t="s">
        <v>1725</v>
      </c>
      <c r="S1048">
        <v>45429</v>
      </c>
      <c r="T1048" s="1">
        <v>42111</v>
      </c>
      <c r="U1048" s="1">
        <v>42115</v>
      </c>
      <c r="V1048" s="2">
        <v>-1025.0172</v>
      </c>
      <c r="W1048">
        <v>14</v>
      </c>
      <c r="X1048" s="2">
        <v>1059.3800000000001</v>
      </c>
      <c r="Y1048">
        <v>90631</v>
      </c>
      <c r="Z1048">
        <f t="shared" si="16"/>
        <v>14831.320000000002</v>
      </c>
    </row>
    <row r="1049" spans="1:26" x14ac:dyDescent="0.25">
      <c r="A1049">
        <v>23886</v>
      </c>
      <c r="B1049" t="s">
        <v>37</v>
      </c>
      <c r="C1049" s="2">
        <v>0.03</v>
      </c>
      <c r="D1049" s="2">
        <v>320.64</v>
      </c>
      <c r="E1049" s="2">
        <v>29.2</v>
      </c>
      <c r="F1049">
        <v>1891</v>
      </c>
      <c r="G1049" t="s">
        <v>1837</v>
      </c>
      <c r="H1049" t="s">
        <v>39</v>
      </c>
      <c r="I1049" t="s">
        <v>40</v>
      </c>
      <c r="J1049" t="s">
        <v>41</v>
      </c>
      <c r="K1049" t="s">
        <v>150</v>
      </c>
      <c r="L1049" t="s">
        <v>120</v>
      </c>
      <c r="M1049" t="s">
        <v>1838</v>
      </c>
      <c r="N1049">
        <v>0.66</v>
      </c>
      <c r="O1049" t="s">
        <v>33</v>
      </c>
      <c r="P1049" t="s">
        <v>53</v>
      </c>
      <c r="Q1049" t="s">
        <v>152</v>
      </c>
      <c r="R1049" t="s">
        <v>1839</v>
      </c>
      <c r="S1049">
        <v>45801</v>
      </c>
      <c r="T1049" s="1">
        <v>42099</v>
      </c>
      <c r="U1049" s="1">
        <v>42101</v>
      </c>
      <c r="V1049" s="2">
        <v>429.75435599999997</v>
      </c>
      <c r="W1049">
        <v>7</v>
      </c>
      <c r="X1049" s="2">
        <v>2233.46</v>
      </c>
      <c r="Y1049">
        <v>90630</v>
      </c>
      <c r="Z1049">
        <f t="shared" si="16"/>
        <v>15634.220000000001</v>
      </c>
    </row>
    <row r="1050" spans="1:26" x14ac:dyDescent="0.25">
      <c r="A1050">
        <v>22858</v>
      </c>
      <c r="B1050" t="s">
        <v>106</v>
      </c>
      <c r="C1050" s="2">
        <v>0.03</v>
      </c>
      <c r="D1050" s="2">
        <v>180.98</v>
      </c>
      <c r="E1050" s="2">
        <v>26.2</v>
      </c>
      <c r="F1050">
        <v>1893</v>
      </c>
      <c r="G1050" t="s">
        <v>1840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236</v>
      </c>
      <c r="N1050">
        <v>0.59</v>
      </c>
      <c r="O1050" t="s">
        <v>33</v>
      </c>
      <c r="P1050" t="s">
        <v>61</v>
      </c>
      <c r="Q1050" t="s">
        <v>499</v>
      </c>
      <c r="R1050" t="s">
        <v>1841</v>
      </c>
      <c r="S1050">
        <v>63119</v>
      </c>
      <c r="T1050" s="1">
        <v>42120</v>
      </c>
      <c r="U1050" s="1">
        <v>42124</v>
      </c>
      <c r="V1050" s="2">
        <v>588.54</v>
      </c>
      <c r="W1050">
        <v>5</v>
      </c>
      <c r="X1050" s="2">
        <v>928.92</v>
      </c>
      <c r="Y1050">
        <v>91262</v>
      </c>
      <c r="Z1050">
        <f t="shared" si="16"/>
        <v>4644.5999999999995</v>
      </c>
    </row>
    <row r="1051" spans="1:26" x14ac:dyDescent="0.25">
      <c r="A1051">
        <v>23260</v>
      </c>
      <c r="B1051" t="s">
        <v>47</v>
      </c>
      <c r="C1051" s="2">
        <v>0</v>
      </c>
      <c r="D1051" s="2">
        <v>300.98</v>
      </c>
      <c r="E1051" s="2">
        <v>164.73</v>
      </c>
      <c r="F1051">
        <v>1894</v>
      </c>
      <c r="G1051" t="s">
        <v>1842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1476</v>
      </c>
      <c r="N1051">
        <v>0.56000000000000005</v>
      </c>
      <c r="O1051" t="s">
        <v>33</v>
      </c>
      <c r="P1051" t="s">
        <v>61</v>
      </c>
      <c r="Q1051" t="s">
        <v>1843</v>
      </c>
      <c r="R1051" t="s">
        <v>1844</v>
      </c>
      <c r="S1051">
        <v>54915</v>
      </c>
      <c r="T1051" s="1">
        <v>42059</v>
      </c>
      <c r="U1051" s="1">
        <v>42060</v>
      </c>
      <c r="V1051" s="2">
        <v>2653.2914999999998</v>
      </c>
      <c r="W1051">
        <v>12</v>
      </c>
      <c r="X1051" s="2">
        <v>3845.35</v>
      </c>
      <c r="Y1051">
        <v>91261</v>
      </c>
      <c r="Z1051">
        <f t="shared" si="16"/>
        <v>46144.2</v>
      </c>
    </row>
    <row r="1052" spans="1:26" x14ac:dyDescent="0.25">
      <c r="A1052">
        <v>23261</v>
      </c>
      <c r="B1052" t="s">
        <v>47</v>
      </c>
      <c r="C1052" s="2">
        <v>0.09</v>
      </c>
      <c r="D1052" s="2">
        <v>2.94</v>
      </c>
      <c r="E1052" s="2">
        <v>0.96</v>
      </c>
      <c r="F1052">
        <v>1894</v>
      </c>
      <c r="G1052" t="s">
        <v>1842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592</v>
      </c>
      <c r="N1052">
        <v>0.57999999999999996</v>
      </c>
      <c r="O1052" t="s">
        <v>33</v>
      </c>
      <c r="P1052" t="s">
        <v>61</v>
      </c>
      <c r="Q1052" t="s">
        <v>1843</v>
      </c>
      <c r="R1052" t="s">
        <v>1844</v>
      </c>
      <c r="S1052">
        <v>54915</v>
      </c>
      <c r="T1052" s="1">
        <v>42059</v>
      </c>
      <c r="U1052" s="1">
        <v>42061</v>
      </c>
      <c r="V1052" s="2">
        <v>-1.84</v>
      </c>
      <c r="W1052">
        <v>1</v>
      </c>
      <c r="X1052" s="2">
        <v>3.77</v>
      </c>
      <c r="Y1052">
        <v>91261</v>
      </c>
      <c r="Z1052">
        <f t="shared" si="16"/>
        <v>3.77</v>
      </c>
    </row>
    <row r="1053" spans="1:26" x14ac:dyDescent="0.25">
      <c r="A1053">
        <v>23237</v>
      </c>
      <c r="B1053" t="s">
        <v>25</v>
      </c>
      <c r="C1053" s="2">
        <v>0.01</v>
      </c>
      <c r="D1053" s="2">
        <v>26.17</v>
      </c>
      <c r="E1053" s="2">
        <v>1.39</v>
      </c>
      <c r="F1053">
        <v>1894</v>
      </c>
      <c r="G1053" t="s">
        <v>1842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1845</v>
      </c>
      <c r="N1053">
        <v>0.38</v>
      </c>
      <c r="O1053" t="s">
        <v>33</v>
      </c>
      <c r="P1053" t="s">
        <v>61</v>
      </c>
      <c r="Q1053" t="s">
        <v>1843</v>
      </c>
      <c r="R1053" t="s">
        <v>1844</v>
      </c>
      <c r="S1053">
        <v>54915</v>
      </c>
      <c r="T1053" s="1">
        <v>42081</v>
      </c>
      <c r="U1053" s="1">
        <v>42082</v>
      </c>
      <c r="V1053" s="2">
        <v>237.04259999999999</v>
      </c>
      <c r="W1053">
        <v>13</v>
      </c>
      <c r="X1053" s="2">
        <v>343.54</v>
      </c>
      <c r="Y1053">
        <v>91263</v>
      </c>
      <c r="Z1053">
        <f t="shared" si="16"/>
        <v>4466.0200000000004</v>
      </c>
    </row>
    <row r="1054" spans="1:26" x14ac:dyDescent="0.25">
      <c r="A1054">
        <v>19048</v>
      </c>
      <c r="B1054" t="s">
        <v>106</v>
      </c>
      <c r="C1054" s="2">
        <v>7.0000000000000007E-2</v>
      </c>
      <c r="D1054" s="2">
        <v>172.99</v>
      </c>
      <c r="E1054" s="2">
        <v>19.989999999999998</v>
      </c>
      <c r="F1054">
        <v>1906</v>
      </c>
      <c r="G1054" t="s">
        <v>1846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1847</v>
      </c>
      <c r="N1054">
        <v>0.39</v>
      </c>
      <c r="O1054" t="s">
        <v>33</v>
      </c>
      <c r="P1054" t="s">
        <v>53</v>
      </c>
      <c r="Q1054" t="s">
        <v>152</v>
      </c>
      <c r="R1054" t="s">
        <v>1839</v>
      </c>
      <c r="S1054">
        <v>45801</v>
      </c>
      <c r="T1054" s="1">
        <v>42141</v>
      </c>
      <c r="U1054" s="1">
        <v>42141</v>
      </c>
      <c r="V1054" s="2">
        <v>2502.6851999999999</v>
      </c>
      <c r="W1054">
        <v>22</v>
      </c>
      <c r="X1054" s="2">
        <v>3627.08</v>
      </c>
      <c r="Y1054">
        <v>86500</v>
      </c>
      <c r="Z1054">
        <f t="shared" si="16"/>
        <v>79795.759999999995</v>
      </c>
    </row>
    <row r="1055" spans="1:26" x14ac:dyDescent="0.25">
      <c r="A1055">
        <v>19049</v>
      </c>
      <c r="B1055" t="s">
        <v>106</v>
      </c>
      <c r="C1055" s="2">
        <v>0.09</v>
      </c>
      <c r="D1055" s="2">
        <v>7.64</v>
      </c>
      <c r="E1055" s="2">
        <v>1.39</v>
      </c>
      <c r="F1055">
        <v>1907</v>
      </c>
      <c r="G1055" t="s">
        <v>1848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1228</v>
      </c>
      <c r="N1055">
        <v>0.36</v>
      </c>
      <c r="O1055" t="s">
        <v>33</v>
      </c>
      <c r="P1055" t="s">
        <v>53</v>
      </c>
      <c r="Q1055" t="s">
        <v>152</v>
      </c>
      <c r="R1055" t="s">
        <v>1849</v>
      </c>
      <c r="S1055">
        <v>44052</v>
      </c>
      <c r="T1055" s="1">
        <v>42141</v>
      </c>
      <c r="U1055" s="1">
        <v>42150</v>
      </c>
      <c r="V1055" s="2">
        <v>0.68799999999999994</v>
      </c>
      <c r="W1055">
        <v>1</v>
      </c>
      <c r="X1055" s="2">
        <v>8.34</v>
      </c>
      <c r="Y1055">
        <v>86500</v>
      </c>
      <c r="Z1055">
        <f t="shared" si="16"/>
        <v>8.34</v>
      </c>
    </row>
    <row r="1056" spans="1:26" x14ac:dyDescent="0.25">
      <c r="A1056">
        <v>23812</v>
      </c>
      <c r="B1056" t="s">
        <v>37</v>
      </c>
      <c r="C1056" s="2">
        <v>0.02</v>
      </c>
      <c r="D1056" s="2">
        <v>29.17</v>
      </c>
      <c r="E1056" s="2">
        <v>6.27</v>
      </c>
      <c r="F1056">
        <v>1910</v>
      </c>
      <c r="G1056" t="s">
        <v>1850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518</v>
      </c>
      <c r="N1056">
        <v>0.37</v>
      </c>
      <c r="O1056" t="s">
        <v>33</v>
      </c>
      <c r="P1056" t="s">
        <v>135</v>
      </c>
      <c r="Q1056" t="s">
        <v>381</v>
      </c>
      <c r="R1056" t="s">
        <v>1851</v>
      </c>
      <c r="S1056">
        <v>30269</v>
      </c>
      <c r="T1056" s="1">
        <v>42005</v>
      </c>
      <c r="U1056" s="1">
        <v>42006</v>
      </c>
      <c r="V1056" s="2">
        <v>36.905999999999999</v>
      </c>
      <c r="W1056">
        <v>2</v>
      </c>
      <c r="X1056" s="2">
        <v>63.32</v>
      </c>
      <c r="Y1056">
        <v>91371</v>
      </c>
      <c r="Z1056">
        <f t="shared" si="16"/>
        <v>126.64</v>
      </c>
    </row>
    <row r="1057" spans="1:26" x14ac:dyDescent="0.25">
      <c r="A1057">
        <v>18962</v>
      </c>
      <c r="B1057" t="s">
        <v>47</v>
      </c>
      <c r="C1057" s="2">
        <v>0.03</v>
      </c>
      <c r="D1057" s="2">
        <v>11.99</v>
      </c>
      <c r="E1057" s="2">
        <v>5.99</v>
      </c>
      <c r="F1057">
        <v>1916</v>
      </c>
      <c r="G1057" t="s">
        <v>1852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1853</v>
      </c>
      <c r="N1057">
        <v>0.36</v>
      </c>
      <c r="O1057" t="s">
        <v>33</v>
      </c>
      <c r="P1057" t="s">
        <v>135</v>
      </c>
      <c r="Q1057" t="s">
        <v>949</v>
      </c>
      <c r="R1057" t="s">
        <v>1854</v>
      </c>
      <c r="S1057">
        <v>72209</v>
      </c>
      <c r="T1057" s="1">
        <v>42062</v>
      </c>
      <c r="U1057" s="1">
        <v>42063</v>
      </c>
      <c r="V1057" s="2">
        <v>-216.02979999999999</v>
      </c>
      <c r="W1057">
        <v>7</v>
      </c>
      <c r="X1057" s="2">
        <v>83.72</v>
      </c>
      <c r="Y1057">
        <v>85893</v>
      </c>
      <c r="Z1057">
        <f t="shared" si="16"/>
        <v>586.04</v>
      </c>
    </row>
    <row r="1058" spans="1:26" x14ac:dyDescent="0.25">
      <c r="A1058">
        <v>18016</v>
      </c>
      <c r="B1058" t="s">
        <v>25</v>
      </c>
      <c r="C1058" s="2">
        <v>0.01</v>
      </c>
      <c r="D1058" s="2">
        <v>125.99</v>
      </c>
      <c r="E1058" s="2">
        <v>8.99</v>
      </c>
      <c r="F1058">
        <v>1916</v>
      </c>
      <c r="G1058" t="s">
        <v>1852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847</v>
      </c>
      <c r="N1058">
        <v>0.55000000000000004</v>
      </c>
      <c r="O1058" t="s">
        <v>33</v>
      </c>
      <c r="P1058" t="s">
        <v>135</v>
      </c>
      <c r="Q1058" t="s">
        <v>949</v>
      </c>
      <c r="R1058" t="s">
        <v>1854</v>
      </c>
      <c r="S1058">
        <v>72209</v>
      </c>
      <c r="T1058" s="1">
        <v>42110</v>
      </c>
      <c r="U1058" s="1">
        <v>42112</v>
      </c>
      <c r="V1058" s="2">
        <v>-45.472000000000001</v>
      </c>
      <c r="W1058">
        <v>9</v>
      </c>
      <c r="X1058" s="2">
        <v>1011.44</v>
      </c>
      <c r="Y1058">
        <v>85895</v>
      </c>
      <c r="Z1058">
        <f t="shared" si="16"/>
        <v>9102.9600000000009</v>
      </c>
    </row>
    <row r="1059" spans="1:26" x14ac:dyDescent="0.25">
      <c r="A1059">
        <v>21000</v>
      </c>
      <c r="B1059" t="s">
        <v>56</v>
      </c>
      <c r="C1059" s="2">
        <v>0.08</v>
      </c>
      <c r="D1059" s="2">
        <v>18.7</v>
      </c>
      <c r="E1059" s="2">
        <v>8.99</v>
      </c>
      <c r="F1059">
        <v>1917</v>
      </c>
      <c r="G1059" t="s">
        <v>1855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1856</v>
      </c>
      <c r="N1059">
        <v>0.47</v>
      </c>
      <c r="O1059" t="s">
        <v>33</v>
      </c>
      <c r="P1059" t="s">
        <v>135</v>
      </c>
      <c r="Q1059" t="s">
        <v>949</v>
      </c>
      <c r="R1059" t="s">
        <v>1857</v>
      </c>
      <c r="S1059">
        <v>72113</v>
      </c>
      <c r="T1059" s="1">
        <v>42090</v>
      </c>
      <c r="U1059" s="1">
        <v>42091</v>
      </c>
      <c r="V1059" s="2">
        <v>16.136399999999998</v>
      </c>
      <c r="W1059">
        <v>7</v>
      </c>
      <c r="X1059" s="2">
        <v>132.22999999999999</v>
      </c>
      <c r="Y1059">
        <v>85894</v>
      </c>
      <c r="Z1059">
        <f t="shared" si="16"/>
        <v>925.6099999999999</v>
      </c>
    </row>
    <row r="1060" spans="1:26" x14ac:dyDescent="0.25">
      <c r="A1060">
        <v>19967</v>
      </c>
      <c r="B1060" t="s">
        <v>25</v>
      </c>
      <c r="C1060" s="2">
        <v>0.08</v>
      </c>
      <c r="D1060" s="2">
        <v>22.23</v>
      </c>
      <c r="E1060" s="2">
        <v>3.63</v>
      </c>
      <c r="F1060">
        <v>1917</v>
      </c>
      <c r="G1060" t="s">
        <v>1855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1858</v>
      </c>
      <c r="N1060">
        <v>0.52</v>
      </c>
      <c r="O1060" t="s">
        <v>33</v>
      </c>
      <c r="P1060" t="s">
        <v>135</v>
      </c>
      <c r="Q1060" t="s">
        <v>949</v>
      </c>
      <c r="R1060" t="s">
        <v>1857</v>
      </c>
      <c r="S1060">
        <v>72113</v>
      </c>
      <c r="T1060" s="1">
        <v>42064</v>
      </c>
      <c r="U1060" s="1">
        <v>42066</v>
      </c>
      <c r="V1060" s="2">
        <v>-29.61</v>
      </c>
      <c r="W1060">
        <v>10</v>
      </c>
      <c r="X1060" s="2">
        <v>210.33</v>
      </c>
      <c r="Y1060">
        <v>85897</v>
      </c>
      <c r="Z1060">
        <f t="shared" si="16"/>
        <v>2103.3000000000002</v>
      </c>
    </row>
    <row r="1061" spans="1:26" x14ac:dyDescent="0.25">
      <c r="A1061">
        <v>22246</v>
      </c>
      <c r="B1061" t="s">
        <v>106</v>
      </c>
      <c r="C1061" s="2">
        <v>0.1</v>
      </c>
      <c r="D1061" s="2">
        <v>10.44</v>
      </c>
      <c r="E1061" s="2">
        <v>5.75</v>
      </c>
      <c r="F1061">
        <v>1918</v>
      </c>
      <c r="G1061" t="s">
        <v>1859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1860</v>
      </c>
      <c r="N1061">
        <v>0.39</v>
      </c>
      <c r="O1061" t="s">
        <v>33</v>
      </c>
      <c r="P1061" t="s">
        <v>135</v>
      </c>
      <c r="Q1061" t="s">
        <v>949</v>
      </c>
      <c r="R1061" t="s">
        <v>1861</v>
      </c>
      <c r="S1061">
        <v>72450</v>
      </c>
      <c r="T1061" s="1">
        <v>42098</v>
      </c>
      <c r="U1061" s="1">
        <v>42105</v>
      </c>
      <c r="V1061" s="2">
        <v>125.724</v>
      </c>
      <c r="W1061">
        <v>17</v>
      </c>
      <c r="X1061" s="2">
        <v>168.04</v>
      </c>
      <c r="Y1061">
        <v>85898</v>
      </c>
      <c r="Z1061">
        <f t="shared" si="16"/>
        <v>2856.68</v>
      </c>
    </row>
    <row r="1062" spans="1:26" x14ac:dyDescent="0.25">
      <c r="A1062">
        <v>24971</v>
      </c>
      <c r="B1062" t="s">
        <v>25</v>
      </c>
      <c r="C1062" s="2">
        <v>0</v>
      </c>
      <c r="D1062" s="2">
        <v>195.99</v>
      </c>
      <c r="E1062" s="2">
        <v>8.99</v>
      </c>
      <c r="F1062">
        <v>1919</v>
      </c>
      <c r="G1062" t="s">
        <v>1862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726</v>
      </c>
      <c r="N1062">
        <v>0.6</v>
      </c>
      <c r="O1062" t="s">
        <v>33</v>
      </c>
      <c r="P1062" t="s">
        <v>135</v>
      </c>
      <c r="Q1062" t="s">
        <v>949</v>
      </c>
      <c r="R1062" t="s">
        <v>1863</v>
      </c>
      <c r="S1062">
        <v>71603</v>
      </c>
      <c r="T1062" s="1">
        <v>42059</v>
      </c>
      <c r="U1062" s="1">
        <v>42060</v>
      </c>
      <c r="V1062" s="2">
        <v>114.88200000000001</v>
      </c>
      <c r="W1062">
        <v>5</v>
      </c>
      <c r="X1062" s="2">
        <v>882.93</v>
      </c>
      <c r="Y1062">
        <v>85896</v>
      </c>
      <c r="Z1062">
        <f t="shared" si="16"/>
        <v>4414.6499999999996</v>
      </c>
    </row>
    <row r="1063" spans="1:26" x14ac:dyDescent="0.25">
      <c r="A1063">
        <v>21563</v>
      </c>
      <c r="B1063" t="s">
        <v>25</v>
      </c>
      <c r="C1063" s="2">
        <v>0.02</v>
      </c>
      <c r="D1063" s="2">
        <v>259.70999999999998</v>
      </c>
      <c r="E1063" s="2">
        <v>66.67</v>
      </c>
      <c r="F1063">
        <v>1927</v>
      </c>
      <c r="G1063" t="s">
        <v>1864</v>
      </c>
      <c r="H1063" t="s">
        <v>39</v>
      </c>
      <c r="I1063" t="s">
        <v>40</v>
      </c>
      <c r="J1063" t="s">
        <v>41</v>
      </c>
      <c r="K1063" t="s">
        <v>150</v>
      </c>
      <c r="L1063" t="s">
        <v>120</v>
      </c>
      <c r="M1063" t="s">
        <v>336</v>
      </c>
      <c r="N1063">
        <v>0.65</v>
      </c>
      <c r="O1063" t="s">
        <v>33</v>
      </c>
      <c r="P1063" t="s">
        <v>135</v>
      </c>
      <c r="Q1063" t="s">
        <v>923</v>
      </c>
      <c r="R1063" t="s">
        <v>1563</v>
      </c>
      <c r="S1063">
        <v>29611</v>
      </c>
      <c r="T1063" s="1">
        <v>42041</v>
      </c>
      <c r="U1063" s="1">
        <v>42041</v>
      </c>
      <c r="V1063" s="2">
        <v>-14.448</v>
      </c>
      <c r="W1063">
        <v>8</v>
      </c>
      <c r="X1063" s="2">
        <v>1757.15</v>
      </c>
      <c r="Y1063">
        <v>88579</v>
      </c>
      <c r="Z1063">
        <f t="shared" si="16"/>
        <v>14057.2</v>
      </c>
    </row>
    <row r="1064" spans="1:26" x14ac:dyDescent="0.25">
      <c r="A1064">
        <v>22686</v>
      </c>
      <c r="B1064" t="s">
        <v>37</v>
      </c>
      <c r="C1064" s="2">
        <v>0.1</v>
      </c>
      <c r="D1064" s="2">
        <v>1889.99</v>
      </c>
      <c r="E1064" s="2">
        <v>19.989999999999998</v>
      </c>
      <c r="F1064">
        <v>1928</v>
      </c>
      <c r="G1064" t="s">
        <v>1865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1866</v>
      </c>
      <c r="N1064">
        <v>0.36</v>
      </c>
      <c r="O1064" t="s">
        <v>33</v>
      </c>
      <c r="P1064" t="s">
        <v>135</v>
      </c>
      <c r="Q1064" t="s">
        <v>923</v>
      </c>
      <c r="R1064" t="s">
        <v>1867</v>
      </c>
      <c r="S1064">
        <v>29651</v>
      </c>
      <c r="T1064" s="1">
        <v>42025</v>
      </c>
      <c r="U1064" s="1">
        <v>42025</v>
      </c>
      <c r="V1064" s="2">
        <v>-42.545999999999999</v>
      </c>
      <c r="W1064">
        <v>1</v>
      </c>
      <c r="X1064" s="2">
        <v>1786.04</v>
      </c>
      <c r="Y1064">
        <v>88580</v>
      </c>
      <c r="Z1064">
        <f t="shared" si="16"/>
        <v>1786.04</v>
      </c>
    </row>
    <row r="1065" spans="1:26" x14ac:dyDescent="0.25">
      <c r="A1065">
        <v>18159</v>
      </c>
      <c r="B1065" t="s">
        <v>106</v>
      </c>
      <c r="C1065" s="2">
        <v>0.06</v>
      </c>
      <c r="D1065" s="2">
        <v>3.58</v>
      </c>
      <c r="E1065" s="2">
        <v>1.63</v>
      </c>
      <c r="F1065">
        <v>1933</v>
      </c>
      <c r="G1065" t="s">
        <v>1868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129</v>
      </c>
      <c r="R1065" t="s">
        <v>1869</v>
      </c>
      <c r="S1065">
        <v>75043</v>
      </c>
      <c r="T1065" s="1">
        <v>42113</v>
      </c>
      <c r="U1065" s="1">
        <v>42117</v>
      </c>
      <c r="V1065" s="2">
        <v>14</v>
      </c>
      <c r="W1065">
        <v>10</v>
      </c>
      <c r="X1065" s="2">
        <v>34.76</v>
      </c>
      <c r="Y1065">
        <v>86687</v>
      </c>
      <c r="Z1065">
        <f t="shared" si="16"/>
        <v>347.59999999999997</v>
      </c>
    </row>
    <row r="1066" spans="1:26" x14ac:dyDescent="0.25">
      <c r="A1066">
        <v>19697</v>
      </c>
      <c r="B1066" t="s">
        <v>106</v>
      </c>
      <c r="C1066" s="2">
        <v>0.04</v>
      </c>
      <c r="D1066" s="2">
        <v>180.98</v>
      </c>
      <c r="E1066" s="2">
        <v>30</v>
      </c>
      <c r="F1066">
        <v>1934</v>
      </c>
      <c r="G1066" t="s">
        <v>1870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1871</v>
      </c>
      <c r="N1066">
        <v>0.69</v>
      </c>
      <c r="O1066" t="s">
        <v>33</v>
      </c>
      <c r="P1066" t="s">
        <v>61</v>
      </c>
      <c r="Q1066" t="s">
        <v>129</v>
      </c>
      <c r="R1066" t="s">
        <v>874</v>
      </c>
      <c r="S1066">
        <v>78626</v>
      </c>
      <c r="T1066" s="1">
        <v>42154</v>
      </c>
      <c r="U1066" s="1">
        <v>42154</v>
      </c>
      <c r="V1066" s="2">
        <v>52.988</v>
      </c>
      <c r="W1066">
        <v>3</v>
      </c>
      <c r="X1066" s="2">
        <v>561.65</v>
      </c>
      <c r="Y1066">
        <v>86688</v>
      </c>
      <c r="Z1066">
        <f t="shared" si="16"/>
        <v>1684.9499999999998</v>
      </c>
    </row>
    <row r="1067" spans="1:26" x14ac:dyDescent="0.25">
      <c r="A1067">
        <v>19780</v>
      </c>
      <c r="B1067" t="s">
        <v>47</v>
      </c>
      <c r="C1067" s="2">
        <v>0.01</v>
      </c>
      <c r="D1067" s="2">
        <v>42.98</v>
      </c>
      <c r="E1067" s="2">
        <v>4.62</v>
      </c>
      <c r="F1067">
        <v>1935</v>
      </c>
      <c r="G1067" t="s">
        <v>1872</v>
      </c>
      <c r="H1067" t="s">
        <v>27</v>
      </c>
      <c r="I1067" t="s">
        <v>28</v>
      </c>
      <c r="J1067" t="s">
        <v>29</v>
      </c>
      <c r="K1067" t="s">
        <v>252</v>
      </c>
      <c r="L1067" t="s">
        <v>59</v>
      </c>
      <c r="M1067" t="s">
        <v>1873</v>
      </c>
      <c r="N1067">
        <v>0.56000000000000005</v>
      </c>
      <c r="O1067" t="s">
        <v>33</v>
      </c>
      <c r="P1067" t="s">
        <v>61</v>
      </c>
      <c r="Q1067" t="s">
        <v>129</v>
      </c>
      <c r="R1067" t="s">
        <v>1874</v>
      </c>
      <c r="S1067">
        <v>75051</v>
      </c>
      <c r="T1067" s="1">
        <v>42102</v>
      </c>
      <c r="U1067" s="1">
        <v>42104</v>
      </c>
      <c r="V1067" s="2">
        <v>285.47370000000001</v>
      </c>
      <c r="W1067">
        <v>9</v>
      </c>
      <c r="X1067" s="2">
        <v>413.73</v>
      </c>
      <c r="Y1067">
        <v>86686</v>
      </c>
      <c r="Z1067">
        <f t="shared" si="16"/>
        <v>3723.57</v>
      </c>
    </row>
    <row r="1068" spans="1:26" x14ac:dyDescent="0.25">
      <c r="A1068">
        <v>19698</v>
      </c>
      <c r="B1068" t="s">
        <v>106</v>
      </c>
      <c r="C1068" s="2">
        <v>0.06</v>
      </c>
      <c r="D1068" s="2">
        <v>3.25</v>
      </c>
      <c r="E1068" s="2">
        <v>49</v>
      </c>
      <c r="F1068">
        <v>1935</v>
      </c>
      <c r="G1068" t="s">
        <v>1872</v>
      </c>
      <c r="H1068" t="s">
        <v>49</v>
      </c>
      <c r="I1068" t="s">
        <v>40</v>
      </c>
      <c r="J1068" t="s">
        <v>29</v>
      </c>
      <c r="K1068" t="s">
        <v>252</v>
      </c>
      <c r="L1068" t="s">
        <v>231</v>
      </c>
      <c r="M1068" t="s">
        <v>1875</v>
      </c>
      <c r="N1068">
        <v>0.56000000000000005</v>
      </c>
      <c r="O1068" t="s">
        <v>33</v>
      </c>
      <c r="P1068" t="s">
        <v>61</v>
      </c>
      <c r="Q1068" t="s">
        <v>129</v>
      </c>
      <c r="R1068" t="s">
        <v>1874</v>
      </c>
      <c r="S1068">
        <v>75051</v>
      </c>
      <c r="T1068" s="1">
        <v>42154</v>
      </c>
      <c r="U1068" s="1">
        <v>42160</v>
      </c>
      <c r="V1068" s="2">
        <v>10.507999999999999</v>
      </c>
      <c r="W1068">
        <v>2</v>
      </c>
      <c r="X1068" s="2">
        <v>55.6</v>
      </c>
      <c r="Y1068">
        <v>86688</v>
      </c>
      <c r="Z1068">
        <f t="shared" si="16"/>
        <v>111.2</v>
      </c>
    </row>
    <row r="1069" spans="1:26" x14ac:dyDescent="0.25">
      <c r="A1069">
        <v>19699</v>
      </c>
      <c r="B1069" t="s">
        <v>106</v>
      </c>
      <c r="C1069" s="2">
        <v>0.01</v>
      </c>
      <c r="D1069" s="2">
        <v>110.98</v>
      </c>
      <c r="E1069" s="2">
        <v>13.99</v>
      </c>
      <c r="F1069">
        <v>1935</v>
      </c>
      <c r="G1069" t="s">
        <v>1872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1876</v>
      </c>
      <c r="N1069">
        <v>0.69</v>
      </c>
      <c r="O1069" t="s">
        <v>33</v>
      </c>
      <c r="P1069" t="s">
        <v>61</v>
      </c>
      <c r="Q1069" t="s">
        <v>129</v>
      </c>
      <c r="R1069" t="s">
        <v>1874</v>
      </c>
      <c r="S1069">
        <v>75051</v>
      </c>
      <c r="T1069" s="1">
        <v>42154</v>
      </c>
      <c r="U1069" s="1">
        <v>42159</v>
      </c>
      <c r="V1069" s="2">
        <v>1448.7309</v>
      </c>
      <c r="W1069">
        <v>19</v>
      </c>
      <c r="X1069" s="2">
        <v>2099.61</v>
      </c>
      <c r="Y1069">
        <v>86688</v>
      </c>
      <c r="Z1069">
        <f t="shared" si="16"/>
        <v>39892.590000000004</v>
      </c>
    </row>
    <row r="1070" spans="1:26" x14ac:dyDescent="0.25">
      <c r="A1070">
        <v>19700</v>
      </c>
      <c r="B1070" t="s">
        <v>106</v>
      </c>
      <c r="C1070" s="2">
        <v>0.05</v>
      </c>
      <c r="D1070" s="2">
        <v>3.95</v>
      </c>
      <c r="E1070" s="2">
        <v>2</v>
      </c>
      <c r="F1070">
        <v>1935</v>
      </c>
      <c r="G1070" t="s">
        <v>1872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1341</v>
      </c>
      <c r="N1070">
        <v>0.53</v>
      </c>
      <c r="O1070" t="s">
        <v>33</v>
      </c>
      <c r="P1070" t="s">
        <v>61</v>
      </c>
      <c r="Q1070" t="s">
        <v>129</v>
      </c>
      <c r="R1070" t="s">
        <v>1874</v>
      </c>
      <c r="S1070">
        <v>75051</v>
      </c>
      <c r="T1070" s="1">
        <v>42154</v>
      </c>
      <c r="U1070" s="1">
        <v>42162</v>
      </c>
      <c r="V1070" s="2">
        <v>1.004</v>
      </c>
      <c r="W1070">
        <v>23</v>
      </c>
      <c r="X1070" s="2">
        <v>96.6</v>
      </c>
      <c r="Y1070">
        <v>86688</v>
      </c>
      <c r="Z1070">
        <f t="shared" si="16"/>
        <v>2221.7999999999997</v>
      </c>
    </row>
    <row r="1071" spans="1:26" x14ac:dyDescent="0.25">
      <c r="A1071">
        <v>23551</v>
      </c>
      <c r="B1071" t="s">
        <v>56</v>
      </c>
      <c r="C1071" s="2">
        <v>0.1</v>
      </c>
      <c r="D1071" s="2">
        <v>152.47999999999999</v>
      </c>
      <c r="E1071" s="2">
        <v>4</v>
      </c>
      <c r="F1071">
        <v>1938</v>
      </c>
      <c r="G1071" t="s">
        <v>1877</v>
      </c>
      <c r="H1071" t="s">
        <v>27</v>
      </c>
      <c r="I1071" t="s">
        <v>28</v>
      </c>
      <c r="J1071" t="s">
        <v>77</v>
      </c>
      <c r="K1071" t="s">
        <v>177</v>
      </c>
      <c r="L1071" t="s">
        <v>59</v>
      </c>
      <c r="M1071" t="s">
        <v>602</v>
      </c>
      <c r="N1071">
        <v>0.79</v>
      </c>
      <c r="O1071" t="s">
        <v>33</v>
      </c>
      <c r="P1071" t="s">
        <v>61</v>
      </c>
      <c r="Q1071" t="s">
        <v>180</v>
      </c>
      <c r="R1071" t="s">
        <v>1878</v>
      </c>
      <c r="S1071">
        <v>66801</v>
      </c>
      <c r="T1071" s="1">
        <v>42085</v>
      </c>
      <c r="U1071" s="1">
        <v>42086</v>
      </c>
      <c r="V1071" s="2">
        <v>-521.09</v>
      </c>
      <c r="W1071">
        <v>4</v>
      </c>
      <c r="X1071" s="2">
        <v>558.16999999999996</v>
      </c>
      <c r="Y1071">
        <v>88870</v>
      </c>
      <c r="Z1071">
        <f t="shared" si="16"/>
        <v>2232.6799999999998</v>
      </c>
    </row>
    <row r="1072" spans="1:26" x14ac:dyDescent="0.25">
      <c r="A1072">
        <v>23550</v>
      </c>
      <c r="B1072" t="s">
        <v>56</v>
      </c>
      <c r="C1072" s="2">
        <v>0.08</v>
      </c>
      <c r="D1072" s="2">
        <v>6.84</v>
      </c>
      <c r="E1072" s="2">
        <v>8.3699999999999992</v>
      </c>
      <c r="F1072">
        <v>1940</v>
      </c>
      <c r="G1072" t="s">
        <v>1879</v>
      </c>
      <c r="H1072" t="s">
        <v>49</v>
      </c>
      <c r="I1072" t="s">
        <v>28</v>
      </c>
      <c r="J1072" t="s">
        <v>29</v>
      </c>
      <c r="K1072" t="s">
        <v>171</v>
      </c>
      <c r="L1072" t="s">
        <v>51</v>
      </c>
      <c r="M1072" t="s">
        <v>1683</v>
      </c>
      <c r="N1072">
        <v>0.57999999999999996</v>
      </c>
      <c r="O1072" t="s">
        <v>33</v>
      </c>
      <c r="P1072" t="s">
        <v>34</v>
      </c>
      <c r="Q1072" t="s">
        <v>208</v>
      </c>
      <c r="R1072" t="s">
        <v>1880</v>
      </c>
      <c r="S1072">
        <v>84020</v>
      </c>
      <c r="T1072" s="1">
        <v>42085</v>
      </c>
      <c r="U1072" s="1">
        <v>42087</v>
      </c>
      <c r="V1072" s="2">
        <v>-29.49</v>
      </c>
      <c r="W1072">
        <v>1</v>
      </c>
      <c r="X1072" s="2">
        <v>8.39</v>
      </c>
      <c r="Y1072">
        <v>88870</v>
      </c>
      <c r="Z1072">
        <f t="shared" si="16"/>
        <v>8.39</v>
      </c>
    </row>
    <row r="1073" spans="1:26" x14ac:dyDescent="0.25">
      <c r="A1073">
        <v>25531</v>
      </c>
      <c r="B1073" t="s">
        <v>106</v>
      </c>
      <c r="C1073" s="2">
        <v>0</v>
      </c>
      <c r="D1073" s="2">
        <v>78.650000000000006</v>
      </c>
      <c r="E1073" s="2">
        <v>13.99</v>
      </c>
      <c r="F1073">
        <v>1940</v>
      </c>
      <c r="G1073" t="s">
        <v>1879</v>
      </c>
      <c r="H1073" t="s">
        <v>49</v>
      </c>
      <c r="I1073" t="s">
        <v>28</v>
      </c>
      <c r="J1073" t="s">
        <v>29</v>
      </c>
      <c r="K1073" t="s">
        <v>252</v>
      </c>
      <c r="L1073" t="s">
        <v>86</v>
      </c>
      <c r="M1073" t="s">
        <v>1881</v>
      </c>
      <c r="N1073">
        <v>0.52</v>
      </c>
      <c r="O1073" t="s">
        <v>33</v>
      </c>
      <c r="P1073" t="s">
        <v>34</v>
      </c>
      <c r="Q1073" t="s">
        <v>208</v>
      </c>
      <c r="R1073" t="s">
        <v>1880</v>
      </c>
      <c r="S1073">
        <v>84020</v>
      </c>
      <c r="T1073" s="1">
        <v>42113</v>
      </c>
      <c r="U1073" s="1">
        <v>42120</v>
      </c>
      <c r="V1073" s="2">
        <v>386.00670000000002</v>
      </c>
      <c r="W1073">
        <v>7</v>
      </c>
      <c r="X1073" s="2">
        <v>559.42999999999995</v>
      </c>
      <c r="Y1073">
        <v>88871</v>
      </c>
      <c r="Z1073">
        <f t="shared" si="16"/>
        <v>3916.0099999999998</v>
      </c>
    </row>
    <row r="1074" spans="1:26" x14ac:dyDescent="0.25">
      <c r="A1074">
        <v>25532</v>
      </c>
      <c r="B1074" t="s">
        <v>106</v>
      </c>
      <c r="C1074" s="2">
        <v>0.08</v>
      </c>
      <c r="D1074" s="2">
        <v>122.99</v>
      </c>
      <c r="E1074" s="2">
        <v>70.2</v>
      </c>
      <c r="F1074">
        <v>1940</v>
      </c>
      <c r="G1074" t="s">
        <v>1879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145</v>
      </c>
      <c r="N1074">
        <v>0.74</v>
      </c>
      <c r="O1074" t="s">
        <v>33</v>
      </c>
      <c r="P1074" t="s">
        <v>34</v>
      </c>
      <c r="Q1074" t="s">
        <v>208</v>
      </c>
      <c r="R1074" t="s">
        <v>1880</v>
      </c>
      <c r="S1074">
        <v>84020</v>
      </c>
      <c r="T1074" s="1">
        <v>42113</v>
      </c>
      <c r="U1074" s="1">
        <v>42118</v>
      </c>
      <c r="V1074" s="2">
        <v>-1867.97</v>
      </c>
      <c r="W1074">
        <v>10</v>
      </c>
      <c r="X1074" s="2">
        <v>1216.52</v>
      </c>
      <c r="Y1074">
        <v>88871</v>
      </c>
      <c r="Z1074">
        <f t="shared" si="16"/>
        <v>12165.2</v>
      </c>
    </row>
    <row r="1075" spans="1:26" x14ac:dyDescent="0.25">
      <c r="A1075">
        <v>20371</v>
      </c>
      <c r="B1075" t="s">
        <v>56</v>
      </c>
      <c r="C1075" s="2">
        <v>0.08</v>
      </c>
      <c r="D1075" s="2">
        <v>90.98</v>
      </c>
      <c r="E1075" s="2">
        <v>56.2</v>
      </c>
      <c r="F1075">
        <v>1946</v>
      </c>
      <c r="G1075" t="s">
        <v>1882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1050</v>
      </c>
      <c r="N1075">
        <v>0.74</v>
      </c>
      <c r="O1075" t="s">
        <v>33</v>
      </c>
      <c r="P1075" t="s">
        <v>53</v>
      </c>
      <c r="Q1075" t="s">
        <v>229</v>
      </c>
      <c r="R1075" t="s">
        <v>1883</v>
      </c>
      <c r="S1075">
        <v>15228</v>
      </c>
      <c r="T1075" s="1">
        <v>42030</v>
      </c>
      <c r="U1075" s="1">
        <v>42032</v>
      </c>
      <c r="V1075" s="2">
        <v>-1920.9336000000001</v>
      </c>
      <c r="W1075">
        <v>12</v>
      </c>
      <c r="X1075" s="2">
        <v>1058.3599999999999</v>
      </c>
      <c r="Y1075">
        <v>86331</v>
      </c>
      <c r="Z1075">
        <f t="shared" si="16"/>
        <v>12700.32</v>
      </c>
    </row>
    <row r="1076" spans="1:26" x14ac:dyDescent="0.25">
      <c r="A1076">
        <v>20372</v>
      </c>
      <c r="B1076" t="s">
        <v>56</v>
      </c>
      <c r="C1076" s="2">
        <v>7.0000000000000007E-2</v>
      </c>
      <c r="D1076" s="2">
        <v>5.98</v>
      </c>
      <c r="E1076" s="2">
        <v>5.35</v>
      </c>
      <c r="F1076">
        <v>1946</v>
      </c>
      <c r="G1076" t="s">
        <v>1882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1424</v>
      </c>
      <c r="N1076">
        <v>0.4</v>
      </c>
      <c r="O1076" t="s">
        <v>33</v>
      </c>
      <c r="P1076" t="s">
        <v>53</v>
      </c>
      <c r="Q1076" t="s">
        <v>229</v>
      </c>
      <c r="R1076" t="s">
        <v>1883</v>
      </c>
      <c r="S1076">
        <v>15228</v>
      </c>
      <c r="T1076" s="1">
        <v>42030</v>
      </c>
      <c r="U1076" s="1">
        <v>42032</v>
      </c>
      <c r="V1076" s="2">
        <v>-37.175199999999997</v>
      </c>
      <c r="W1076">
        <v>3</v>
      </c>
      <c r="X1076" s="2">
        <v>18.309999999999999</v>
      </c>
      <c r="Y1076">
        <v>86331</v>
      </c>
      <c r="Z1076">
        <f t="shared" si="16"/>
        <v>54.929999999999993</v>
      </c>
    </row>
    <row r="1077" spans="1:26" x14ac:dyDescent="0.25">
      <c r="A1077">
        <v>21762</v>
      </c>
      <c r="B1077" t="s">
        <v>106</v>
      </c>
      <c r="C1077" s="2">
        <v>0.05</v>
      </c>
      <c r="D1077" s="2">
        <v>424.21</v>
      </c>
      <c r="E1077" s="2">
        <v>110.2</v>
      </c>
      <c r="F1077">
        <v>1949</v>
      </c>
      <c r="G1077" t="s">
        <v>1884</v>
      </c>
      <c r="H1077" t="s">
        <v>39</v>
      </c>
      <c r="I1077" t="s">
        <v>58</v>
      </c>
      <c r="J1077" t="s">
        <v>41</v>
      </c>
      <c r="K1077" t="s">
        <v>150</v>
      </c>
      <c r="L1077" t="s">
        <v>120</v>
      </c>
      <c r="M1077" t="s">
        <v>1885</v>
      </c>
      <c r="N1077">
        <v>0.67</v>
      </c>
      <c r="O1077" t="s">
        <v>33</v>
      </c>
      <c r="P1077" t="s">
        <v>34</v>
      </c>
      <c r="Q1077" t="s">
        <v>82</v>
      </c>
      <c r="R1077" t="s">
        <v>1886</v>
      </c>
      <c r="S1077">
        <v>59715</v>
      </c>
      <c r="T1077" s="1">
        <v>42036</v>
      </c>
      <c r="U1077" s="1">
        <v>42040</v>
      </c>
      <c r="V1077" s="2">
        <v>-213.40280000000001</v>
      </c>
      <c r="W1077">
        <v>12</v>
      </c>
      <c r="X1077" s="2">
        <v>4935.22</v>
      </c>
      <c r="Y1077">
        <v>90415</v>
      </c>
      <c r="Z1077">
        <f t="shared" si="16"/>
        <v>59222.64</v>
      </c>
    </row>
    <row r="1078" spans="1:26" x14ac:dyDescent="0.25">
      <c r="A1078">
        <v>24793</v>
      </c>
      <c r="B1078" t="s">
        <v>37</v>
      </c>
      <c r="C1078" s="2">
        <v>0.01</v>
      </c>
      <c r="D1078" s="2">
        <v>6.68</v>
      </c>
      <c r="E1078" s="2">
        <v>4.91</v>
      </c>
      <c r="F1078">
        <v>1950</v>
      </c>
      <c r="G1078" t="s">
        <v>1887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1888</v>
      </c>
      <c r="N1078">
        <v>0.37</v>
      </c>
      <c r="O1078" t="s">
        <v>33</v>
      </c>
      <c r="P1078" t="s">
        <v>34</v>
      </c>
      <c r="Q1078" t="s">
        <v>82</v>
      </c>
      <c r="R1078" t="s">
        <v>1889</v>
      </c>
      <c r="S1078">
        <v>59750</v>
      </c>
      <c r="T1078" s="1">
        <v>42010</v>
      </c>
      <c r="U1078" s="1">
        <v>42012</v>
      </c>
      <c r="V1078" s="2">
        <v>-15.48</v>
      </c>
      <c r="W1078">
        <v>7</v>
      </c>
      <c r="X1078" s="2">
        <v>51.03</v>
      </c>
      <c r="Y1078">
        <v>90414</v>
      </c>
      <c r="Z1078">
        <f t="shared" si="16"/>
        <v>357.21000000000004</v>
      </c>
    </row>
    <row r="1079" spans="1:26" x14ac:dyDescent="0.25">
      <c r="A1079">
        <v>23378</v>
      </c>
      <c r="B1079" t="s">
        <v>25</v>
      </c>
      <c r="C1079" s="2">
        <v>0.09</v>
      </c>
      <c r="D1079" s="2">
        <v>40.98</v>
      </c>
      <c r="E1079" s="2">
        <v>6.5</v>
      </c>
      <c r="F1079">
        <v>1956</v>
      </c>
      <c r="G1079" t="s">
        <v>1890</v>
      </c>
      <c r="H1079" t="s">
        <v>49</v>
      </c>
      <c r="I1079" t="s">
        <v>114</v>
      </c>
      <c r="J1079" t="s">
        <v>77</v>
      </c>
      <c r="K1079" t="s">
        <v>177</v>
      </c>
      <c r="L1079" t="s">
        <v>59</v>
      </c>
      <c r="M1079" t="s">
        <v>1258</v>
      </c>
      <c r="N1079">
        <v>0.74</v>
      </c>
      <c r="O1079" t="s">
        <v>33</v>
      </c>
      <c r="P1079" t="s">
        <v>34</v>
      </c>
      <c r="Q1079" t="s">
        <v>250</v>
      </c>
      <c r="R1079" t="s">
        <v>331</v>
      </c>
      <c r="S1079">
        <v>80027</v>
      </c>
      <c r="T1079" s="1">
        <v>42174</v>
      </c>
      <c r="U1079" s="1">
        <v>42176</v>
      </c>
      <c r="V1079" s="2">
        <v>-50.244999999999997</v>
      </c>
      <c r="W1079">
        <v>19</v>
      </c>
      <c r="X1079" s="2">
        <v>746.91</v>
      </c>
      <c r="Y1079">
        <v>89820</v>
      </c>
      <c r="Z1079">
        <f t="shared" si="16"/>
        <v>14191.289999999999</v>
      </c>
    </row>
    <row r="1080" spans="1:26" x14ac:dyDescent="0.25">
      <c r="A1080">
        <v>21638</v>
      </c>
      <c r="B1080" t="s">
        <v>25</v>
      </c>
      <c r="C1080" s="2">
        <v>0.09</v>
      </c>
      <c r="D1080" s="2">
        <v>77.510000000000005</v>
      </c>
      <c r="E1080" s="2">
        <v>4</v>
      </c>
      <c r="F1080">
        <v>1957</v>
      </c>
      <c r="G1080" t="s">
        <v>1891</v>
      </c>
      <c r="H1080" t="s">
        <v>49</v>
      </c>
      <c r="I1080" t="s">
        <v>114</v>
      </c>
      <c r="J1080" t="s">
        <v>77</v>
      </c>
      <c r="K1080" t="s">
        <v>177</v>
      </c>
      <c r="L1080" t="s">
        <v>59</v>
      </c>
      <c r="M1080" t="s">
        <v>1787</v>
      </c>
      <c r="N1080">
        <v>0.76</v>
      </c>
      <c r="O1080" t="s">
        <v>33</v>
      </c>
      <c r="P1080" t="s">
        <v>61</v>
      </c>
      <c r="Q1080" t="s">
        <v>499</v>
      </c>
      <c r="R1080" t="s">
        <v>1551</v>
      </c>
      <c r="S1080">
        <v>63130</v>
      </c>
      <c r="T1080" s="1">
        <v>42101</v>
      </c>
      <c r="U1080" s="1">
        <v>42103</v>
      </c>
      <c r="V1080" s="2">
        <v>-387.1044</v>
      </c>
      <c r="W1080">
        <v>1</v>
      </c>
      <c r="X1080" s="2">
        <v>77.47</v>
      </c>
      <c r="Y1080">
        <v>89818</v>
      </c>
      <c r="Z1080">
        <f t="shared" si="16"/>
        <v>77.47</v>
      </c>
    </row>
    <row r="1081" spans="1:26" x14ac:dyDescent="0.25">
      <c r="A1081">
        <v>24640</v>
      </c>
      <c r="B1081" t="s">
        <v>106</v>
      </c>
      <c r="C1081" s="2">
        <v>0.09</v>
      </c>
      <c r="D1081" s="2">
        <v>30.98</v>
      </c>
      <c r="E1081" s="2">
        <v>6.5</v>
      </c>
      <c r="F1081">
        <v>1958</v>
      </c>
      <c r="G1081" t="s">
        <v>1892</v>
      </c>
      <c r="H1081" t="s">
        <v>27</v>
      </c>
      <c r="I1081" t="s">
        <v>114</v>
      </c>
      <c r="J1081" t="s">
        <v>77</v>
      </c>
      <c r="K1081" t="s">
        <v>177</v>
      </c>
      <c r="L1081" t="s">
        <v>59</v>
      </c>
      <c r="M1081" t="s">
        <v>1893</v>
      </c>
      <c r="N1081">
        <v>0.64</v>
      </c>
      <c r="O1081" t="s">
        <v>33</v>
      </c>
      <c r="P1081" t="s">
        <v>34</v>
      </c>
      <c r="Q1081" t="s">
        <v>102</v>
      </c>
      <c r="R1081" t="s">
        <v>897</v>
      </c>
      <c r="S1081">
        <v>97068</v>
      </c>
      <c r="T1081" s="1">
        <v>42173</v>
      </c>
      <c r="U1081" s="1">
        <v>42177</v>
      </c>
      <c r="V1081" s="2">
        <v>-55.97</v>
      </c>
      <c r="W1081">
        <v>7</v>
      </c>
      <c r="X1081" s="2">
        <v>204.34</v>
      </c>
      <c r="Y1081">
        <v>89819</v>
      </c>
      <c r="Z1081">
        <f t="shared" si="16"/>
        <v>1430.38</v>
      </c>
    </row>
    <row r="1082" spans="1:26" x14ac:dyDescent="0.25">
      <c r="A1082">
        <v>3956</v>
      </c>
      <c r="B1082" t="s">
        <v>47</v>
      </c>
      <c r="C1082" s="2">
        <v>0</v>
      </c>
      <c r="D1082" s="2">
        <v>20.28</v>
      </c>
      <c r="E1082" s="2">
        <v>14.39</v>
      </c>
      <c r="F1082">
        <v>1959</v>
      </c>
      <c r="G1082" t="s">
        <v>1894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1895</v>
      </c>
      <c r="N1082">
        <v>0.47</v>
      </c>
      <c r="O1082" t="s">
        <v>33</v>
      </c>
      <c r="P1082" t="s">
        <v>135</v>
      </c>
      <c r="Q1082" t="s">
        <v>356</v>
      </c>
      <c r="R1082" t="s">
        <v>441</v>
      </c>
      <c r="S1082">
        <v>33916</v>
      </c>
      <c r="T1082" s="1">
        <v>42026</v>
      </c>
      <c r="U1082" s="1">
        <v>42026</v>
      </c>
      <c r="V1082" s="2">
        <v>-66.247299999999996</v>
      </c>
      <c r="W1082">
        <v>9</v>
      </c>
      <c r="X1082" s="2">
        <v>206.04</v>
      </c>
      <c r="Y1082">
        <v>28225</v>
      </c>
      <c r="Z1082">
        <f t="shared" si="16"/>
        <v>1854.36</v>
      </c>
    </row>
    <row r="1083" spans="1:26" x14ac:dyDescent="0.25">
      <c r="A1083">
        <v>3684</v>
      </c>
      <c r="B1083" t="s">
        <v>106</v>
      </c>
      <c r="C1083" s="2">
        <v>0.02</v>
      </c>
      <c r="D1083" s="2">
        <v>9.99</v>
      </c>
      <c r="E1083" s="2">
        <v>11.59</v>
      </c>
      <c r="F1083">
        <v>1959</v>
      </c>
      <c r="G1083" t="s">
        <v>1894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1896</v>
      </c>
      <c r="N1083">
        <v>0.4</v>
      </c>
      <c r="O1083" t="s">
        <v>33</v>
      </c>
      <c r="P1083" t="s">
        <v>135</v>
      </c>
      <c r="Q1083" t="s">
        <v>356</v>
      </c>
      <c r="R1083" t="s">
        <v>441</v>
      </c>
      <c r="S1083">
        <v>33916</v>
      </c>
      <c r="T1083" s="1">
        <v>42112</v>
      </c>
      <c r="U1083" s="1">
        <v>42121</v>
      </c>
      <c r="V1083" s="2">
        <v>-171.15770000000001</v>
      </c>
      <c r="W1083">
        <v>43</v>
      </c>
      <c r="X1083" s="2">
        <v>475.42</v>
      </c>
      <c r="Y1083">
        <v>26342</v>
      </c>
      <c r="Z1083">
        <f t="shared" si="16"/>
        <v>20443.060000000001</v>
      </c>
    </row>
    <row r="1084" spans="1:26" x14ac:dyDescent="0.25">
      <c r="A1084">
        <v>3685</v>
      </c>
      <c r="B1084" t="s">
        <v>106</v>
      </c>
      <c r="C1084" s="2">
        <v>0.02</v>
      </c>
      <c r="D1084" s="2">
        <v>48.04</v>
      </c>
      <c r="E1084" s="2">
        <v>5.79</v>
      </c>
      <c r="F1084">
        <v>1959</v>
      </c>
      <c r="G1084" t="s">
        <v>1894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855</v>
      </c>
      <c r="N1084">
        <v>0.37</v>
      </c>
      <c r="O1084" t="s">
        <v>33</v>
      </c>
      <c r="P1084" t="s">
        <v>135</v>
      </c>
      <c r="Q1084" t="s">
        <v>356</v>
      </c>
      <c r="R1084" t="s">
        <v>441</v>
      </c>
      <c r="S1084">
        <v>33916</v>
      </c>
      <c r="T1084" s="1">
        <v>42112</v>
      </c>
      <c r="U1084" s="1">
        <v>42117</v>
      </c>
      <c r="V1084" s="2">
        <v>624.23900000000003</v>
      </c>
      <c r="W1084">
        <v>74</v>
      </c>
      <c r="X1084" s="2">
        <v>3598.82</v>
      </c>
      <c r="Y1084">
        <v>26342</v>
      </c>
      <c r="Z1084">
        <f t="shared" si="16"/>
        <v>266312.68</v>
      </c>
    </row>
    <row r="1085" spans="1:26" x14ac:dyDescent="0.25">
      <c r="A1085">
        <v>3686</v>
      </c>
      <c r="B1085" t="s">
        <v>106</v>
      </c>
      <c r="C1085" s="2">
        <v>0.04</v>
      </c>
      <c r="D1085" s="2">
        <v>6.68</v>
      </c>
      <c r="E1085" s="2">
        <v>4.91</v>
      </c>
      <c r="F1085">
        <v>1959</v>
      </c>
      <c r="G1085" t="s">
        <v>1894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1888</v>
      </c>
      <c r="N1085">
        <v>0.37</v>
      </c>
      <c r="O1085" t="s">
        <v>33</v>
      </c>
      <c r="P1085" t="s">
        <v>135</v>
      </c>
      <c r="Q1085" t="s">
        <v>356</v>
      </c>
      <c r="R1085" t="s">
        <v>441</v>
      </c>
      <c r="S1085">
        <v>33916</v>
      </c>
      <c r="T1085" s="1">
        <v>42112</v>
      </c>
      <c r="U1085" s="1">
        <v>42119</v>
      </c>
      <c r="V1085" s="2">
        <v>-14.3241</v>
      </c>
      <c r="W1085">
        <v>5</v>
      </c>
      <c r="X1085" s="2">
        <v>41.22</v>
      </c>
      <c r="Y1085">
        <v>26342</v>
      </c>
      <c r="Z1085">
        <f t="shared" si="16"/>
        <v>206.1</v>
      </c>
    </row>
    <row r="1086" spans="1:26" x14ac:dyDescent="0.25">
      <c r="A1086">
        <v>21685</v>
      </c>
      <c r="B1086" t="s">
        <v>106</v>
      </c>
      <c r="C1086" s="2">
        <v>0.02</v>
      </c>
      <c r="D1086" s="2">
        <v>48.04</v>
      </c>
      <c r="E1086" s="2">
        <v>5.79</v>
      </c>
      <c r="F1086">
        <v>1962</v>
      </c>
      <c r="G1086" t="s">
        <v>1897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855</v>
      </c>
      <c r="N1086">
        <v>0.37</v>
      </c>
      <c r="O1086" t="s">
        <v>33</v>
      </c>
      <c r="P1086" t="s">
        <v>61</v>
      </c>
      <c r="Q1086" t="s">
        <v>295</v>
      </c>
      <c r="R1086" t="s">
        <v>1898</v>
      </c>
      <c r="S1086">
        <v>48601</v>
      </c>
      <c r="T1086" s="1">
        <v>42112</v>
      </c>
      <c r="U1086" s="1">
        <v>42117</v>
      </c>
      <c r="V1086" s="2">
        <v>604.01909999999998</v>
      </c>
      <c r="W1086">
        <v>18</v>
      </c>
      <c r="X1086" s="2">
        <v>875.39</v>
      </c>
      <c r="Y1086">
        <v>88857</v>
      </c>
      <c r="Z1086">
        <f t="shared" si="16"/>
        <v>15757.02</v>
      </c>
    </row>
    <row r="1087" spans="1:26" x14ac:dyDescent="0.25">
      <c r="A1087">
        <v>21686</v>
      </c>
      <c r="B1087" t="s">
        <v>106</v>
      </c>
      <c r="C1087" s="2">
        <v>0.04</v>
      </c>
      <c r="D1087" s="2">
        <v>6.68</v>
      </c>
      <c r="E1087" s="2">
        <v>4.91</v>
      </c>
      <c r="F1087">
        <v>1962</v>
      </c>
      <c r="G1087" t="s">
        <v>1897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1888</v>
      </c>
      <c r="N1087">
        <v>0.37</v>
      </c>
      <c r="O1087" t="s">
        <v>33</v>
      </c>
      <c r="P1087" t="s">
        <v>61</v>
      </c>
      <c r="Q1087" t="s">
        <v>295</v>
      </c>
      <c r="R1087" t="s">
        <v>1898</v>
      </c>
      <c r="S1087">
        <v>48601</v>
      </c>
      <c r="T1087" s="1">
        <v>42112</v>
      </c>
      <c r="U1087" s="1">
        <v>42119</v>
      </c>
      <c r="V1087" s="2">
        <v>-11.631600000000001</v>
      </c>
      <c r="W1087">
        <v>1</v>
      </c>
      <c r="X1087" s="2">
        <v>8.24</v>
      </c>
      <c r="Y1087">
        <v>88857</v>
      </c>
      <c r="Z1087">
        <f t="shared" si="16"/>
        <v>8.24</v>
      </c>
    </row>
    <row r="1088" spans="1:26" x14ac:dyDescent="0.25">
      <c r="A1088">
        <v>22488</v>
      </c>
      <c r="B1088" t="s">
        <v>56</v>
      </c>
      <c r="C1088" s="2">
        <v>0.01</v>
      </c>
      <c r="D1088" s="2">
        <v>78.650000000000006</v>
      </c>
      <c r="E1088" s="2">
        <v>13.99</v>
      </c>
      <c r="F1088">
        <v>1967</v>
      </c>
      <c r="G1088" t="s">
        <v>1899</v>
      </c>
      <c r="H1088" t="s">
        <v>27</v>
      </c>
      <c r="I1088" t="s">
        <v>58</v>
      </c>
      <c r="J1088" t="s">
        <v>29</v>
      </c>
      <c r="K1088" t="s">
        <v>252</v>
      </c>
      <c r="L1088" t="s">
        <v>86</v>
      </c>
      <c r="M1088" t="s">
        <v>1881</v>
      </c>
      <c r="N1088">
        <v>0.52</v>
      </c>
      <c r="O1088" t="s">
        <v>33</v>
      </c>
      <c r="P1088" t="s">
        <v>61</v>
      </c>
      <c r="Q1088" t="s">
        <v>324</v>
      </c>
      <c r="R1088" t="s">
        <v>1560</v>
      </c>
      <c r="S1088">
        <v>52732</v>
      </c>
      <c r="T1088" s="1">
        <v>42081</v>
      </c>
      <c r="U1088" s="1">
        <v>42082</v>
      </c>
      <c r="V1088" s="2">
        <v>442.36590000000001</v>
      </c>
      <c r="W1088">
        <v>8</v>
      </c>
      <c r="X1088" s="2">
        <v>641.11</v>
      </c>
      <c r="Y1088">
        <v>89456</v>
      </c>
      <c r="Z1088">
        <f t="shared" si="16"/>
        <v>5128.88</v>
      </c>
    </row>
    <row r="1089" spans="1:26" x14ac:dyDescent="0.25">
      <c r="A1089">
        <v>26220</v>
      </c>
      <c r="B1089" t="s">
        <v>56</v>
      </c>
      <c r="C1089" s="2">
        <v>0.02</v>
      </c>
      <c r="D1089" s="2">
        <v>11.58</v>
      </c>
      <c r="E1089" s="2">
        <v>5.72</v>
      </c>
      <c r="F1089">
        <v>1971</v>
      </c>
      <c r="G1089" t="s">
        <v>1900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678</v>
      </c>
      <c r="N1089">
        <v>0.35</v>
      </c>
      <c r="O1089" t="s">
        <v>33</v>
      </c>
      <c r="P1089" t="s">
        <v>135</v>
      </c>
      <c r="Q1089" t="s">
        <v>663</v>
      </c>
      <c r="R1089" t="s">
        <v>1901</v>
      </c>
      <c r="S1089">
        <v>38801</v>
      </c>
      <c r="T1089" s="1">
        <v>42022</v>
      </c>
      <c r="U1089" s="1">
        <v>42023</v>
      </c>
      <c r="V1089" s="2">
        <v>-259.75599999999997</v>
      </c>
      <c r="W1089">
        <v>3</v>
      </c>
      <c r="X1089" s="2">
        <v>35.479999999999997</v>
      </c>
      <c r="Y1089">
        <v>91550</v>
      </c>
      <c r="Z1089">
        <f t="shared" si="16"/>
        <v>106.44</v>
      </c>
    </row>
    <row r="1090" spans="1:26" x14ac:dyDescent="0.25">
      <c r="A1090">
        <v>26223</v>
      </c>
      <c r="B1090" t="s">
        <v>56</v>
      </c>
      <c r="C1090" s="2">
        <v>0.05</v>
      </c>
      <c r="D1090" s="2">
        <v>350.99</v>
      </c>
      <c r="E1090" s="2">
        <v>39</v>
      </c>
      <c r="F1090">
        <v>1972</v>
      </c>
      <c r="G1090" t="s">
        <v>1902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1257</v>
      </c>
      <c r="N1090">
        <v>0.55000000000000004</v>
      </c>
      <c r="O1090" t="s">
        <v>33</v>
      </c>
      <c r="P1090" t="s">
        <v>53</v>
      </c>
      <c r="Q1090" t="s">
        <v>229</v>
      </c>
      <c r="R1090" t="s">
        <v>1903</v>
      </c>
      <c r="S1090">
        <v>19090</v>
      </c>
      <c r="T1090" s="1">
        <v>42022</v>
      </c>
      <c r="U1090" s="1">
        <v>42024</v>
      </c>
      <c r="V1090" s="2">
        <v>1469.7275999999999</v>
      </c>
      <c r="W1090">
        <v>6</v>
      </c>
      <c r="X1090" s="2">
        <v>2130.04</v>
      </c>
      <c r="Y1090">
        <v>91550</v>
      </c>
      <c r="Z1090">
        <f t="shared" si="16"/>
        <v>12780.24</v>
      </c>
    </row>
    <row r="1091" spans="1:26" x14ac:dyDescent="0.25">
      <c r="A1091">
        <v>26224</v>
      </c>
      <c r="B1091" t="s">
        <v>56</v>
      </c>
      <c r="C1091" s="2">
        <v>0.04</v>
      </c>
      <c r="D1091" s="2">
        <v>15.99</v>
      </c>
      <c r="E1091" s="2">
        <v>9.4</v>
      </c>
      <c r="F1091">
        <v>1972</v>
      </c>
      <c r="G1091" t="s">
        <v>1902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1755</v>
      </c>
      <c r="N1091">
        <v>0.49</v>
      </c>
      <c r="O1091" t="s">
        <v>33</v>
      </c>
      <c r="P1091" t="s">
        <v>53</v>
      </c>
      <c r="Q1091" t="s">
        <v>229</v>
      </c>
      <c r="R1091" t="s">
        <v>1903</v>
      </c>
      <c r="S1091">
        <v>19090</v>
      </c>
      <c r="T1091" s="1">
        <v>42022</v>
      </c>
      <c r="U1091" s="1">
        <v>42024</v>
      </c>
      <c r="V1091" s="2">
        <v>-83.553060000000002</v>
      </c>
      <c r="W1091">
        <v>5</v>
      </c>
      <c r="X1091" s="2">
        <v>82.8</v>
      </c>
      <c r="Y1091">
        <v>91550</v>
      </c>
      <c r="Z1091">
        <f t="shared" ref="Z1091:Z1154" si="17">W1091*X1091</f>
        <v>414</v>
      </c>
    </row>
    <row r="1092" spans="1:26" x14ac:dyDescent="0.25">
      <c r="A1092">
        <v>18795</v>
      </c>
      <c r="B1092" t="s">
        <v>56</v>
      </c>
      <c r="C1092" s="2">
        <v>0.09</v>
      </c>
      <c r="D1092" s="2">
        <v>20.48</v>
      </c>
      <c r="E1092" s="2">
        <v>6.32</v>
      </c>
      <c r="F1092">
        <v>1974</v>
      </c>
      <c r="G1092" t="s">
        <v>1904</v>
      </c>
      <c r="H1092" t="s">
        <v>49</v>
      </c>
      <c r="I1092" t="s">
        <v>114</v>
      </c>
      <c r="J1092" t="s">
        <v>29</v>
      </c>
      <c r="K1092" t="s">
        <v>252</v>
      </c>
      <c r="L1092" t="s">
        <v>59</v>
      </c>
      <c r="M1092" t="s">
        <v>1905</v>
      </c>
      <c r="N1092">
        <v>0.57999999999999996</v>
      </c>
      <c r="O1092" t="s">
        <v>33</v>
      </c>
      <c r="P1092" t="s">
        <v>61</v>
      </c>
      <c r="Q1092" t="s">
        <v>295</v>
      </c>
      <c r="R1092" t="s">
        <v>1906</v>
      </c>
      <c r="S1092">
        <v>48127</v>
      </c>
      <c r="T1092" s="1">
        <v>42144</v>
      </c>
      <c r="U1092" s="1">
        <v>42145</v>
      </c>
      <c r="V1092" s="2">
        <v>-16.89</v>
      </c>
      <c r="W1092">
        <v>5</v>
      </c>
      <c r="X1092" s="2">
        <v>99.02</v>
      </c>
      <c r="Y1092">
        <v>89040</v>
      </c>
      <c r="Z1092">
        <f t="shared" si="17"/>
        <v>495.09999999999997</v>
      </c>
    </row>
    <row r="1093" spans="1:26" x14ac:dyDescent="0.25">
      <c r="A1093">
        <v>18796</v>
      </c>
      <c r="B1093" t="s">
        <v>56</v>
      </c>
      <c r="C1093" s="2">
        <v>0.06</v>
      </c>
      <c r="D1093" s="2">
        <v>15.67</v>
      </c>
      <c r="E1093" s="2">
        <v>1.39</v>
      </c>
      <c r="F1093">
        <v>1974</v>
      </c>
      <c r="G1093" t="s">
        <v>1904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1686</v>
      </c>
      <c r="N1093">
        <v>0.38</v>
      </c>
      <c r="O1093" t="s">
        <v>33</v>
      </c>
      <c r="P1093" t="s">
        <v>61</v>
      </c>
      <c r="Q1093" t="s">
        <v>295</v>
      </c>
      <c r="R1093" t="s">
        <v>1906</v>
      </c>
      <c r="S1093">
        <v>48127</v>
      </c>
      <c r="T1093" s="1">
        <v>42144</v>
      </c>
      <c r="U1093" s="1">
        <v>42145</v>
      </c>
      <c r="V1093" s="2">
        <v>25.51</v>
      </c>
      <c r="W1093">
        <v>3</v>
      </c>
      <c r="X1093" s="2">
        <v>46.4</v>
      </c>
      <c r="Y1093">
        <v>89040</v>
      </c>
      <c r="Z1093">
        <f t="shared" si="17"/>
        <v>139.19999999999999</v>
      </c>
    </row>
    <row r="1094" spans="1:26" x14ac:dyDescent="0.25">
      <c r="A1094">
        <v>25731</v>
      </c>
      <c r="B1094" t="s">
        <v>47</v>
      </c>
      <c r="C1094" s="2">
        <v>0.05</v>
      </c>
      <c r="D1094" s="2">
        <v>70.98</v>
      </c>
      <c r="E1094" s="2">
        <v>46.74</v>
      </c>
      <c r="F1094">
        <v>1976</v>
      </c>
      <c r="G1094" t="s">
        <v>1907</v>
      </c>
      <c r="H1094" t="s">
        <v>39</v>
      </c>
      <c r="I1094" t="s">
        <v>114</v>
      </c>
      <c r="J1094" t="s">
        <v>41</v>
      </c>
      <c r="K1094" t="s">
        <v>187</v>
      </c>
      <c r="L1094" t="s">
        <v>120</v>
      </c>
      <c r="M1094" t="s">
        <v>858</v>
      </c>
      <c r="N1094">
        <v>0.56000000000000005</v>
      </c>
      <c r="O1094" t="s">
        <v>33</v>
      </c>
      <c r="P1094" t="s">
        <v>61</v>
      </c>
      <c r="Q1094" t="s">
        <v>295</v>
      </c>
      <c r="R1094" t="s">
        <v>1908</v>
      </c>
      <c r="S1094">
        <v>48823</v>
      </c>
      <c r="T1094" s="1">
        <v>42014</v>
      </c>
      <c r="U1094" s="1">
        <v>42015</v>
      </c>
      <c r="V1094" s="2">
        <v>-850.65239999999994</v>
      </c>
      <c r="W1094">
        <v>8</v>
      </c>
      <c r="X1094" s="2">
        <v>551.51</v>
      </c>
      <c r="Y1094">
        <v>89039</v>
      </c>
      <c r="Z1094">
        <f t="shared" si="17"/>
        <v>4412.08</v>
      </c>
    </row>
    <row r="1095" spans="1:26" x14ac:dyDescent="0.25">
      <c r="A1095">
        <v>25732</v>
      </c>
      <c r="B1095" t="s">
        <v>47</v>
      </c>
      <c r="C1095" s="2">
        <v>0.05</v>
      </c>
      <c r="D1095" s="2">
        <v>11.55</v>
      </c>
      <c r="E1095" s="2">
        <v>2.36</v>
      </c>
      <c r="F1095">
        <v>1976</v>
      </c>
      <c r="G1095" t="s">
        <v>1907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307</v>
      </c>
      <c r="N1095">
        <v>0.55000000000000004</v>
      </c>
      <c r="O1095" t="s">
        <v>33</v>
      </c>
      <c r="P1095" t="s">
        <v>61</v>
      </c>
      <c r="Q1095" t="s">
        <v>295</v>
      </c>
      <c r="R1095" t="s">
        <v>1908</v>
      </c>
      <c r="S1095">
        <v>48823</v>
      </c>
      <c r="T1095" s="1">
        <v>42014</v>
      </c>
      <c r="U1095" s="1">
        <v>42016</v>
      </c>
      <c r="V1095" s="2">
        <v>98.525099999999995</v>
      </c>
      <c r="W1095">
        <v>12</v>
      </c>
      <c r="X1095" s="2">
        <v>142.79</v>
      </c>
      <c r="Y1095">
        <v>89039</v>
      </c>
      <c r="Z1095">
        <f t="shared" si="17"/>
        <v>1713.48</v>
      </c>
    </row>
    <row r="1096" spans="1:26" x14ac:dyDescent="0.25">
      <c r="A1096">
        <v>24887</v>
      </c>
      <c r="B1096" t="s">
        <v>47</v>
      </c>
      <c r="C1096" s="2">
        <v>0.06</v>
      </c>
      <c r="D1096" s="2">
        <v>40.99</v>
      </c>
      <c r="E1096" s="2">
        <v>17.48</v>
      </c>
      <c r="F1096">
        <v>1976</v>
      </c>
      <c r="G1096" t="s">
        <v>1907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1095</v>
      </c>
      <c r="N1096">
        <v>0.36</v>
      </c>
      <c r="O1096" t="s">
        <v>33</v>
      </c>
      <c r="P1096" t="s">
        <v>61</v>
      </c>
      <c r="Q1096" t="s">
        <v>295</v>
      </c>
      <c r="R1096" t="s">
        <v>1908</v>
      </c>
      <c r="S1096">
        <v>48823</v>
      </c>
      <c r="T1096" s="1">
        <v>42086</v>
      </c>
      <c r="U1096" s="1">
        <v>42088</v>
      </c>
      <c r="V1096" s="2">
        <v>214.23</v>
      </c>
      <c r="W1096">
        <v>14</v>
      </c>
      <c r="X1096" s="2">
        <v>585.08000000000004</v>
      </c>
      <c r="Y1096">
        <v>89041</v>
      </c>
      <c r="Z1096">
        <f t="shared" si="17"/>
        <v>8191.1200000000008</v>
      </c>
    </row>
    <row r="1097" spans="1:26" x14ac:dyDescent="0.25">
      <c r="A1097">
        <v>21692</v>
      </c>
      <c r="B1097" t="s">
        <v>37</v>
      </c>
      <c r="C1097" s="2">
        <v>0.05</v>
      </c>
      <c r="D1097" s="2">
        <v>20.99</v>
      </c>
      <c r="E1097" s="2">
        <v>3.3</v>
      </c>
      <c r="F1097">
        <v>1979</v>
      </c>
      <c r="G1097" t="s">
        <v>1909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886</v>
      </c>
      <c r="N1097">
        <v>0.81</v>
      </c>
      <c r="O1097" t="s">
        <v>33</v>
      </c>
      <c r="P1097" t="s">
        <v>34</v>
      </c>
      <c r="Q1097" t="s">
        <v>250</v>
      </c>
      <c r="R1097" t="s">
        <v>1910</v>
      </c>
      <c r="S1097">
        <v>80122</v>
      </c>
      <c r="T1097" s="1">
        <v>42129</v>
      </c>
      <c r="U1097" s="1">
        <v>42130</v>
      </c>
      <c r="V1097" s="2">
        <v>21.883400000000002</v>
      </c>
      <c r="W1097">
        <v>4</v>
      </c>
      <c r="X1097" s="2">
        <v>72.75</v>
      </c>
      <c r="Y1097">
        <v>87757</v>
      </c>
      <c r="Z1097">
        <f t="shared" si="17"/>
        <v>291</v>
      </c>
    </row>
    <row r="1098" spans="1:26" x14ac:dyDescent="0.25">
      <c r="A1098">
        <v>24935</v>
      </c>
      <c r="B1098" t="s">
        <v>37</v>
      </c>
      <c r="C1098" s="2">
        <v>0.1</v>
      </c>
      <c r="D1098" s="2">
        <v>7.37</v>
      </c>
      <c r="E1098" s="2">
        <v>5.53</v>
      </c>
      <c r="F1098">
        <v>1984</v>
      </c>
      <c r="G1098" t="s">
        <v>1911</v>
      </c>
      <c r="H1098" t="s">
        <v>49</v>
      </c>
      <c r="I1098" t="s">
        <v>114</v>
      </c>
      <c r="J1098" t="s">
        <v>77</v>
      </c>
      <c r="K1098" t="s">
        <v>177</v>
      </c>
      <c r="L1098" t="s">
        <v>51</v>
      </c>
      <c r="M1098" t="s">
        <v>301</v>
      </c>
      <c r="N1098">
        <v>0.69</v>
      </c>
      <c r="O1098" t="s">
        <v>33</v>
      </c>
      <c r="P1098" t="s">
        <v>135</v>
      </c>
      <c r="Q1098" t="s">
        <v>923</v>
      </c>
      <c r="R1098" t="s">
        <v>924</v>
      </c>
      <c r="S1098">
        <v>29915</v>
      </c>
      <c r="T1098" s="1">
        <v>42140</v>
      </c>
      <c r="U1098" s="1">
        <v>42140</v>
      </c>
      <c r="V1098" s="2">
        <v>290.202</v>
      </c>
      <c r="W1098">
        <v>38</v>
      </c>
      <c r="X1098" s="2">
        <v>269.33</v>
      </c>
      <c r="Y1098">
        <v>91258</v>
      </c>
      <c r="Z1098">
        <f t="shared" si="17"/>
        <v>10234.539999999999</v>
      </c>
    </row>
    <row r="1099" spans="1:26" x14ac:dyDescent="0.25">
      <c r="A1099">
        <v>20568</v>
      </c>
      <c r="B1099" t="s">
        <v>37</v>
      </c>
      <c r="C1099" s="2">
        <v>0.01</v>
      </c>
      <c r="D1099" s="2">
        <v>15.31</v>
      </c>
      <c r="E1099" s="2">
        <v>8.7799999999999994</v>
      </c>
      <c r="F1099">
        <v>1986</v>
      </c>
      <c r="G1099" t="s">
        <v>1912</v>
      </c>
      <c r="H1099" t="s">
        <v>49</v>
      </c>
      <c r="I1099" t="s">
        <v>40</v>
      </c>
      <c r="J1099" t="s">
        <v>29</v>
      </c>
      <c r="K1099" t="s">
        <v>139</v>
      </c>
      <c r="L1099" t="s">
        <v>59</v>
      </c>
      <c r="M1099" t="s">
        <v>1913</v>
      </c>
      <c r="N1099">
        <v>0.56999999999999995</v>
      </c>
      <c r="O1099" t="s">
        <v>33</v>
      </c>
      <c r="P1099" t="s">
        <v>61</v>
      </c>
      <c r="Q1099" t="s">
        <v>129</v>
      </c>
      <c r="R1099" t="s">
        <v>1914</v>
      </c>
      <c r="S1099">
        <v>79701</v>
      </c>
      <c r="T1099" s="1">
        <v>42130</v>
      </c>
      <c r="U1099" s="1">
        <v>42131</v>
      </c>
      <c r="V1099" s="2">
        <v>12.146000000000001</v>
      </c>
      <c r="W1099">
        <v>23</v>
      </c>
      <c r="X1099" s="2">
        <v>377</v>
      </c>
      <c r="Y1099">
        <v>90888</v>
      </c>
      <c r="Z1099">
        <f t="shared" si="17"/>
        <v>8671</v>
      </c>
    </row>
    <row r="1100" spans="1:26" x14ac:dyDescent="0.25">
      <c r="A1100">
        <v>20569</v>
      </c>
      <c r="B1100" t="s">
        <v>37</v>
      </c>
      <c r="C1100" s="2">
        <v>0.05</v>
      </c>
      <c r="D1100" s="2">
        <v>7.99</v>
      </c>
      <c r="E1100" s="2">
        <v>5.03</v>
      </c>
      <c r="F1100">
        <v>1986</v>
      </c>
      <c r="G1100" t="s">
        <v>1912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424</v>
      </c>
      <c r="N1100">
        <v>0.6</v>
      </c>
      <c r="O1100" t="s">
        <v>33</v>
      </c>
      <c r="P1100" t="s">
        <v>61</v>
      </c>
      <c r="Q1100" t="s">
        <v>129</v>
      </c>
      <c r="R1100" t="s">
        <v>1914</v>
      </c>
      <c r="S1100">
        <v>79701</v>
      </c>
      <c r="T1100" s="1">
        <v>42130</v>
      </c>
      <c r="U1100" s="1">
        <v>42132</v>
      </c>
      <c r="V1100" s="2">
        <v>5.6870000000000003</v>
      </c>
      <c r="W1100">
        <v>4</v>
      </c>
      <c r="X1100" s="2">
        <v>42.99</v>
      </c>
      <c r="Y1100">
        <v>90888</v>
      </c>
      <c r="Z1100">
        <f t="shared" si="17"/>
        <v>171.96</v>
      </c>
    </row>
    <row r="1101" spans="1:26" x14ac:dyDescent="0.25">
      <c r="A1101">
        <v>19336</v>
      </c>
      <c r="B1101" t="s">
        <v>25</v>
      </c>
      <c r="C1101" s="2">
        <v>0.05</v>
      </c>
      <c r="D1101" s="2">
        <v>20.98</v>
      </c>
      <c r="E1101" s="2">
        <v>21.2</v>
      </c>
      <c r="F1101">
        <v>1988</v>
      </c>
      <c r="G1101" t="s">
        <v>1915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1916</v>
      </c>
      <c r="N1101">
        <v>0.78</v>
      </c>
      <c r="O1101" t="s">
        <v>33</v>
      </c>
      <c r="P1101" t="s">
        <v>34</v>
      </c>
      <c r="Q1101" t="s">
        <v>208</v>
      </c>
      <c r="R1101" t="s">
        <v>1880</v>
      </c>
      <c r="S1101">
        <v>84020</v>
      </c>
      <c r="T1101" s="1">
        <v>42007</v>
      </c>
      <c r="U1101" s="1">
        <v>42008</v>
      </c>
      <c r="V1101" s="2">
        <v>-181.102</v>
      </c>
      <c r="W1101">
        <v>3</v>
      </c>
      <c r="X1101" s="2">
        <v>65.69</v>
      </c>
      <c r="Y1101">
        <v>89999</v>
      </c>
      <c r="Z1101">
        <f t="shared" si="17"/>
        <v>197.07</v>
      </c>
    </row>
    <row r="1102" spans="1:26" x14ac:dyDescent="0.25">
      <c r="A1102">
        <v>22600</v>
      </c>
      <c r="B1102" t="s">
        <v>37</v>
      </c>
      <c r="C1102" s="2">
        <v>0.04</v>
      </c>
      <c r="D1102" s="2">
        <v>355.98</v>
      </c>
      <c r="E1102" s="2">
        <v>58.92</v>
      </c>
      <c r="F1102">
        <v>1989</v>
      </c>
      <c r="G1102" t="s">
        <v>1917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1282</v>
      </c>
      <c r="N1102">
        <v>0.64</v>
      </c>
      <c r="O1102" t="s">
        <v>33</v>
      </c>
      <c r="P1102" t="s">
        <v>34</v>
      </c>
      <c r="Q1102" t="s">
        <v>208</v>
      </c>
      <c r="R1102" t="s">
        <v>1918</v>
      </c>
      <c r="S1102">
        <v>84117</v>
      </c>
      <c r="T1102" s="1">
        <v>42025</v>
      </c>
      <c r="U1102" s="1">
        <v>42026</v>
      </c>
      <c r="V1102" s="2">
        <v>882.93</v>
      </c>
      <c r="W1102">
        <v>8</v>
      </c>
      <c r="X1102" s="2">
        <v>2748.21</v>
      </c>
      <c r="Y1102">
        <v>90000</v>
      </c>
      <c r="Z1102">
        <f t="shared" si="17"/>
        <v>21985.68</v>
      </c>
    </row>
    <row r="1103" spans="1:26" x14ac:dyDescent="0.25">
      <c r="A1103">
        <v>22601</v>
      </c>
      <c r="B1103" t="s">
        <v>37</v>
      </c>
      <c r="C1103" s="2">
        <v>0.09</v>
      </c>
      <c r="D1103" s="2">
        <v>19.98</v>
      </c>
      <c r="E1103" s="2">
        <v>8.68</v>
      </c>
      <c r="F1103">
        <v>1989</v>
      </c>
      <c r="G1103" t="s">
        <v>1917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1212</v>
      </c>
      <c r="N1103">
        <v>0.37</v>
      </c>
      <c r="O1103" t="s">
        <v>33</v>
      </c>
      <c r="P1103" t="s">
        <v>34</v>
      </c>
      <c r="Q1103" t="s">
        <v>208</v>
      </c>
      <c r="R1103" t="s">
        <v>1918</v>
      </c>
      <c r="S1103">
        <v>84117</v>
      </c>
      <c r="T1103" s="1">
        <v>42025</v>
      </c>
      <c r="U1103" s="1">
        <v>42026</v>
      </c>
      <c r="V1103" s="2">
        <v>6.6803999999999997</v>
      </c>
      <c r="W1103">
        <v>5</v>
      </c>
      <c r="X1103" s="2">
        <v>93.19</v>
      </c>
      <c r="Y1103">
        <v>90000</v>
      </c>
      <c r="Z1103">
        <f t="shared" si="17"/>
        <v>465.95</v>
      </c>
    </row>
    <row r="1104" spans="1:26" x14ac:dyDescent="0.25">
      <c r="A1104">
        <v>20554</v>
      </c>
      <c r="B1104" t="s">
        <v>25</v>
      </c>
      <c r="C1104" s="2">
        <v>0.01</v>
      </c>
      <c r="D1104" s="2">
        <v>30.98</v>
      </c>
      <c r="E1104" s="2">
        <v>6.5</v>
      </c>
      <c r="F1104">
        <v>1989</v>
      </c>
      <c r="G1104" t="s">
        <v>1917</v>
      </c>
      <c r="H1104" t="s">
        <v>49</v>
      </c>
      <c r="I1104" t="s">
        <v>28</v>
      </c>
      <c r="J1104" t="s">
        <v>77</v>
      </c>
      <c r="K1104" t="s">
        <v>177</v>
      </c>
      <c r="L1104" t="s">
        <v>59</v>
      </c>
      <c r="M1104" t="s">
        <v>1893</v>
      </c>
      <c r="N1104">
        <v>0.64</v>
      </c>
      <c r="O1104" t="s">
        <v>33</v>
      </c>
      <c r="P1104" t="s">
        <v>34</v>
      </c>
      <c r="Q1104" t="s">
        <v>208</v>
      </c>
      <c r="R1104" t="s">
        <v>1918</v>
      </c>
      <c r="S1104">
        <v>84117</v>
      </c>
      <c r="T1104" s="1">
        <v>42139</v>
      </c>
      <c r="U1104" s="1">
        <v>42140</v>
      </c>
      <c r="V1104" s="2">
        <v>46.29</v>
      </c>
      <c r="W1104">
        <v>11</v>
      </c>
      <c r="X1104" s="2">
        <v>363.37</v>
      </c>
      <c r="Y1104">
        <v>90001</v>
      </c>
      <c r="Z1104">
        <f t="shared" si="17"/>
        <v>3997.07</v>
      </c>
    </row>
    <row r="1105" spans="1:26" x14ac:dyDescent="0.25">
      <c r="A1105">
        <v>20555</v>
      </c>
      <c r="B1105" t="s">
        <v>25</v>
      </c>
      <c r="C1105" s="2">
        <v>0.01</v>
      </c>
      <c r="D1105" s="2">
        <v>40.99</v>
      </c>
      <c r="E1105" s="2">
        <v>19.989999999999998</v>
      </c>
      <c r="F1105">
        <v>1989</v>
      </c>
      <c r="G1105" t="s">
        <v>1917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1919</v>
      </c>
      <c r="N1105">
        <v>0.36</v>
      </c>
      <c r="O1105" t="s">
        <v>33</v>
      </c>
      <c r="P1105" t="s">
        <v>34</v>
      </c>
      <c r="Q1105" t="s">
        <v>208</v>
      </c>
      <c r="R1105" t="s">
        <v>1918</v>
      </c>
      <c r="S1105">
        <v>84117</v>
      </c>
      <c r="T1105" s="1">
        <v>42139</v>
      </c>
      <c r="U1105" s="1">
        <v>42142</v>
      </c>
      <c r="V1105" s="2">
        <v>177.79</v>
      </c>
      <c r="W1105">
        <v>11</v>
      </c>
      <c r="X1105" s="2">
        <v>480.75</v>
      </c>
      <c r="Y1105">
        <v>90001</v>
      </c>
      <c r="Z1105">
        <f t="shared" si="17"/>
        <v>5288.25</v>
      </c>
    </row>
    <row r="1106" spans="1:26" x14ac:dyDescent="0.25">
      <c r="A1106">
        <v>21723</v>
      </c>
      <c r="B1106" t="s">
        <v>56</v>
      </c>
      <c r="C1106" s="2">
        <v>0.1</v>
      </c>
      <c r="D1106" s="2">
        <v>1.6</v>
      </c>
      <c r="E1106" s="2">
        <v>1.29</v>
      </c>
      <c r="F1106">
        <v>1989</v>
      </c>
      <c r="G1106" t="s">
        <v>1917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1920</v>
      </c>
      <c r="N1106">
        <v>0.42</v>
      </c>
      <c r="O1106" t="s">
        <v>33</v>
      </c>
      <c r="P1106" t="s">
        <v>34</v>
      </c>
      <c r="Q1106" t="s">
        <v>208</v>
      </c>
      <c r="R1106" t="s">
        <v>1918</v>
      </c>
      <c r="S1106">
        <v>84117</v>
      </c>
      <c r="T1106" s="1">
        <v>42124</v>
      </c>
      <c r="U1106" s="1">
        <v>42124</v>
      </c>
      <c r="V1106" s="2">
        <v>-14.990399999999999</v>
      </c>
      <c r="W1106">
        <v>11</v>
      </c>
      <c r="X1106" s="2">
        <v>16.88</v>
      </c>
      <c r="Y1106">
        <v>90003</v>
      </c>
      <c r="Z1106">
        <f t="shared" si="17"/>
        <v>185.67999999999998</v>
      </c>
    </row>
    <row r="1107" spans="1:26" x14ac:dyDescent="0.25">
      <c r="A1107">
        <v>25417</v>
      </c>
      <c r="B1107" t="s">
        <v>56</v>
      </c>
      <c r="C1107" s="2">
        <v>0</v>
      </c>
      <c r="D1107" s="2">
        <v>47.9</v>
      </c>
      <c r="E1107" s="2">
        <v>5.86</v>
      </c>
      <c r="F1107">
        <v>1991</v>
      </c>
      <c r="G1107" t="s">
        <v>1921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1922</v>
      </c>
      <c r="N1107">
        <v>0.37</v>
      </c>
      <c r="O1107" t="s">
        <v>33</v>
      </c>
      <c r="P1107" t="s">
        <v>34</v>
      </c>
      <c r="Q1107" t="s">
        <v>208</v>
      </c>
      <c r="R1107" t="s">
        <v>1923</v>
      </c>
      <c r="S1107">
        <v>84118</v>
      </c>
      <c r="T1107" s="1">
        <v>42057</v>
      </c>
      <c r="U1107" s="1">
        <v>42059</v>
      </c>
      <c r="V1107" s="2">
        <v>638.38109999999995</v>
      </c>
      <c r="W1107">
        <v>18</v>
      </c>
      <c r="X1107" s="2">
        <v>925.19</v>
      </c>
      <c r="Y1107">
        <v>90002</v>
      </c>
      <c r="Z1107">
        <f t="shared" si="17"/>
        <v>16653.420000000002</v>
      </c>
    </row>
    <row r="1108" spans="1:26" x14ac:dyDescent="0.25">
      <c r="A1108">
        <v>19797</v>
      </c>
      <c r="B1108" t="s">
        <v>37</v>
      </c>
      <c r="C1108" s="2">
        <v>0.1</v>
      </c>
      <c r="D1108" s="2">
        <v>125.99</v>
      </c>
      <c r="E1108" s="2">
        <v>8.99</v>
      </c>
      <c r="F1108">
        <v>1997</v>
      </c>
      <c r="G1108" t="s">
        <v>1924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889</v>
      </c>
      <c r="N1108">
        <v>0.56999999999999995</v>
      </c>
      <c r="O1108" t="s">
        <v>33</v>
      </c>
      <c r="P1108" t="s">
        <v>135</v>
      </c>
      <c r="Q1108" t="s">
        <v>923</v>
      </c>
      <c r="R1108" t="s">
        <v>924</v>
      </c>
      <c r="S1108">
        <v>29915</v>
      </c>
      <c r="T1108" s="1">
        <v>42029</v>
      </c>
      <c r="U1108" s="1">
        <v>42032</v>
      </c>
      <c r="V1108" s="2">
        <v>17.652000000000001</v>
      </c>
      <c r="W1108">
        <v>4</v>
      </c>
      <c r="X1108" s="2">
        <v>408.66</v>
      </c>
      <c r="Y1108">
        <v>90333</v>
      </c>
      <c r="Z1108">
        <f t="shared" si="17"/>
        <v>1634.64</v>
      </c>
    </row>
    <row r="1109" spans="1:26" x14ac:dyDescent="0.25">
      <c r="A1109">
        <v>19581</v>
      </c>
      <c r="B1109" t="s">
        <v>56</v>
      </c>
      <c r="C1109" s="2">
        <v>0.01</v>
      </c>
      <c r="D1109" s="2">
        <v>16.48</v>
      </c>
      <c r="E1109" s="2">
        <v>1.99</v>
      </c>
      <c r="F1109">
        <v>1997</v>
      </c>
      <c r="G1109" t="s">
        <v>1924</v>
      </c>
      <c r="H1109" t="s">
        <v>49</v>
      </c>
      <c r="I1109" t="s">
        <v>114</v>
      </c>
      <c r="J1109" t="s">
        <v>77</v>
      </c>
      <c r="K1109" t="s">
        <v>177</v>
      </c>
      <c r="L1109" t="s">
        <v>51</v>
      </c>
      <c r="M1109" t="s">
        <v>1459</v>
      </c>
      <c r="N1109">
        <v>0.42</v>
      </c>
      <c r="O1109" t="s">
        <v>33</v>
      </c>
      <c r="P1109" t="s">
        <v>135</v>
      </c>
      <c r="Q1109" t="s">
        <v>923</v>
      </c>
      <c r="R1109" t="s">
        <v>924</v>
      </c>
      <c r="S1109">
        <v>29915</v>
      </c>
      <c r="T1109" s="1">
        <v>42131</v>
      </c>
      <c r="U1109" s="1">
        <v>42132</v>
      </c>
      <c r="V1109" s="2">
        <v>739.67399999999998</v>
      </c>
      <c r="W1109">
        <v>7</v>
      </c>
      <c r="X1109" s="2">
        <v>122.93</v>
      </c>
      <c r="Y1109">
        <v>90334</v>
      </c>
      <c r="Z1109">
        <f t="shared" si="17"/>
        <v>860.51</v>
      </c>
    </row>
    <row r="1110" spans="1:26" x14ac:dyDescent="0.25">
      <c r="A1110">
        <v>21003</v>
      </c>
      <c r="B1110" t="s">
        <v>106</v>
      </c>
      <c r="C1110" s="2">
        <v>0</v>
      </c>
      <c r="D1110" s="2">
        <v>24.92</v>
      </c>
      <c r="E1110" s="2">
        <v>12.98</v>
      </c>
      <c r="F1110">
        <v>1997</v>
      </c>
      <c r="G1110" t="s">
        <v>1924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1925</v>
      </c>
      <c r="N1110">
        <v>0.39</v>
      </c>
      <c r="O1110" t="s">
        <v>33</v>
      </c>
      <c r="P1110" t="s">
        <v>135</v>
      </c>
      <c r="Q1110" t="s">
        <v>923</v>
      </c>
      <c r="R1110" t="s">
        <v>924</v>
      </c>
      <c r="S1110">
        <v>29915</v>
      </c>
      <c r="T1110" s="1">
        <v>42157</v>
      </c>
      <c r="U1110" s="1">
        <v>42157</v>
      </c>
      <c r="V1110" s="2">
        <v>-23.155999999999999</v>
      </c>
      <c r="W1110">
        <v>1</v>
      </c>
      <c r="X1110" s="2">
        <v>32.659999999999997</v>
      </c>
      <c r="Y1110">
        <v>90335</v>
      </c>
      <c r="Z1110">
        <f t="shared" si="17"/>
        <v>32.659999999999997</v>
      </c>
    </row>
    <row r="1111" spans="1:26" x14ac:dyDescent="0.25">
      <c r="A1111">
        <v>20392</v>
      </c>
      <c r="B1111" t="s">
        <v>37</v>
      </c>
      <c r="C1111" s="2">
        <v>0.06</v>
      </c>
      <c r="D1111" s="2">
        <v>4.42</v>
      </c>
      <c r="E1111" s="2">
        <v>4.99</v>
      </c>
      <c r="F1111">
        <v>1998</v>
      </c>
      <c r="G1111" t="s">
        <v>1926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1927</v>
      </c>
      <c r="S1111">
        <v>11758</v>
      </c>
      <c r="T1111" s="1">
        <v>42158</v>
      </c>
      <c r="U1111" s="1">
        <v>42160</v>
      </c>
      <c r="V1111" s="2">
        <v>-10.435</v>
      </c>
      <c r="W1111">
        <v>3</v>
      </c>
      <c r="X1111" s="2">
        <v>14.85</v>
      </c>
      <c r="Y1111">
        <v>90568</v>
      </c>
      <c r="Z1111">
        <f t="shared" si="17"/>
        <v>44.55</v>
      </c>
    </row>
    <row r="1112" spans="1:26" x14ac:dyDescent="0.25">
      <c r="A1112">
        <v>24075</v>
      </c>
      <c r="B1112" t="s">
        <v>56</v>
      </c>
      <c r="C1112" s="2">
        <v>0.06</v>
      </c>
      <c r="D1112" s="2">
        <v>4.24</v>
      </c>
      <c r="E1112" s="2">
        <v>5.41</v>
      </c>
      <c r="F1112">
        <v>2004</v>
      </c>
      <c r="G1112" t="s">
        <v>1928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1886</v>
      </c>
      <c r="S1112">
        <v>59715</v>
      </c>
      <c r="T1112" s="1">
        <v>42111</v>
      </c>
      <c r="U1112" s="1">
        <v>42113</v>
      </c>
      <c r="V1112" s="2">
        <v>-78.916679999999999</v>
      </c>
      <c r="W1112">
        <v>10</v>
      </c>
      <c r="X1112" s="2">
        <v>45</v>
      </c>
      <c r="Y1112">
        <v>91277</v>
      </c>
      <c r="Z1112">
        <f t="shared" si="17"/>
        <v>450</v>
      </c>
    </row>
    <row r="1113" spans="1:26" x14ac:dyDescent="0.25">
      <c r="A1113">
        <v>24076</v>
      </c>
      <c r="B1113" t="s">
        <v>56</v>
      </c>
      <c r="C1113" s="2">
        <v>0.04</v>
      </c>
      <c r="D1113" s="2">
        <v>6783.02</v>
      </c>
      <c r="E1113" s="2">
        <v>24.49</v>
      </c>
      <c r="F1113">
        <v>2004</v>
      </c>
      <c r="G1113" t="s">
        <v>1928</v>
      </c>
      <c r="H1113" t="s">
        <v>49</v>
      </c>
      <c r="I1113" t="s">
        <v>40</v>
      </c>
      <c r="J1113" t="s">
        <v>77</v>
      </c>
      <c r="K1113" t="s">
        <v>85</v>
      </c>
      <c r="L1113" t="s">
        <v>231</v>
      </c>
      <c r="M1113" t="s">
        <v>1265</v>
      </c>
      <c r="N1113">
        <v>0.39</v>
      </c>
      <c r="O1113" t="s">
        <v>33</v>
      </c>
      <c r="P1113" t="s">
        <v>34</v>
      </c>
      <c r="Q1113" t="s">
        <v>82</v>
      </c>
      <c r="R1113" t="s">
        <v>1886</v>
      </c>
      <c r="S1113">
        <v>59715</v>
      </c>
      <c r="T1113" s="1">
        <v>42111</v>
      </c>
      <c r="U1113" s="1">
        <v>42113</v>
      </c>
      <c r="V1113" s="2">
        <v>-13562.637409999999</v>
      </c>
      <c r="W1113">
        <v>1</v>
      </c>
      <c r="X1113" s="2">
        <v>6569.07</v>
      </c>
      <c r="Y1113">
        <v>91277</v>
      </c>
      <c r="Z1113">
        <f t="shared" si="17"/>
        <v>6569.07</v>
      </c>
    </row>
    <row r="1114" spans="1:26" x14ac:dyDescent="0.25">
      <c r="A1114">
        <v>25251</v>
      </c>
      <c r="B1114" t="s">
        <v>37</v>
      </c>
      <c r="C1114" s="2">
        <v>0.03</v>
      </c>
      <c r="D1114" s="2">
        <v>5.78</v>
      </c>
      <c r="E1114" s="2">
        <v>5.37</v>
      </c>
      <c r="F1114">
        <v>2006</v>
      </c>
      <c r="G1114" t="s">
        <v>1929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1930</v>
      </c>
      <c r="N1114">
        <v>0.36</v>
      </c>
      <c r="O1114" t="s">
        <v>33</v>
      </c>
      <c r="P1114" t="s">
        <v>34</v>
      </c>
      <c r="Q1114" t="s">
        <v>250</v>
      </c>
      <c r="R1114" t="s">
        <v>1931</v>
      </c>
      <c r="S1114">
        <v>81301</v>
      </c>
      <c r="T1114" s="1">
        <v>42068</v>
      </c>
      <c r="U1114" s="1">
        <v>42069</v>
      </c>
      <c r="V1114" s="2">
        <v>-63.35</v>
      </c>
      <c r="W1114">
        <v>15</v>
      </c>
      <c r="X1114" s="2">
        <v>88.22</v>
      </c>
      <c r="Y1114">
        <v>88798</v>
      </c>
      <c r="Z1114">
        <f t="shared" si="17"/>
        <v>1323.3</v>
      </c>
    </row>
    <row r="1115" spans="1:26" x14ac:dyDescent="0.25">
      <c r="A1115">
        <v>20006</v>
      </c>
      <c r="B1115" t="s">
        <v>56</v>
      </c>
      <c r="C1115" s="2">
        <v>0.1</v>
      </c>
      <c r="D1115" s="2">
        <v>10.48</v>
      </c>
      <c r="E1115" s="2">
        <v>2.89</v>
      </c>
      <c r="F1115">
        <v>2016</v>
      </c>
      <c r="G1115" t="s">
        <v>1932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1793</v>
      </c>
      <c r="N1115">
        <v>0.6</v>
      </c>
      <c r="O1115" t="s">
        <v>33</v>
      </c>
      <c r="P1115" t="s">
        <v>61</v>
      </c>
      <c r="Q1115" t="s">
        <v>295</v>
      </c>
      <c r="R1115" t="s">
        <v>723</v>
      </c>
      <c r="S1115">
        <v>48195</v>
      </c>
      <c r="T1115" s="1">
        <v>42173</v>
      </c>
      <c r="U1115" s="1">
        <v>42174</v>
      </c>
      <c r="V1115" s="2">
        <v>-8.9039999999999999</v>
      </c>
      <c r="W1115">
        <v>4</v>
      </c>
      <c r="X1115" s="2">
        <v>40.29</v>
      </c>
      <c r="Y1115">
        <v>86874</v>
      </c>
      <c r="Z1115">
        <f t="shared" si="17"/>
        <v>161.16</v>
      </c>
    </row>
    <row r="1116" spans="1:26" x14ac:dyDescent="0.25">
      <c r="A1116">
        <v>18989</v>
      </c>
      <c r="B1116" t="s">
        <v>25</v>
      </c>
      <c r="C1116" s="2">
        <v>7.0000000000000007E-2</v>
      </c>
      <c r="D1116" s="2">
        <v>39.479999999999997</v>
      </c>
      <c r="E1116" s="2">
        <v>1.99</v>
      </c>
      <c r="F1116">
        <v>2014</v>
      </c>
      <c r="G1116" t="s">
        <v>1933</v>
      </c>
      <c r="H1116" t="s">
        <v>49</v>
      </c>
      <c r="I1116" t="s">
        <v>40</v>
      </c>
      <c r="J1116" t="s">
        <v>77</v>
      </c>
      <c r="K1116" t="s">
        <v>177</v>
      </c>
      <c r="L1116" t="s">
        <v>51</v>
      </c>
      <c r="M1116" t="s">
        <v>697</v>
      </c>
      <c r="N1116">
        <v>0.54</v>
      </c>
      <c r="O1116" t="s">
        <v>33</v>
      </c>
      <c r="P1116" t="s">
        <v>61</v>
      </c>
      <c r="Q1116" t="s">
        <v>324</v>
      </c>
      <c r="R1116" t="s">
        <v>1934</v>
      </c>
      <c r="S1116">
        <v>51503</v>
      </c>
      <c r="T1116" s="1">
        <v>42085</v>
      </c>
      <c r="U1116" s="1">
        <v>42087</v>
      </c>
      <c r="V1116" s="2">
        <v>88.72</v>
      </c>
      <c r="W1116">
        <v>4</v>
      </c>
      <c r="X1116" s="2">
        <v>151.27000000000001</v>
      </c>
      <c r="Y1116">
        <v>88367</v>
      </c>
      <c r="Z1116">
        <f t="shared" si="17"/>
        <v>605.08000000000004</v>
      </c>
    </row>
    <row r="1117" spans="1:26" x14ac:dyDescent="0.25">
      <c r="A1117">
        <v>18990</v>
      </c>
      <c r="B1117" t="s">
        <v>25</v>
      </c>
      <c r="C1117" s="2">
        <v>0</v>
      </c>
      <c r="D1117" s="2">
        <v>4.91</v>
      </c>
      <c r="E1117" s="2">
        <v>0.5</v>
      </c>
      <c r="F1117">
        <v>2014</v>
      </c>
      <c r="G1117" t="s">
        <v>1933</v>
      </c>
      <c r="H1117" t="s">
        <v>49</v>
      </c>
      <c r="I1117" t="s">
        <v>40</v>
      </c>
      <c r="J1117" t="s">
        <v>29</v>
      </c>
      <c r="K1117" t="s">
        <v>133</v>
      </c>
      <c r="L1117" t="s">
        <v>59</v>
      </c>
      <c r="M1117" t="s">
        <v>161</v>
      </c>
      <c r="N1117">
        <v>0.36</v>
      </c>
      <c r="O1117" t="s">
        <v>33</v>
      </c>
      <c r="P1117" t="s">
        <v>61</v>
      </c>
      <c r="Q1117" t="s">
        <v>324</v>
      </c>
      <c r="R1117" t="s">
        <v>1934</v>
      </c>
      <c r="S1117">
        <v>51503</v>
      </c>
      <c r="T1117" s="1">
        <v>42085</v>
      </c>
      <c r="U1117" s="1">
        <v>42087</v>
      </c>
      <c r="V1117" s="2">
        <v>7.2519</v>
      </c>
      <c r="W1117">
        <v>2</v>
      </c>
      <c r="X1117" s="2">
        <v>10.51</v>
      </c>
      <c r="Y1117">
        <v>88367</v>
      </c>
      <c r="Z1117">
        <f t="shared" si="17"/>
        <v>21.02</v>
      </c>
    </row>
    <row r="1118" spans="1:26" x14ac:dyDescent="0.25">
      <c r="A1118">
        <v>21573</v>
      </c>
      <c r="B1118" t="s">
        <v>47</v>
      </c>
      <c r="C1118" s="2">
        <v>0.06</v>
      </c>
      <c r="D1118" s="2">
        <v>6.48</v>
      </c>
      <c r="E1118" s="2">
        <v>7.49</v>
      </c>
      <c r="F1118">
        <v>2014</v>
      </c>
      <c r="G1118" t="s">
        <v>1933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1935</v>
      </c>
      <c r="N1118">
        <v>0.37</v>
      </c>
      <c r="O1118" t="s">
        <v>33</v>
      </c>
      <c r="P1118" t="s">
        <v>61</v>
      </c>
      <c r="Q1118" t="s">
        <v>324</v>
      </c>
      <c r="R1118" t="s">
        <v>1934</v>
      </c>
      <c r="S1118">
        <v>51503</v>
      </c>
      <c r="T1118" s="1">
        <v>42098</v>
      </c>
      <c r="U1118" s="1">
        <v>42098</v>
      </c>
      <c r="V1118" s="2">
        <v>-191.49</v>
      </c>
      <c r="W1118">
        <v>12</v>
      </c>
      <c r="X1118" s="2">
        <v>74.930000000000007</v>
      </c>
      <c r="Y1118">
        <v>88368</v>
      </c>
      <c r="Z1118">
        <f t="shared" si="17"/>
        <v>899.16000000000008</v>
      </c>
    </row>
    <row r="1119" spans="1:26" x14ac:dyDescent="0.25">
      <c r="A1119">
        <v>25557</v>
      </c>
      <c r="B1119" t="s">
        <v>47</v>
      </c>
      <c r="C1119" s="2">
        <v>0.02</v>
      </c>
      <c r="D1119" s="2">
        <v>120.98</v>
      </c>
      <c r="E1119" s="2">
        <v>58.64</v>
      </c>
      <c r="F1119">
        <v>2020</v>
      </c>
      <c r="G1119" t="s">
        <v>1936</v>
      </c>
      <c r="H1119" t="s">
        <v>39</v>
      </c>
      <c r="I1119" t="s">
        <v>40</v>
      </c>
      <c r="J1119" t="s">
        <v>41</v>
      </c>
      <c r="K1119" t="s">
        <v>187</v>
      </c>
      <c r="L1119" t="s">
        <v>120</v>
      </c>
      <c r="M1119" t="s">
        <v>1937</v>
      </c>
      <c r="N1119">
        <v>0.75</v>
      </c>
      <c r="O1119" t="s">
        <v>33</v>
      </c>
      <c r="P1119" t="s">
        <v>53</v>
      </c>
      <c r="Q1119" t="s">
        <v>229</v>
      </c>
      <c r="R1119" t="s">
        <v>1938</v>
      </c>
      <c r="S1119">
        <v>15239</v>
      </c>
      <c r="T1119" s="1">
        <v>42048</v>
      </c>
      <c r="U1119" s="1">
        <v>42050</v>
      </c>
      <c r="V1119" s="2">
        <v>-1330.5</v>
      </c>
      <c r="W1119">
        <v>11</v>
      </c>
      <c r="X1119" s="2">
        <v>1370.99</v>
      </c>
      <c r="Y1119">
        <v>86933</v>
      </c>
      <c r="Z1119">
        <f t="shared" si="17"/>
        <v>15080.89</v>
      </c>
    </row>
    <row r="1120" spans="1:26" x14ac:dyDescent="0.25">
      <c r="A1120">
        <v>22145</v>
      </c>
      <c r="B1120" t="s">
        <v>47</v>
      </c>
      <c r="C1120" s="2">
        <v>0.04</v>
      </c>
      <c r="D1120" s="2">
        <v>120.97</v>
      </c>
      <c r="E1120" s="2">
        <v>7.11</v>
      </c>
      <c r="F1120">
        <v>2030</v>
      </c>
      <c r="G1120" t="s">
        <v>1939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1940</v>
      </c>
      <c r="N1120">
        <v>0.36</v>
      </c>
      <c r="O1120" t="s">
        <v>33</v>
      </c>
      <c r="P1120" t="s">
        <v>61</v>
      </c>
      <c r="Q1120" t="s">
        <v>129</v>
      </c>
      <c r="R1120" t="s">
        <v>1563</v>
      </c>
      <c r="S1120">
        <v>75401</v>
      </c>
      <c r="T1120" s="1">
        <v>42080</v>
      </c>
      <c r="U1120" s="1">
        <v>42080</v>
      </c>
      <c r="V1120" s="2">
        <v>1320.5496000000001</v>
      </c>
      <c r="W1120">
        <v>16</v>
      </c>
      <c r="X1120" s="2">
        <v>1913.84</v>
      </c>
      <c r="Y1120">
        <v>91059</v>
      </c>
      <c r="Z1120">
        <f t="shared" si="17"/>
        <v>30621.439999999999</v>
      </c>
    </row>
    <row r="1121" spans="1:26" x14ac:dyDescent="0.25">
      <c r="A1121">
        <v>22146</v>
      </c>
      <c r="B1121" t="s">
        <v>47</v>
      </c>
      <c r="C1121" s="2">
        <v>0</v>
      </c>
      <c r="D1121" s="2">
        <v>195.99</v>
      </c>
      <c r="E1121" s="2">
        <v>4.2</v>
      </c>
      <c r="F1121">
        <v>2030</v>
      </c>
      <c r="G1121" t="s">
        <v>1939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>
        <v>688</v>
      </c>
      <c r="N1121">
        <v>0.6</v>
      </c>
      <c r="O1121" t="s">
        <v>33</v>
      </c>
      <c r="P1121" t="s">
        <v>61</v>
      </c>
      <c r="Q1121" t="s">
        <v>129</v>
      </c>
      <c r="R1121" t="s">
        <v>1563</v>
      </c>
      <c r="S1121">
        <v>75401</v>
      </c>
      <c r="T1121" s="1">
        <v>42080</v>
      </c>
      <c r="U1121" s="1">
        <v>42082</v>
      </c>
      <c r="V1121" s="2">
        <v>1585.5029999999999</v>
      </c>
      <c r="W1121">
        <v>16</v>
      </c>
      <c r="X1121" s="2">
        <v>2692.12</v>
      </c>
      <c r="Y1121">
        <v>91059</v>
      </c>
      <c r="Z1121">
        <f t="shared" si="17"/>
        <v>43073.919999999998</v>
      </c>
    </row>
    <row r="1122" spans="1:26" x14ac:dyDescent="0.25">
      <c r="A1122">
        <v>20654</v>
      </c>
      <c r="B1122" t="s">
        <v>56</v>
      </c>
      <c r="C1122" s="2">
        <v>0.03</v>
      </c>
      <c r="D1122" s="2">
        <v>55.98</v>
      </c>
      <c r="E1122" s="2">
        <v>4.8600000000000003</v>
      </c>
      <c r="F1122">
        <v>2030</v>
      </c>
      <c r="G1122" t="s">
        <v>1939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605</v>
      </c>
      <c r="N1122">
        <v>0.36</v>
      </c>
      <c r="O1122" t="s">
        <v>33</v>
      </c>
      <c r="P1122" t="s">
        <v>61</v>
      </c>
      <c r="Q1122" t="s">
        <v>129</v>
      </c>
      <c r="R1122" t="s">
        <v>1563</v>
      </c>
      <c r="S1122">
        <v>75401</v>
      </c>
      <c r="T1122" s="1">
        <v>42081</v>
      </c>
      <c r="U1122" s="1">
        <v>42083</v>
      </c>
      <c r="V1122" s="2">
        <v>526.04219999999998</v>
      </c>
      <c r="W1122">
        <v>13</v>
      </c>
      <c r="X1122" s="2">
        <v>762.38</v>
      </c>
      <c r="Y1122">
        <v>91060</v>
      </c>
      <c r="Z1122">
        <f t="shared" si="17"/>
        <v>9910.94</v>
      </c>
    </row>
    <row r="1123" spans="1:26" x14ac:dyDescent="0.25">
      <c r="A1123">
        <v>25918</v>
      </c>
      <c r="B1123" t="s">
        <v>47</v>
      </c>
      <c r="C1123" s="2">
        <v>0.1</v>
      </c>
      <c r="D1123" s="2">
        <v>1.89</v>
      </c>
      <c r="E1123" s="2">
        <v>0.76</v>
      </c>
      <c r="F1123">
        <v>2035</v>
      </c>
      <c r="G1123" t="s">
        <v>1941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1942</v>
      </c>
      <c r="N1123">
        <v>0.83</v>
      </c>
      <c r="O1123" t="s">
        <v>33</v>
      </c>
      <c r="P1123" t="s">
        <v>135</v>
      </c>
      <c r="Q1123" t="s">
        <v>356</v>
      </c>
      <c r="R1123" t="s">
        <v>1826</v>
      </c>
      <c r="S1123">
        <v>33403</v>
      </c>
      <c r="T1123" s="1">
        <v>42142</v>
      </c>
      <c r="U1123" s="1">
        <v>42144</v>
      </c>
      <c r="V1123" s="2">
        <v>-40.432000000000002</v>
      </c>
      <c r="W1123">
        <v>20</v>
      </c>
      <c r="X1123" s="2">
        <v>36.72</v>
      </c>
      <c r="Y1123">
        <v>87117</v>
      </c>
      <c r="Z1123">
        <f t="shared" si="17"/>
        <v>734.4</v>
      </c>
    </row>
    <row r="1124" spans="1:26" x14ac:dyDescent="0.25">
      <c r="A1124">
        <v>19733</v>
      </c>
      <c r="B1124" t="s">
        <v>37</v>
      </c>
      <c r="C1124" s="2">
        <v>0</v>
      </c>
      <c r="D1124" s="2">
        <v>73.98</v>
      </c>
      <c r="E1124" s="2">
        <v>14.52</v>
      </c>
      <c r="F1124">
        <v>2037</v>
      </c>
      <c r="G1124" t="s">
        <v>1943</v>
      </c>
      <c r="H1124" t="s">
        <v>49</v>
      </c>
      <c r="I1124" t="s">
        <v>58</v>
      </c>
      <c r="J1124" t="s">
        <v>77</v>
      </c>
      <c r="K1124" t="s">
        <v>177</v>
      </c>
      <c r="L1124" t="s">
        <v>59</v>
      </c>
      <c r="M1124" t="s">
        <v>1129</v>
      </c>
      <c r="N1124">
        <v>0.65</v>
      </c>
      <c r="O1124" t="s">
        <v>33</v>
      </c>
      <c r="P1124" t="s">
        <v>34</v>
      </c>
      <c r="Q1124" t="s">
        <v>82</v>
      </c>
      <c r="R1124" t="s">
        <v>1886</v>
      </c>
      <c r="S1124">
        <v>59715</v>
      </c>
      <c r="T1124" s="1">
        <v>42075</v>
      </c>
      <c r="U1124" s="1">
        <v>42077</v>
      </c>
      <c r="V1124" s="2">
        <v>-88.61</v>
      </c>
      <c r="W1124">
        <v>4</v>
      </c>
      <c r="X1124" s="2">
        <v>305.70999999999998</v>
      </c>
      <c r="Y1124">
        <v>89333</v>
      </c>
      <c r="Z1124">
        <f t="shared" si="17"/>
        <v>1222.8399999999999</v>
      </c>
    </row>
    <row r="1125" spans="1:26" x14ac:dyDescent="0.25">
      <c r="A1125">
        <v>22018</v>
      </c>
      <c r="B1125" t="s">
        <v>25</v>
      </c>
      <c r="C1125" s="2">
        <v>0.06</v>
      </c>
      <c r="D1125" s="2">
        <v>40.99</v>
      </c>
      <c r="E1125" s="2">
        <v>17.48</v>
      </c>
      <c r="F1125">
        <v>2038</v>
      </c>
      <c r="G1125" t="s">
        <v>1944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1095</v>
      </c>
      <c r="N1125">
        <v>0.36</v>
      </c>
      <c r="O1125" t="s">
        <v>33</v>
      </c>
      <c r="P1125" t="s">
        <v>53</v>
      </c>
      <c r="Q1125" t="s">
        <v>71</v>
      </c>
      <c r="R1125" t="s">
        <v>1945</v>
      </c>
      <c r="S1125">
        <v>10550</v>
      </c>
      <c r="T1125" s="1">
        <v>42115</v>
      </c>
      <c r="U1125" s="1">
        <v>42115</v>
      </c>
      <c r="V1125" s="2">
        <v>109.16</v>
      </c>
      <c r="W1125">
        <v>7</v>
      </c>
      <c r="X1125" s="2">
        <v>277.12</v>
      </c>
      <c r="Y1125">
        <v>89334</v>
      </c>
      <c r="Z1125">
        <f t="shared" si="17"/>
        <v>1939.8400000000001</v>
      </c>
    </row>
    <row r="1126" spans="1:26" x14ac:dyDescent="0.25">
      <c r="A1126">
        <v>24731</v>
      </c>
      <c r="B1126" t="s">
        <v>106</v>
      </c>
      <c r="C1126" s="2">
        <v>0.09</v>
      </c>
      <c r="D1126" s="2">
        <v>20.99</v>
      </c>
      <c r="E1126" s="2">
        <v>2.5</v>
      </c>
      <c r="F1126">
        <v>2044</v>
      </c>
      <c r="G1126" t="s">
        <v>1946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1159</v>
      </c>
      <c r="N1126">
        <v>0.81</v>
      </c>
      <c r="O1126" t="s">
        <v>33</v>
      </c>
      <c r="P1126" t="s">
        <v>135</v>
      </c>
      <c r="Q1126" t="s">
        <v>949</v>
      </c>
      <c r="R1126" t="s">
        <v>1947</v>
      </c>
      <c r="S1126">
        <v>72756</v>
      </c>
      <c r="T1126" s="1">
        <v>42179</v>
      </c>
      <c r="U1126" s="1">
        <v>42186</v>
      </c>
      <c r="V1126" s="2">
        <v>-136.12200000000001</v>
      </c>
      <c r="W1126">
        <v>6</v>
      </c>
      <c r="X1126" s="2">
        <v>100.11</v>
      </c>
      <c r="Y1126">
        <v>88692</v>
      </c>
      <c r="Z1126">
        <f t="shared" si="17"/>
        <v>600.66</v>
      </c>
    </row>
    <row r="1127" spans="1:26" x14ac:dyDescent="0.25">
      <c r="A1127">
        <v>22970</v>
      </c>
      <c r="B1127" t="s">
        <v>47</v>
      </c>
      <c r="C1127" s="2">
        <v>0.04</v>
      </c>
      <c r="D1127" s="2">
        <v>4.28</v>
      </c>
      <c r="E1127" s="2">
        <v>5.68</v>
      </c>
      <c r="F1127">
        <v>2046</v>
      </c>
      <c r="G1127" t="s">
        <v>1948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1949</v>
      </c>
      <c r="N1127">
        <v>0.4</v>
      </c>
      <c r="O1127" t="s">
        <v>33</v>
      </c>
      <c r="P1127" t="s">
        <v>61</v>
      </c>
      <c r="Q1127" t="s">
        <v>180</v>
      </c>
      <c r="R1127" t="s">
        <v>1950</v>
      </c>
      <c r="S1127">
        <v>67901</v>
      </c>
      <c r="T1127" s="1">
        <v>42167</v>
      </c>
      <c r="U1127" s="1">
        <v>42169</v>
      </c>
      <c r="V1127" s="2">
        <v>-27.375</v>
      </c>
      <c r="W1127">
        <v>7</v>
      </c>
      <c r="X1127" s="2">
        <v>31.54</v>
      </c>
      <c r="Y1127">
        <v>88219</v>
      </c>
      <c r="Z1127">
        <f t="shared" si="17"/>
        <v>220.78</v>
      </c>
    </row>
    <row r="1128" spans="1:26" x14ac:dyDescent="0.25">
      <c r="A1128">
        <v>22971</v>
      </c>
      <c r="B1128" t="s">
        <v>47</v>
      </c>
      <c r="C1128" s="2">
        <v>0.06</v>
      </c>
      <c r="D1128" s="2">
        <v>376.13</v>
      </c>
      <c r="E1128" s="2">
        <v>85.63</v>
      </c>
      <c r="F1128">
        <v>2046</v>
      </c>
      <c r="G1128" t="s">
        <v>1948</v>
      </c>
      <c r="H1128" t="s">
        <v>39</v>
      </c>
      <c r="I1128" t="s">
        <v>28</v>
      </c>
      <c r="J1128" t="s">
        <v>41</v>
      </c>
      <c r="K1128" t="s">
        <v>150</v>
      </c>
      <c r="L1128" t="s">
        <v>120</v>
      </c>
      <c r="M1128" t="s">
        <v>1951</v>
      </c>
      <c r="N1128">
        <v>0.74</v>
      </c>
      <c r="O1128" t="s">
        <v>33</v>
      </c>
      <c r="P1128" t="s">
        <v>61</v>
      </c>
      <c r="Q1128" t="s">
        <v>180</v>
      </c>
      <c r="R1128" t="s">
        <v>1950</v>
      </c>
      <c r="S1128">
        <v>67901</v>
      </c>
      <c r="T1128" s="1">
        <v>42167</v>
      </c>
      <c r="U1128" s="1">
        <v>42169</v>
      </c>
      <c r="V1128" s="2">
        <v>-435.75749999999999</v>
      </c>
      <c r="W1128">
        <v>13</v>
      </c>
      <c r="X1128" s="2">
        <v>4634.6899999999996</v>
      </c>
      <c r="Y1128">
        <v>88219</v>
      </c>
      <c r="Z1128">
        <f t="shared" si="17"/>
        <v>60250.969999999994</v>
      </c>
    </row>
    <row r="1129" spans="1:26" x14ac:dyDescent="0.25">
      <c r="A1129">
        <v>22972</v>
      </c>
      <c r="B1129" t="s">
        <v>47</v>
      </c>
      <c r="C1129" s="2">
        <v>0.06</v>
      </c>
      <c r="D1129" s="2">
        <v>424.21</v>
      </c>
      <c r="E1129" s="2">
        <v>110.2</v>
      </c>
      <c r="F1129">
        <v>2046</v>
      </c>
      <c r="G1129" t="s">
        <v>1948</v>
      </c>
      <c r="H1129" t="s">
        <v>39</v>
      </c>
      <c r="I1129" t="s">
        <v>28</v>
      </c>
      <c r="J1129" t="s">
        <v>41</v>
      </c>
      <c r="K1129" t="s">
        <v>150</v>
      </c>
      <c r="L1129" t="s">
        <v>120</v>
      </c>
      <c r="M1129" t="s">
        <v>1885</v>
      </c>
      <c r="N1129">
        <v>0.67</v>
      </c>
      <c r="O1129" t="s">
        <v>33</v>
      </c>
      <c r="P1129" t="s">
        <v>61</v>
      </c>
      <c r="Q1129" t="s">
        <v>180</v>
      </c>
      <c r="R1129" t="s">
        <v>1950</v>
      </c>
      <c r="S1129">
        <v>67901</v>
      </c>
      <c r="T1129" s="1">
        <v>42167</v>
      </c>
      <c r="U1129" s="1">
        <v>42168</v>
      </c>
      <c r="V1129" s="2">
        <v>682.53</v>
      </c>
      <c r="W1129">
        <v>17</v>
      </c>
      <c r="X1129" s="2">
        <v>7304.03</v>
      </c>
      <c r="Y1129">
        <v>88219</v>
      </c>
      <c r="Z1129">
        <f t="shared" si="17"/>
        <v>124168.51</v>
      </c>
    </row>
    <row r="1130" spans="1:26" x14ac:dyDescent="0.25">
      <c r="A1130">
        <v>22973</v>
      </c>
      <c r="B1130" t="s">
        <v>47</v>
      </c>
      <c r="C1130" s="2">
        <v>0.06</v>
      </c>
      <c r="D1130" s="2">
        <v>195.99</v>
      </c>
      <c r="E1130" s="2">
        <v>8.99</v>
      </c>
      <c r="F1130">
        <v>2046</v>
      </c>
      <c r="G1130" t="s">
        <v>1948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726</v>
      </c>
      <c r="N1130">
        <v>0.6</v>
      </c>
      <c r="O1130" t="s">
        <v>33</v>
      </c>
      <c r="P1130" t="s">
        <v>61</v>
      </c>
      <c r="Q1130" t="s">
        <v>180</v>
      </c>
      <c r="R1130" t="s">
        <v>1950</v>
      </c>
      <c r="S1130">
        <v>67901</v>
      </c>
      <c r="T1130" s="1">
        <v>42167</v>
      </c>
      <c r="U1130" s="1">
        <v>42169</v>
      </c>
      <c r="V1130" s="2">
        <v>-277.22199999999998</v>
      </c>
      <c r="W1130">
        <v>4</v>
      </c>
      <c r="X1130" s="2">
        <v>632.65</v>
      </c>
      <c r="Y1130">
        <v>88219</v>
      </c>
      <c r="Z1130">
        <f t="shared" si="17"/>
        <v>2530.6</v>
      </c>
    </row>
    <row r="1131" spans="1:26" x14ac:dyDescent="0.25">
      <c r="A1131">
        <v>18497</v>
      </c>
      <c r="B1131" t="s">
        <v>25</v>
      </c>
      <c r="C1131" s="2">
        <v>0.03</v>
      </c>
      <c r="D1131" s="2">
        <v>15.28</v>
      </c>
      <c r="E1131" s="2">
        <v>1.99</v>
      </c>
      <c r="F1131">
        <v>2049</v>
      </c>
      <c r="G1131" t="s">
        <v>1952</v>
      </c>
      <c r="H1131" t="s">
        <v>49</v>
      </c>
      <c r="I1131" t="s">
        <v>28</v>
      </c>
      <c r="J1131" t="s">
        <v>77</v>
      </c>
      <c r="K1131" t="s">
        <v>177</v>
      </c>
      <c r="L1131" t="s">
        <v>51</v>
      </c>
      <c r="M1131" t="s">
        <v>327</v>
      </c>
      <c r="N1131">
        <v>0.42</v>
      </c>
      <c r="O1131" t="s">
        <v>33</v>
      </c>
      <c r="P1131" t="s">
        <v>135</v>
      </c>
      <c r="Q1131" t="s">
        <v>136</v>
      </c>
      <c r="R1131" t="s">
        <v>1953</v>
      </c>
      <c r="S1131">
        <v>22801</v>
      </c>
      <c r="T1131" s="1">
        <v>42176</v>
      </c>
      <c r="U1131" s="1">
        <v>42178</v>
      </c>
      <c r="V1131" s="2">
        <v>-266.68599999999998</v>
      </c>
      <c r="W1131">
        <v>19</v>
      </c>
      <c r="X1131" s="2">
        <v>290.98</v>
      </c>
      <c r="Y1131">
        <v>88220</v>
      </c>
      <c r="Z1131">
        <f t="shared" si="17"/>
        <v>5528.6200000000008</v>
      </c>
    </row>
    <row r="1132" spans="1:26" x14ac:dyDescent="0.25">
      <c r="A1132">
        <v>18498</v>
      </c>
      <c r="B1132" t="s">
        <v>25</v>
      </c>
      <c r="C1132" s="2">
        <v>0.09</v>
      </c>
      <c r="D1132" s="2">
        <v>1.76</v>
      </c>
      <c r="E1132" s="2">
        <v>0.7</v>
      </c>
      <c r="F1132">
        <v>2049</v>
      </c>
      <c r="G1132" t="s">
        <v>1952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1954</v>
      </c>
      <c r="N1132">
        <v>0.56000000000000005</v>
      </c>
      <c r="O1132" t="s">
        <v>33</v>
      </c>
      <c r="P1132" t="s">
        <v>135</v>
      </c>
      <c r="Q1132" t="s">
        <v>136</v>
      </c>
      <c r="R1132" t="s">
        <v>1953</v>
      </c>
      <c r="S1132">
        <v>22801</v>
      </c>
      <c r="T1132" s="1">
        <v>42176</v>
      </c>
      <c r="U1132" s="1">
        <v>42179</v>
      </c>
      <c r="V1132" s="2">
        <v>-12.278</v>
      </c>
      <c r="W1132">
        <v>13</v>
      </c>
      <c r="X1132" s="2">
        <v>21.77</v>
      </c>
      <c r="Y1132">
        <v>88220</v>
      </c>
      <c r="Z1132">
        <f t="shared" si="17"/>
        <v>283.01</v>
      </c>
    </row>
    <row r="1133" spans="1:26" x14ac:dyDescent="0.25">
      <c r="A1133">
        <v>18251</v>
      </c>
      <c r="B1133" t="s">
        <v>37</v>
      </c>
      <c r="C1133" s="2">
        <v>7.0000000000000007E-2</v>
      </c>
      <c r="D1133" s="2">
        <v>31.78</v>
      </c>
      <c r="E1133" s="2">
        <v>1.99</v>
      </c>
      <c r="F1133">
        <v>2052</v>
      </c>
      <c r="G1133" t="s">
        <v>1955</v>
      </c>
      <c r="H1133" t="s">
        <v>49</v>
      </c>
      <c r="I1133" t="s">
        <v>40</v>
      </c>
      <c r="J1133" t="s">
        <v>77</v>
      </c>
      <c r="K1133" t="s">
        <v>177</v>
      </c>
      <c r="L1133" t="s">
        <v>51</v>
      </c>
      <c r="M1133" t="s">
        <v>892</v>
      </c>
      <c r="N1133">
        <v>0.42</v>
      </c>
      <c r="O1133" t="s">
        <v>33</v>
      </c>
      <c r="P1133" t="s">
        <v>34</v>
      </c>
      <c r="Q1133" t="s">
        <v>360</v>
      </c>
      <c r="R1133" t="s">
        <v>1956</v>
      </c>
      <c r="S1133">
        <v>87105</v>
      </c>
      <c r="T1133" s="1">
        <v>42054</v>
      </c>
      <c r="U1133" s="1">
        <v>42056</v>
      </c>
      <c r="V1133" s="2">
        <v>265.11180000000002</v>
      </c>
      <c r="W1133">
        <v>13</v>
      </c>
      <c r="X1133" s="2">
        <v>384.22</v>
      </c>
      <c r="Y1133">
        <v>87234</v>
      </c>
      <c r="Z1133">
        <f t="shared" si="17"/>
        <v>4994.8600000000006</v>
      </c>
    </row>
    <row r="1134" spans="1:26" x14ac:dyDescent="0.25">
      <c r="A1134">
        <v>18252</v>
      </c>
      <c r="B1134" t="s">
        <v>37</v>
      </c>
      <c r="C1134" s="2">
        <v>0</v>
      </c>
      <c r="D1134" s="2">
        <v>5.98</v>
      </c>
      <c r="E1134" s="2">
        <v>2.5</v>
      </c>
      <c r="F1134">
        <v>2052</v>
      </c>
      <c r="G1134" t="s">
        <v>1955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241</v>
      </c>
      <c r="N1134">
        <v>0.36</v>
      </c>
      <c r="O1134" t="s">
        <v>33</v>
      </c>
      <c r="P1134" t="s">
        <v>34</v>
      </c>
      <c r="Q1134" t="s">
        <v>360</v>
      </c>
      <c r="R1134" t="s">
        <v>1956</v>
      </c>
      <c r="S1134">
        <v>87105</v>
      </c>
      <c r="T1134" s="1">
        <v>42054</v>
      </c>
      <c r="U1134" s="1">
        <v>42055</v>
      </c>
      <c r="V1134" s="2">
        <v>9.5608000000000004</v>
      </c>
      <c r="W1134">
        <v>5</v>
      </c>
      <c r="X1134" s="2">
        <v>31.64</v>
      </c>
      <c r="Y1134">
        <v>87234</v>
      </c>
      <c r="Z1134">
        <f t="shared" si="17"/>
        <v>158.19999999999999</v>
      </c>
    </row>
    <row r="1135" spans="1:26" x14ac:dyDescent="0.25">
      <c r="A1135">
        <v>18253</v>
      </c>
      <c r="B1135" t="s">
        <v>37</v>
      </c>
      <c r="C1135" s="2">
        <v>0.1</v>
      </c>
      <c r="D1135" s="2">
        <v>35.99</v>
      </c>
      <c r="E1135" s="2">
        <v>1.1000000000000001</v>
      </c>
      <c r="F1135">
        <v>2052</v>
      </c>
      <c r="G1135" t="s">
        <v>1955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926</v>
      </c>
      <c r="N1135">
        <v>0.55000000000000004</v>
      </c>
      <c r="O1135" t="s">
        <v>33</v>
      </c>
      <c r="P1135" t="s">
        <v>34</v>
      </c>
      <c r="Q1135" t="s">
        <v>360</v>
      </c>
      <c r="R1135" t="s">
        <v>1956</v>
      </c>
      <c r="S1135">
        <v>87105</v>
      </c>
      <c r="T1135" s="1">
        <v>42054</v>
      </c>
      <c r="U1135" s="1">
        <v>42055</v>
      </c>
      <c r="V1135" s="2">
        <v>390.09840000000003</v>
      </c>
      <c r="W1135">
        <v>19</v>
      </c>
      <c r="X1135" s="2">
        <v>565.36</v>
      </c>
      <c r="Y1135">
        <v>87234</v>
      </c>
      <c r="Z1135">
        <f t="shared" si="17"/>
        <v>10741.84</v>
      </c>
    </row>
    <row r="1136" spans="1:26" x14ac:dyDescent="0.25">
      <c r="A1136">
        <v>20481</v>
      </c>
      <c r="B1136" t="s">
        <v>56</v>
      </c>
      <c r="C1136" s="2">
        <v>7.0000000000000007E-2</v>
      </c>
      <c r="D1136" s="2">
        <v>5.98</v>
      </c>
      <c r="E1136" s="2">
        <v>5.46</v>
      </c>
      <c r="F1136">
        <v>2058</v>
      </c>
      <c r="G1136" t="s">
        <v>1957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1040</v>
      </c>
      <c r="N1136">
        <v>0.36</v>
      </c>
      <c r="O1136" t="s">
        <v>33</v>
      </c>
      <c r="P1136" t="s">
        <v>135</v>
      </c>
      <c r="Q1136" t="s">
        <v>316</v>
      </c>
      <c r="R1136" t="s">
        <v>1958</v>
      </c>
      <c r="S1136">
        <v>28601</v>
      </c>
      <c r="T1136" s="1">
        <v>42048</v>
      </c>
      <c r="U1136" s="1">
        <v>42050</v>
      </c>
      <c r="V1136" s="2">
        <v>46.65</v>
      </c>
      <c r="W1136">
        <v>5</v>
      </c>
      <c r="X1136" s="2">
        <v>32.76</v>
      </c>
      <c r="Y1136">
        <v>88040</v>
      </c>
      <c r="Z1136">
        <f t="shared" si="17"/>
        <v>163.79999999999998</v>
      </c>
    </row>
    <row r="1137" spans="1:26" x14ac:dyDescent="0.25">
      <c r="A1137">
        <v>23499</v>
      </c>
      <c r="B1137" t="s">
        <v>37</v>
      </c>
      <c r="C1137" s="2">
        <v>0.09</v>
      </c>
      <c r="D1137" s="2">
        <v>28.48</v>
      </c>
      <c r="E1137" s="2">
        <v>1.99</v>
      </c>
      <c r="F1137">
        <v>2059</v>
      </c>
      <c r="G1137" t="s">
        <v>1959</v>
      </c>
      <c r="H1137" t="s">
        <v>49</v>
      </c>
      <c r="I1137" t="s">
        <v>28</v>
      </c>
      <c r="J1137" t="s">
        <v>77</v>
      </c>
      <c r="K1137" t="s">
        <v>177</v>
      </c>
      <c r="L1137" t="s">
        <v>51</v>
      </c>
      <c r="M1137" t="s">
        <v>401</v>
      </c>
      <c r="N1137">
        <v>0.4</v>
      </c>
      <c r="O1137" t="s">
        <v>33</v>
      </c>
      <c r="P1137" t="s">
        <v>135</v>
      </c>
      <c r="Q1137" t="s">
        <v>316</v>
      </c>
      <c r="R1137" t="s">
        <v>1960</v>
      </c>
      <c r="S1137">
        <v>27260</v>
      </c>
      <c r="T1137" s="1">
        <v>42021</v>
      </c>
      <c r="U1137" s="1">
        <v>42022</v>
      </c>
      <c r="V1137" s="2">
        <v>-1250.7460000000001</v>
      </c>
      <c r="W1137">
        <v>13</v>
      </c>
      <c r="X1137" s="2">
        <v>336.92</v>
      </c>
      <c r="Y1137">
        <v>88039</v>
      </c>
      <c r="Z1137">
        <f t="shared" si="17"/>
        <v>4379.96</v>
      </c>
    </row>
    <row r="1138" spans="1:26" x14ac:dyDescent="0.25">
      <c r="A1138">
        <v>21632</v>
      </c>
      <c r="B1138" t="s">
        <v>47</v>
      </c>
      <c r="C1138" s="2">
        <v>0.1</v>
      </c>
      <c r="D1138" s="2">
        <v>9.85</v>
      </c>
      <c r="E1138" s="2">
        <v>4.82</v>
      </c>
      <c r="F1138">
        <v>2059</v>
      </c>
      <c r="G1138" t="s">
        <v>1959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1961</v>
      </c>
      <c r="N1138">
        <v>0.47</v>
      </c>
      <c r="O1138" t="s">
        <v>33</v>
      </c>
      <c r="P1138" t="s">
        <v>135</v>
      </c>
      <c r="Q1138" t="s">
        <v>316</v>
      </c>
      <c r="R1138" t="s">
        <v>1960</v>
      </c>
      <c r="S1138">
        <v>27260</v>
      </c>
      <c r="T1138" s="1">
        <v>42090</v>
      </c>
      <c r="U1138" s="1">
        <v>42091</v>
      </c>
      <c r="V1138" s="2">
        <v>374.904</v>
      </c>
      <c r="W1138">
        <v>12</v>
      </c>
      <c r="X1138" s="2">
        <v>114.91</v>
      </c>
      <c r="Y1138">
        <v>88041</v>
      </c>
      <c r="Z1138">
        <f t="shared" si="17"/>
        <v>1378.92</v>
      </c>
    </row>
    <row r="1139" spans="1:26" x14ac:dyDescent="0.25">
      <c r="A1139">
        <v>21633</v>
      </c>
      <c r="B1139" t="s">
        <v>47</v>
      </c>
      <c r="C1139" s="2">
        <v>0.04</v>
      </c>
      <c r="D1139" s="2">
        <v>125.99</v>
      </c>
      <c r="E1139" s="2">
        <v>7.69</v>
      </c>
      <c r="F1139">
        <v>2059</v>
      </c>
      <c r="G1139" t="s">
        <v>1959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1214</v>
      </c>
      <c r="N1139">
        <v>0.57999999999999996</v>
      </c>
      <c r="O1139" t="s">
        <v>33</v>
      </c>
      <c r="P1139" t="s">
        <v>135</v>
      </c>
      <c r="Q1139" t="s">
        <v>316</v>
      </c>
      <c r="R1139" t="s">
        <v>1960</v>
      </c>
      <c r="S1139">
        <v>27260</v>
      </c>
      <c r="T1139" s="1">
        <v>42090</v>
      </c>
      <c r="U1139" s="1">
        <v>42091</v>
      </c>
      <c r="V1139" s="2">
        <v>-528.83600000000001</v>
      </c>
      <c r="W1139">
        <v>9</v>
      </c>
      <c r="X1139" s="2">
        <v>934.52</v>
      </c>
      <c r="Y1139">
        <v>88041</v>
      </c>
      <c r="Z1139">
        <f t="shared" si="17"/>
        <v>8410.68</v>
      </c>
    </row>
    <row r="1140" spans="1:26" x14ac:dyDescent="0.25">
      <c r="A1140">
        <v>20841</v>
      </c>
      <c r="B1140" t="s">
        <v>56</v>
      </c>
      <c r="C1140" s="2">
        <v>0.02</v>
      </c>
      <c r="D1140" s="2">
        <v>240.98</v>
      </c>
      <c r="E1140" s="2">
        <v>60.2</v>
      </c>
      <c r="F1140">
        <v>2061</v>
      </c>
      <c r="G1140" t="s">
        <v>1962</v>
      </c>
      <c r="H1140" t="s">
        <v>39</v>
      </c>
      <c r="I1140" t="s">
        <v>28</v>
      </c>
      <c r="J1140" t="s">
        <v>41</v>
      </c>
      <c r="K1140" t="s">
        <v>187</v>
      </c>
      <c r="L1140" t="s">
        <v>120</v>
      </c>
      <c r="M1140" t="s">
        <v>1963</v>
      </c>
      <c r="N1140">
        <v>0.56000000000000005</v>
      </c>
      <c r="O1140" t="s">
        <v>33</v>
      </c>
      <c r="P1140" t="s">
        <v>61</v>
      </c>
      <c r="Q1140" t="s">
        <v>489</v>
      </c>
      <c r="R1140" t="s">
        <v>1964</v>
      </c>
      <c r="S1140">
        <v>69101</v>
      </c>
      <c r="T1140" s="1">
        <v>42033</v>
      </c>
      <c r="U1140" s="1">
        <v>42035</v>
      </c>
      <c r="V1140" s="2">
        <v>-272.71319999999997</v>
      </c>
      <c r="W1140">
        <v>1</v>
      </c>
      <c r="X1140" s="2">
        <v>260.66000000000003</v>
      </c>
      <c r="Y1140">
        <v>87146</v>
      </c>
      <c r="Z1140">
        <f t="shared" si="17"/>
        <v>260.66000000000003</v>
      </c>
    </row>
    <row r="1141" spans="1:26" x14ac:dyDescent="0.25">
      <c r="A1141">
        <v>20840</v>
      </c>
      <c r="B1141" t="s">
        <v>56</v>
      </c>
      <c r="C1141" s="2">
        <v>0.02</v>
      </c>
      <c r="D1141" s="2">
        <v>420.98</v>
      </c>
      <c r="E1141" s="2">
        <v>19.989999999999998</v>
      </c>
      <c r="F1141">
        <v>2062</v>
      </c>
      <c r="G1141" t="s">
        <v>1965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1497</v>
      </c>
      <c r="N1141">
        <v>0.35</v>
      </c>
      <c r="O1141" t="s">
        <v>33</v>
      </c>
      <c r="P1141" t="s">
        <v>135</v>
      </c>
      <c r="Q1141" t="s">
        <v>136</v>
      </c>
      <c r="R1141" t="s">
        <v>1966</v>
      </c>
      <c r="S1141">
        <v>23111</v>
      </c>
      <c r="T1141" s="1">
        <v>42033</v>
      </c>
      <c r="U1141" s="1">
        <v>42036</v>
      </c>
      <c r="V1141" s="2">
        <v>-162.69399999999999</v>
      </c>
      <c r="W1141">
        <v>10</v>
      </c>
      <c r="X1141" s="2">
        <v>4249.37</v>
      </c>
      <c r="Y1141">
        <v>87146</v>
      </c>
      <c r="Z1141">
        <f t="shared" si="17"/>
        <v>42493.7</v>
      </c>
    </row>
    <row r="1142" spans="1:26" x14ac:dyDescent="0.25">
      <c r="A1142">
        <v>22511</v>
      </c>
      <c r="B1142" t="s">
        <v>106</v>
      </c>
      <c r="C1142" s="2">
        <v>0.04</v>
      </c>
      <c r="D1142" s="2">
        <v>291.73</v>
      </c>
      <c r="E1142" s="2">
        <v>48.8</v>
      </c>
      <c r="F1142">
        <v>2062</v>
      </c>
      <c r="G1142" t="s">
        <v>1965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143</v>
      </c>
      <c r="N1142">
        <v>0.56000000000000005</v>
      </c>
      <c r="O1142" t="s">
        <v>33</v>
      </c>
      <c r="P1142" t="s">
        <v>135</v>
      </c>
      <c r="Q1142" t="s">
        <v>136</v>
      </c>
      <c r="R1142" t="s">
        <v>1966</v>
      </c>
      <c r="S1142">
        <v>23111</v>
      </c>
      <c r="T1142" s="1">
        <v>42181</v>
      </c>
      <c r="U1142" s="1">
        <v>42185</v>
      </c>
      <c r="V1142" s="2">
        <v>-115.90389999999999</v>
      </c>
      <c r="W1142">
        <v>22</v>
      </c>
      <c r="X1142" s="2">
        <v>6676.61</v>
      </c>
      <c r="Y1142">
        <v>87148</v>
      </c>
      <c r="Z1142">
        <f t="shared" si="17"/>
        <v>146885.41999999998</v>
      </c>
    </row>
    <row r="1143" spans="1:26" x14ac:dyDescent="0.25">
      <c r="A1143">
        <v>25759</v>
      </c>
      <c r="B1143" t="s">
        <v>106</v>
      </c>
      <c r="C1143" s="2">
        <v>0.06</v>
      </c>
      <c r="D1143" s="2">
        <v>300.97000000000003</v>
      </c>
      <c r="E1143" s="2">
        <v>7.18</v>
      </c>
      <c r="F1143">
        <v>2063</v>
      </c>
      <c r="G1143" t="s">
        <v>1967</v>
      </c>
      <c r="H1143" t="s">
        <v>49</v>
      </c>
      <c r="I1143" t="s">
        <v>28</v>
      </c>
      <c r="J1143" t="s">
        <v>77</v>
      </c>
      <c r="K1143" t="s">
        <v>177</v>
      </c>
      <c r="L1143" t="s">
        <v>59</v>
      </c>
      <c r="M1143" t="s">
        <v>1078</v>
      </c>
      <c r="N1143">
        <v>0.48</v>
      </c>
      <c r="O1143" t="s">
        <v>33</v>
      </c>
      <c r="P1143" t="s">
        <v>135</v>
      </c>
      <c r="Q1143" t="s">
        <v>136</v>
      </c>
      <c r="R1143" t="s">
        <v>1968</v>
      </c>
      <c r="S1143">
        <v>23602</v>
      </c>
      <c r="T1143" s="1">
        <v>42132</v>
      </c>
      <c r="U1143" s="1">
        <v>42132</v>
      </c>
      <c r="V1143" s="2">
        <v>-729.98800000000006</v>
      </c>
      <c r="W1143">
        <v>1</v>
      </c>
      <c r="X1143" s="2">
        <v>291.39999999999998</v>
      </c>
      <c r="Y1143">
        <v>87147</v>
      </c>
      <c r="Z1143">
        <f t="shared" si="17"/>
        <v>291.39999999999998</v>
      </c>
    </row>
    <row r="1144" spans="1:26" x14ac:dyDescent="0.25">
      <c r="A1144">
        <v>25228</v>
      </c>
      <c r="B1144" t="s">
        <v>56</v>
      </c>
      <c r="C1144" s="2">
        <v>0.09</v>
      </c>
      <c r="D1144" s="2">
        <v>20.89</v>
      </c>
      <c r="E1144" s="2">
        <v>11.52</v>
      </c>
      <c r="F1144">
        <v>2066</v>
      </c>
      <c r="G1144" t="s">
        <v>1969</v>
      </c>
      <c r="H1144" t="s">
        <v>49</v>
      </c>
      <c r="I1144" t="s">
        <v>40</v>
      </c>
      <c r="J1144" t="s">
        <v>29</v>
      </c>
      <c r="K1144" t="s">
        <v>139</v>
      </c>
      <c r="L1144" t="s">
        <v>59</v>
      </c>
      <c r="M1144" t="s">
        <v>716</v>
      </c>
      <c r="N1144">
        <v>0.83</v>
      </c>
      <c r="O1144" t="s">
        <v>33</v>
      </c>
      <c r="P1144" t="s">
        <v>135</v>
      </c>
      <c r="Q1144" t="s">
        <v>316</v>
      </c>
      <c r="R1144" t="s">
        <v>1970</v>
      </c>
      <c r="S1144">
        <v>28079</v>
      </c>
      <c r="T1144" s="1">
        <v>42089</v>
      </c>
      <c r="U1144" s="1">
        <v>42090</v>
      </c>
      <c r="V1144" s="2">
        <v>-133.54599999999999</v>
      </c>
      <c r="W1144">
        <v>7</v>
      </c>
      <c r="X1144" s="2">
        <v>146.5</v>
      </c>
      <c r="Y1144">
        <v>85833</v>
      </c>
      <c r="Z1144">
        <f t="shared" si="17"/>
        <v>1025.5</v>
      </c>
    </row>
    <row r="1145" spans="1:26" x14ac:dyDescent="0.25">
      <c r="A1145">
        <v>24748</v>
      </c>
      <c r="B1145" t="s">
        <v>47</v>
      </c>
      <c r="C1145" s="2">
        <v>0.09</v>
      </c>
      <c r="D1145" s="2">
        <v>20.99</v>
      </c>
      <c r="E1145" s="2">
        <v>4.8099999999999996</v>
      </c>
      <c r="F1145">
        <v>2066</v>
      </c>
      <c r="G1145" t="s">
        <v>1969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469</v>
      </c>
      <c r="N1145">
        <v>0.57999999999999996</v>
      </c>
      <c r="O1145" t="s">
        <v>33</v>
      </c>
      <c r="P1145" t="s">
        <v>135</v>
      </c>
      <c r="Q1145" t="s">
        <v>316</v>
      </c>
      <c r="R1145" t="s">
        <v>1970</v>
      </c>
      <c r="S1145">
        <v>28079</v>
      </c>
      <c r="T1145" s="1">
        <v>42094</v>
      </c>
      <c r="U1145" s="1">
        <v>42095</v>
      </c>
      <c r="V1145" s="2">
        <v>272.69400000000002</v>
      </c>
      <c r="W1145">
        <v>2</v>
      </c>
      <c r="X1145" s="2">
        <v>38.979999999999997</v>
      </c>
      <c r="Y1145">
        <v>85834</v>
      </c>
      <c r="Z1145">
        <f t="shared" si="17"/>
        <v>77.959999999999994</v>
      </c>
    </row>
    <row r="1146" spans="1:26" x14ac:dyDescent="0.25">
      <c r="A1146">
        <v>25381</v>
      </c>
      <c r="B1146" t="s">
        <v>106</v>
      </c>
      <c r="C1146" s="2">
        <v>0.1</v>
      </c>
      <c r="D1146" s="2">
        <v>4.24</v>
      </c>
      <c r="E1146" s="2">
        <v>5.41</v>
      </c>
      <c r="F1146">
        <v>2066</v>
      </c>
      <c r="G1146" t="s">
        <v>1969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135</v>
      </c>
      <c r="Q1146" t="s">
        <v>316</v>
      </c>
      <c r="R1146" t="s">
        <v>1970</v>
      </c>
      <c r="S1146">
        <v>28079</v>
      </c>
      <c r="T1146" s="1">
        <v>42113</v>
      </c>
      <c r="U1146" s="1">
        <v>42117</v>
      </c>
      <c r="V1146" s="2">
        <v>-61.6</v>
      </c>
      <c r="W1146">
        <v>8</v>
      </c>
      <c r="X1146" s="2">
        <v>34.159999999999997</v>
      </c>
      <c r="Y1146">
        <v>85835</v>
      </c>
      <c r="Z1146">
        <f t="shared" si="17"/>
        <v>273.27999999999997</v>
      </c>
    </row>
    <row r="1147" spans="1:26" x14ac:dyDescent="0.25">
      <c r="A1147">
        <v>21901</v>
      </c>
      <c r="B1147" t="s">
        <v>56</v>
      </c>
      <c r="C1147" s="2">
        <v>0.1</v>
      </c>
      <c r="D1147" s="2">
        <v>40.98</v>
      </c>
      <c r="E1147" s="2">
        <v>6.5</v>
      </c>
      <c r="F1147">
        <v>2069</v>
      </c>
      <c r="G1147" t="s">
        <v>1971</v>
      </c>
      <c r="H1147" t="s">
        <v>49</v>
      </c>
      <c r="I1147" t="s">
        <v>114</v>
      </c>
      <c r="J1147" t="s">
        <v>77</v>
      </c>
      <c r="K1147" t="s">
        <v>177</v>
      </c>
      <c r="L1147" t="s">
        <v>59</v>
      </c>
      <c r="M1147" t="s">
        <v>1258</v>
      </c>
      <c r="N1147">
        <v>0.74</v>
      </c>
      <c r="O1147" t="s">
        <v>33</v>
      </c>
      <c r="P1147" t="s">
        <v>135</v>
      </c>
      <c r="Q1147" t="s">
        <v>606</v>
      </c>
      <c r="R1147" t="s">
        <v>1972</v>
      </c>
      <c r="S1147">
        <v>41075</v>
      </c>
      <c r="T1147" s="1">
        <v>42016</v>
      </c>
      <c r="U1147" s="1">
        <v>42018</v>
      </c>
      <c r="V1147" s="2">
        <v>66.852000000000004</v>
      </c>
      <c r="W1147">
        <v>3</v>
      </c>
      <c r="X1147" s="2">
        <v>120.34</v>
      </c>
      <c r="Y1147">
        <v>88554</v>
      </c>
      <c r="Z1147">
        <f t="shared" si="17"/>
        <v>361.02</v>
      </c>
    </row>
    <row r="1148" spans="1:26" x14ac:dyDescent="0.25">
      <c r="A1148">
        <v>19567</v>
      </c>
      <c r="B1148" t="s">
        <v>106</v>
      </c>
      <c r="C1148" s="2">
        <v>7.0000000000000007E-2</v>
      </c>
      <c r="D1148" s="2">
        <v>35.99</v>
      </c>
      <c r="E1148" s="2">
        <v>5.99</v>
      </c>
      <c r="F1148">
        <v>2070</v>
      </c>
      <c r="G1148" t="s">
        <v>1973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972</v>
      </c>
      <c r="N1148">
        <v>0.38</v>
      </c>
      <c r="O1148" t="s">
        <v>33</v>
      </c>
      <c r="P1148" t="s">
        <v>61</v>
      </c>
      <c r="Q1148" t="s">
        <v>295</v>
      </c>
      <c r="R1148" t="s">
        <v>1974</v>
      </c>
      <c r="S1148">
        <v>48021</v>
      </c>
      <c r="T1148" s="1">
        <v>42140</v>
      </c>
      <c r="U1148" s="1">
        <v>42144</v>
      </c>
      <c r="V1148" s="2">
        <v>17.8398</v>
      </c>
      <c r="W1148">
        <v>5</v>
      </c>
      <c r="X1148" s="2">
        <v>153.61000000000001</v>
      </c>
      <c r="Y1148">
        <v>88558</v>
      </c>
      <c r="Z1148">
        <f t="shared" si="17"/>
        <v>768.05000000000007</v>
      </c>
    </row>
    <row r="1149" spans="1:26" x14ac:dyDescent="0.25">
      <c r="A1149">
        <v>20498</v>
      </c>
      <c r="B1149" t="s">
        <v>37</v>
      </c>
      <c r="C1149" s="2">
        <v>0.03</v>
      </c>
      <c r="D1149" s="2">
        <v>60.98</v>
      </c>
      <c r="E1149" s="2">
        <v>1.99</v>
      </c>
      <c r="F1149">
        <v>2071</v>
      </c>
      <c r="G1149" t="s">
        <v>1975</v>
      </c>
      <c r="H1149" t="s">
        <v>49</v>
      </c>
      <c r="I1149" t="s">
        <v>28</v>
      </c>
      <c r="J1149" t="s">
        <v>77</v>
      </c>
      <c r="K1149" t="s">
        <v>177</v>
      </c>
      <c r="L1149" t="s">
        <v>51</v>
      </c>
      <c r="M1149" t="s">
        <v>1976</v>
      </c>
      <c r="N1149">
        <v>0.5</v>
      </c>
      <c r="O1149" t="s">
        <v>33</v>
      </c>
      <c r="P1149" t="s">
        <v>61</v>
      </c>
      <c r="Q1149" t="s">
        <v>295</v>
      </c>
      <c r="R1149" t="s">
        <v>1977</v>
      </c>
      <c r="S1149">
        <v>48336</v>
      </c>
      <c r="T1149" s="1">
        <v>42036</v>
      </c>
      <c r="U1149" s="1">
        <v>42036</v>
      </c>
      <c r="V1149" s="2">
        <v>976.2672</v>
      </c>
      <c r="W1149">
        <v>23</v>
      </c>
      <c r="X1149" s="2">
        <v>1414.88</v>
      </c>
      <c r="Y1149">
        <v>88555</v>
      </c>
      <c r="Z1149">
        <f t="shared" si="17"/>
        <v>32542.240000000002</v>
      </c>
    </row>
    <row r="1150" spans="1:26" x14ac:dyDescent="0.25">
      <c r="A1150">
        <v>20499</v>
      </c>
      <c r="B1150" t="s">
        <v>37</v>
      </c>
      <c r="C1150" s="2">
        <v>0.04</v>
      </c>
      <c r="D1150" s="2">
        <v>3.08</v>
      </c>
      <c r="E1150" s="2">
        <v>0.99</v>
      </c>
      <c r="F1150">
        <v>2071</v>
      </c>
      <c r="G1150" t="s">
        <v>1975</v>
      </c>
      <c r="H1150" t="s">
        <v>49</v>
      </c>
      <c r="I1150" t="s">
        <v>28</v>
      </c>
      <c r="J1150" t="s">
        <v>29</v>
      </c>
      <c r="K1150" t="s">
        <v>133</v>
      </c>
      <c r="L1150" t="s">
        <v>59</v>
      </c>
      <c r="M1150" t="s">
        <v>1978</v>
      </c>
      <c r="N1150">
        <v>0.37</v>
      </c>
      <c r="O1150" t="s">
        <v>33</v>
      </c>
      <c r="P1150" t="s">
        <v>61</v>
      </c>
      <c r="Q1150" t="s">
        <v>295</v>
      </c>
      <c r="R1150" t="s">
        <v>1977</v>
      </c>
      <c r="S1150">
        <v>48336</v>
      </c>
      <c r="T1150" s="1">
        <v>42036</v>
      </c>
      <c r="U1150" s="1">
        <v>42037</v>
      </c>
      <c r="V1150" s="2">
        <v>23.204699999999999</v>
      </c>
      <c r="W1150">
        <v>11</v>
      </c>
      <c r="X1150" s="2">
        <v>33.630000000000003</v>
      </c>
      <c r="Y1150">
        <v>88555</v>
      </c>
      <c r="Z1150">
        <f t="shared" si="17"/>
        <v>369.93</v>
      </c>
    </row>
    <row r="1151" spans="1:26" x14ac:dyDescent="0.25">
      <c r="A1151">
        <v>19568</v>
      </c>
      <c r="B1151" t="s">
        <v>106</v>
      </c>
      <c r="C1151" s="2">
        <v>0.08</v>
      </c>
      <c r="D1151" s="2">
        <v>65.989999999999995</v>
      </c>
      <c r="E1151" s="2">
        <v>5.92</v>
      </c>
      <c r="F1151">
        <v>2071</v>
      </c>
      <c r="G1151" t="s">
        <v>1975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1124</v>
      </c>
      <c r="N1151">
        <v>0.57999999999999996</v>
      </c>
      <c r="O1151" t="s">
        <v>33</v>
      </c>
      <c r="P1151" t="s">
        <v>61</v>
      </c>
      <c r="Q1151" t="s">
        <v>295</v>
      </c>
      <c r="R1151" t="s">
        <v>1977</v>
      </c>
      <c r="S1151">
        <v>48336</v>
      </c>
      <c r="T1151" s="1">
        <v>42140</v>
      </c>
      <c r="U1151" s="1">
        <v>42147</v>
      </c>
      <c r="V1151" s="2">
        <v>183.84299999999999</v>
      </c>
      <c r="W1151">
        <v>20</v>
      </c>
      <c r="X1151" s="2">
        <v>1063.81</v>
      </c>
      <c r="Y1151">
        <v>88558</v>
      </c>
      <c r="Z1151">
        <f t="shared" si="17"/>
        <v>21276.199999999997</v>
      </c>
    </row>
    <row r="1152" spans="1:26" x14ac:dyDescent="0.25">
      <c r="A1152">
        <v>20500</v>
      </c>
      <c r="B1152" t="s">
        <v>37</v>
      </c>
      <c r="C1152" s="2">
        <v>0</v>
      </c>
      <c r="D1152" s="2">
        <v>10.31</v>
      </c>
      <c r="E1152" s="2">
        <v>1.79</v>
      </c>
      <c r="F1152">
        <v>2072</v>
      </c>
      <c r="G1152" t="s">
        <v>1979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1980</v>
      </c>
      <c r="N1152">
        <v>0.38</v>
      </c>
      <c r="O1152" t="s">
        <v>33</v>
      </c>
      <c r="P1152" t="s">
        <v>61</v>
      </c>
      <c r="Q1152" t="s">
        <v>295</v>
      </c>
      <c r="R1152" t="s">
        <v>1981</v>
      </c>
      <c r="S1152">
        <v>48505</v>
      </c>
      <c r="T1152" s="1">
        <v>42036</v>
      </c>
      <c r="U1152" s="1">
        <v>42038</v>
      </c>
      <c r="V1152" s="2">
        <v>167.46299999999999</v>
      </c>
      <c r="W1152">
        <v>23</v>
      </c>
      <c r="X1152" s="2">
        <v>242.7</v>
      </c>
      <c r="Y1152">
        <v>88555</v>
      </c>
      <c r="Z1152">
        <f t="shared" si="17"/>
        <v>5582.0999999999995</v>
      </c>
    </row>
    <row r="1153" spans="1:26" x14ac:dyDescent="0.25">
      <c r="A1153">
        <v>20824</v>
      </c>
      <c r="B1153" t="s">
        <v>25</v>
      </c>
      <c r="C1153" s="2">
        <v>0.09</v>
      </c>
      <c r="D1153" s="2">
        <v>260.98</v>
      </c>
      <c r="E1153" s="2">
        <v>41.91</v>
      </c>
      <c r="F1153">
        <v>2072</v>
      </c>
      <c r="G1153" t="s">
        <v>1979</v>
      </c>
      <c r="H1153" t="s">
        <v>39</v>
      </c>
      <c r="I1153" t="s">
        <v>28</v>
      </c>
      <c r="J1153" t="s">
        <v>41</v>
      </c>
      <c r="K1153" t="s">
        <v>187</v>
      </c>
      <c r="L1153" t="s">
        <v>120</v>
      </c>
      <c r="M1153" t="s">
        <v>941</v>
      </c>
      <c r="N1153">
        <v>0.59</v>
      </c>
      <c r="O1153" t="s">
        <v>33</v>
      </c>
      <c r="P1153" t="s">
        <v>61</v>
      </c>
      <c r="Q1153" t="s">
        <v>295</v>
      </c>
      <c r="R1153" t="s">
        <v>1981</v>
      </c>
      <c r="S1153">
        <v>48505</v>
      </c>
      <c r="T1153" s="1">
        <v>42046</v>
      </c>
      <c r="U1153" s="1">
        <v>42048</v>
      </c>
      <c r="V1153" s="2">
        <v>1307.2692</v>
      </c>
      <c r="W1153">
        <v>14</v>
      </c>
      <c r="X1153" s="2">
        <v>3377.06</v>
      </c>
      <c r="Y1153">
        <v>88556</v>
      </c>
      <c r="Z1153">
        <f t="shared" si="17"/>
        <v>47278.84</v>
      </c>
    </row>
    <row r="1154" spans="1:26" x14ac:dyDescent="0.25">
      <c r="A1154">
        <v>20825</v>
      </c>
      <c r="B1154" t="s">
        <v>25</v>
      </c>
      <c r="C1154" s="2">
        <v>0.01</v>
      </c>
      <c r="D1154" s="2">
        <v>10.52</v>
      </c>
      <c r="E1154" s="2">
        <v>7.94</v>
      </c>
      <c r="F1154">
        <v>2072</v>
      </c>
      <c r="G1154" t="s">
        <v>1979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1982</v>
      </c>
      <c r="N1154">
        <v>0.52</v>
      </c>
      <c r="O1154" t="s">
        <v>33</v>
      </c>
      <c r="P1154" t="s">
        <v>61</v>
      </c>
      <c r="Q1154" t="s">
        <v>295</v>
      </c>
      <c r="R1154" t="s">
        <v>1981</v>
      </c>
      <c r="S1154">
        <v>48505</v>
      </c>
      <c r="T1154" s="1">
        <v>42046</v>
      </c>
      <c r="U1154" s="1">
        <v>42048</v>
      </c>
      <c r="V1154" s="2">
        <v>-15.8184</v>
      </c>
      <c r="W1154">
        <v>11</v>
      </c>
      <c r="X1154" s="2">
        <v>123.93</v>
      </c>
      <c r="Y1154">
        <v>88556</v>
      </c>
      <c r="Z1154">
        <f t="shared" si="17"/>
        <v>1363.23</v>
      </c>
    </row>
    <row r="1155" spans="1:26" x14ac:dyDescent="0.25">
      <c r="A1155">
        <v>20826</v>
      </c>
      <c r="B1155" t="s">
        <v>25</v>
      </c>
      <c r="C1155" s="2">
        <v>0.02</v>
      </c>
      <c r="D1155" s="2">
        <v>5.98</v>
      </c>
      <c r="E1155" s="2">
        <v>7.5</v>
      </c>
      <c r="F1155">
        <v>2072</v>
      </c>
      <c r="G1155" t="s">
        <v>1979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1983</v>
      </c>
      <c r="N1155">
        <v>0.4</v>
      </c>
      <c r="O1155" t="s">
        <v>33</v>
      </c>
      <c r="P1155" t="s">
        <v>61</v>
      </c>
      <c r="Q1155" t="s">
        <v>295</v>
      </c>
      <c r="R1155" t="s">
        <v>1981</v>
      </c>
      <c r="S1155">
        <v>48505</v>
      </c>
      <c r="T1155" s="1">
        <v>42046</v>
      </c>
      <c r="U1155" s="1">
        <v>42048</v>
      </c>
      <c r="V1155" s="2">
        <v>-55.8324</v>
      </c>
      <c r="W1155">
        <v>14</v>
      </c>
      <c r="X1155" s="2">
        <v>93.96</v>
      </c>
      <c r="Y1155">
        <v>88556</v>
      </c>
      <c r="Z1155">
        <f t="shared" ref="Z1155:Z1218" si="18">W1155*X1155</f>
        <v>1315.4399999999998</v>
      </c>
    </row>
    <row r="1156" spans="1:26" x14ac:dyDescent="0.25">
      <c r="A1156">
        <v>24677</v>
      </c>
      <c r="B1156" t="s">
        <v>37</v>
      </c>
      <c r="C1156" s="2">
        <v>0.05</v>
      </c>
      <c r="D1156" s="2">
        <v>291.73</v>
      </c>
      <c r="E1156" s="2">
        <v>48.8</v>
      </c>
      <c r="F1156">
        <v>2073</v>
      </c>
      <c r="G1156" t="s">
        <v>1984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143</v>
      </c>
      <c r="N1156">
        <v>0.56000000000000005</v>
      </c>
      <c r="O1156" t="s">
        <v>33</v>
      </c>
      <c r="P1156" t="s">
        <v>61</v>
      </c>
      <c r="Q1156" t="s">
        <v>295</v>
      </c>
      <c r="R1156" t="s">
        <v>1985</v>
      </c>
      <c r="S1156">
        <v>48135</v>
      </c>
      <c r="T1156" s="1">
        <v>42101</v>
      </c>
      <c r="U1156" s="1">
        <v>42103</v>
      </c>
      <c r="V1156" s="2">
        <v>550.38080000000002</v>
      </c>
      <c r="W1156">
        <v>6</v>
      </c>
      <c r="X1156" s="2">
        <v>1818.41</v>
      </c>
      <c r="Y1156">
        <v>88557</v>
      </c>
      <c r="Z1156">
        <f t="shared" si="18"/>
        <v>10910.460000000001</v>
      </c>
    </row>
    <row r="1157" spans="1:26" x14ac:dyDescent="0.25">
      <c r="A1157">
        <v>24094</v>
      </c>
      <c r="B1157" t="s">
        <v>106</v>
      </c>
      <c r="C1157" s="2">
        <v>0.09</v>
      </c>
      <c r="D1157" s="2">
        <v>1.48</v>
      </c>
      <c r="E1157" s="2">
        <v>0.7</v>
      </c>
      <c r="F1157">
        <v>2081</v>
      </c>
      <c r="G1157" t="s">
        <v>1986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1987</v>
      </c>
      <c r="N1157">
        <v>0.37</v>
      </c>
      <c r="O1157" t="s">
        <v>33</v>
      </c>
      <c r="P1157" t="s">
        <v>53</v>
      </c>
      <c r="Q1157" t="s">
        <v>71</v>
      </c>
      <c r="R1157" t="s">
        <v>1988</v>
      </c>
      <c r="S1157">
        <v>14853</v>
      </c>
      <c r="T1157" s="1">
        <v>42007</v>
      </c>
      <c r="U1157" s="1">
        <v>42009</v>
      </c>
      <c r="V1157" s="2">
        <v>1.68</v>
      </c>
      <c r="W1157">
        <v>6</v>
      </c>
      <c r="X1157" s="2">
        <v>8.9499999999999993</v>
      </c>
      <c r="Y1157">
        <v>86092</v>
      </c>
      <c r="Z1157">
        <f t="shared" si="18"/>
        <v>53.699999999999996</v>
      </c>
    </row>
    <row r="1158" spans="1:26" x14ac:dyDescent="0.25">
      <c r="A1158">
        <v>21697</v>
      </c>
      <c r="B1158" t="s">
        <v>106</v>
      </c>
      <c r="C1158" s="2">
        <v>0.06</v>
      </c>
      <c r="D1158" s="2">
        <v>38.06</v>
      </c>
      <c r="E1158" s="2">
        <v>4.5</v>
      </c>
      <c r="F1158">
        <v>2089</v>
      </c>
      <c r="G1158" t="s">
        <v>1989</v>
      </c>
      <c r="H1158" t="s">
        <v>49</v>
      </c>
      <c r="I1158" t="s">
        <v>28</v>
      </c>
      <c r="J1158" t="s">
        <v>29</v>
      </c>
      <c r="K1158" t="s">
        <v>252</v>
      </c>
      <c r="L1158" t="s">
        <v>59</v>
      </c>
      <c r="M1158" t="s">
        <v>1990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1991</v>
      </c>
      <c r="S1158">
        <v>10956</v>
      </c>
      <c r="T1158" s="1">
        <v>42185</v>
      </c>
      <c r="U1158" s="1">
        <v>42191</v>
      </c>
      <c r="V1158" s="2">
        <v>450.45960000000002</v>
      </c>
      <c r="W1158">
        <v>17</v>
      </c>
      <c r="X1158" s="2">
        <v>652.84</v>
      </c>
      <c r="Y1158">
        <v>88348</v>
      </c>
      <c r="Z1158">
        <f t="shared" si="18"/>
        <v>11098.28</v>
      </c>
    </row>
    <row r="1159" spans="1:26" x14ac:dyDescent="0.25">
      <c r="A1159">
        <v>21698</v>
      </c>
      <c r="B1159" t="s">
        <v>106</v>
      </c>
      <c r="C1159" s="2">
        <v>0.08</v>
      </c>
      <c r="D1159" s="2">
        <v>599.99</v>
      </c>
      <c r="E1159" s="2">
        <v>24.49</v>
      </c>
      <c r="F1159">
        <v>2089</v>
      </c>
      <c r="G1159" t="s">
        <v>1989</v>
      </c>
      <c r="H1159" t="s">
        <v>49</v>
      </c>
      <c r="I1159" t="s">
        <v>28</v>
      </c>
      <c r="J1159" t="s">
        <v>77</v>
      </c>
      <c r="K1159" t="s">
        <v>580</v>
      </c>
      <c r="L1159" t="s">
        <v>231</v>
      </c>
      <c r="M1159" t="s">
        <v>1992</v>
      </c>
      <c r="N1159">
        <v>0.37</v>
      </c>
      <c r="O1159" t="s">
        <v>33</v>
      </c>
      <c r="P1159" t="s">
        <v>53</v>
      </c>
      <c r="Q1159" t="s">
        <v>71</v>
      </c>
      <c r="R1159" t="s">
        <v>1991</v>
      </c>
      <c r="S1159">
        <v>10956</v>
      </c>
      <c r="T1159" s="1">
        <v>42185</v>
      </c>
      <c r="U1159" s="1">
        <v>42193</v>
      </c>
      <c r="V1159" s="2">
        <v>8798.1831000000002</v>
      </c>
      <c r="W1159">
        <v>22</v>
      </c>
      <c r="X1159" s="2">
        <v>12750.99</v>
      </c>
      <c r="Y1159">
        <v>88348</v>
      </c>
      <c r="Z1159">
        <f t="shared" si="18"/>
        <v>280521.77999999997</v>
      </c>
    </row>
    <row r="1160" spans="1:26" x14ac:dyDescent="0.25">
      <c r="A1160">
        <v>21699</v>
      </c>
      <c r="B1160" t="s">
        <v>106</v>
      </c>
      <c r="C1160" s="2">
        <v>0.1</v>
      </c>
      <c r="D1160" s="2">
        <v>3.98</v>
      </c>
      <c r="E1160" s="2">
        <v>2.97</v>
      </c>
      <c r="F1160">
        <v>2089</v>
      </c>
      <c r="G1160" t="s">
        <v>1989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1993</v>
      </c>
      <c r="N1160">
        <v>0.35</v>
      </c>
      <c r="O1160" t="s">
        <v>33</v>
      </c>
      <c r="P1160" t="s">
        <v>53</v>
      </c>
      <c r="Q1160" t="s">
        <v>71</v>
      </c>
      <c r="R1160" t="s">
        <v>1991</v>
      </c>
      <c r="S1160">
        <v>10956</v>
      </c>
      <c r="T1160" s="1">
        <v>42185</v>
      </c>
      <c r="U1160" s="1">
        <v>42189</v>
      </c>
      <c r="V1160" s="2">
        <v>-5.3849999999999998</v>
      </c>
      <c r="W1160">
        <v>5</v>
      </c>
      <c r="X1160" s="2">
        <v>20.54</v>
      </c>
      <c r="Y1160">
        <v>88348</v>
      </c>
      <c r="Z1160">
        <f t="shared" si="18"/>
        <v>102.69999999999999</v>
      </c>
    </row>
    <row r="1161" spans="1:26" x14ac:dyDescent="0.25">
      <c r="A1161">
        <v>18696</v>
      </c>
      <c r="B1161" t="s">
        <v>56</v>
      </c>
      <c r="C1161" s="2">
        <v>0.08</v>
      </c>
      <c r="D1161" s="2">
        <v>400.98</v>
      </c>
      <c r="E1161" s="2">
        <v>42.52</v>
      </c>
      <c r="F1161">
        <v>2094</v>
      </c>
      <c r="G1161" t="s">
        <v>1994</v>
      </c>
      <c r="H1161" t="s">
        <v>39</v>
      </c>
      <c r="I1161" t="s">
        <v>28</v>
      </c>
      <c r="J1161" t="s">
        <v>41</v>
      </c>
      <c r="K1161" t="s">
        <v>150</v>
      </c>
      <c r="L1161" t="s">
        <v>120</v>
      </c>
      <c r="M1161" t="s">
        <v>1083</v>
      </c>
      <c r="N1161">
        <v>0.71</v>
      </c>
      <c r="O1161" t="s">
        <v>33</v>
      </c>
      <c r="P1161" t="s">
        <v>34</v>
      </c>
      <c r="Q1161" t="s">
        <v>45</v>
      </c>
      <c r="R1161" t="s">
        <v>1995</v>
      </c>
      <c r="S1161">
        <v>95928</v>
      </c>
      <c r="T1161" s="1">
        <v>42040</v>
      </c>
      <c r="U1161" s="1">
        <v>42041</v>
      </c>
      <c r="V1161" s="2">
        <v>3031.9724000000001</v>
      </c>
      <c r="W1161">
        <v>20</v>
      </c>
      <c r="X1161" s="2">
        <v>7840.04</v>
      </c>
      <c r="Y1161">
        <v>86629</v>
      </c>
      <c r="Z1161">
        <f t="shared" si="18"/>
        <v>156800.79999999999</v>
      </c>
    </row>
    <row r="1162" spans="1:26" x14ac:dyDescent="0.25">
      <c r="A1162">
        <v>18417</v>
      </c>
      <c r="B1162" t="s">
        <v>56</v>
      </c>
      <c r="C1162" s="2">
        <v>0.1</v>
      </c>
      <c r="D1162" s="2">
        <v>300.97000000000003</v>
      </c>
      <c r="E1162" s="2">
        <v>7.18</v>
      </c>
      <c r="F1162">
        <v>2097</v>
      </c>
      <c r="G1162" t="s">
        <v>1996</v>
      </c>
      <c r="H1162" t="s">
        <v>49</v>
      </c>
      <c r="I1162" t="s">
        <v>40</v>
      </c>
      <c r="J1162" t="s">
        <v>77</v>
      </c>
      <c r="K1162" t="s">
        <v>177</v>
      </c>
      <c r="L1162" t="s">
        <v>59</v>
      </c>
      <c r="M1162" t="s">
        <v>1078</v>
      </c>
      <c r="N1162">
        <v>0.48</v>
      </c>
      <c r="O1162" t="s">
        <v>33</v>
      </c>
      <c r="P1162" t="s">
        <v>135</v>
      </c>
      <c r="Q1162" t="s">
        <v>923</v>
      </c>
      <c r="R1162" t="s">
        <v>924</v>
      </c>
      <c r="S1162">
        <v>29915</v>
      </c>
      <c r="T1162" s="1">
        <v>42112</v>
      </c>
      <c r="U1162" s="1">
        <v>42113</v>
      </c>
      <c r="V1162" s="2">
        <v>138.018</v>
      </c>
      <c r="W1162">
        <v>4</v>
      </c>
      <c r="X1162" s="2">
        <v>1094.33</v>
      </c>
      <c r="Y1162">
        <v>87889</v>
      </c>
      <c r="Z1162">
        <f t="shared" si="18"/>
        <v>4377.32</v>
      </c>
    </row>
    <row r="1163" spans="1:26" x14ac:dyDescent="0.25">
      <c r="A1163">
        <v>18418</v>
      </c>
      <c r="B1163" t="s">
        <v>56</v>
      </c>
      <c r="C1163" s="2">
        <v>0.06</v>
      </c>
      <c r="D1163" s="2">
        <v>39.89</v>
      </c>
      <c r="E1163" s="2">
        <v>3.04</v>
      </c>
      <c r="F1163">
        <v>2098</v>
      </c>
      <c r="G1163" t="s">
        <v>1997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1998</v>
      </c>
      <c r="N1163">
        <v>0.53</v>
      </c>
      <c r="O1163" t="s">
        <v>33</v>
      </c>
      <c r="P1163" t="s">
        <v>135</v>
      </c>
      <c r="Q1163" t="s">
        <v>923</v>
      </c>
      <c r="R1163" t="s">
        <v>1999</v>
      </c>
      <c r="S1163">
        <v>29464</v>
      </c>
      <c r="T1163" s="1">
        <v>42112</v>
      </c>
      <c r="U1163" s="1">
        <v>42114</v>
      </c>
      <c r="V1163" s="2">
        <v>38.874000000000002</v>
      </c>
      <c r="W1163">
        <v>10</v>
      </c>
      <c r="X1163" s="2">
        <v>389.97</v>
      </c>
      <c r="Y1163">
        <v>87889</v>
      </c>
      <c r="Z1163">
        <f t="shared" si="18"/>
        <v>3899.7000000000003</v>
      </c>
    </row>
    <row r="1164" spans="1:26" x14ac:dyDescent="0.25">
      <c r="A1164">
        <v>22234</v>
      </c>
      <c r="B1164" t="s">
        <v>37</v>
      </c>
      <c r="C1164" s="2">
        <v>7.0000000000000007E-2</v>
      </c>
      <c r="D1164" s="2">
        <v>14.56</v>
      </c>
      <c r="E1164" s="2">
        <v>3.5</v>
      </c>
      <c r="F1164">
        <v>2099</v>
      </c>
      <c r="G1164" t="s">
        <v>2000</v>
      </c>
      <c r="H1164" t="s">
        <v>49</v>
      </c>
      <c r="I1164" t="s">
        <v>40</v>
      </c>
      <c r="J1164" t="s">
        <v>29</v>
      </c>
      <c r="K1164" t="s">
        <v>252</v>
      </c>
      <c r="L1164" t="s">
        <v>59</v>
      </c>
      <c r="M1164" t="s">
        <v>896</v>
      </c>
      <c r="N1164">
        <v>0.57999999999999996</v>
      </c>
      <c r="O1164" t="s">
        <v>33</v>
      </c>
      <c r="P1164" t="s">
        <v>135</v>
      </c>
      <c r="Q1164" t="s">
        <v>923</v>
      </c>
      <c r="R1164" t="s">
        <v>2001</v>
      </c>
      <c r="S1164">
        <v>29577</v>
      </c>
      <c r="T1164" s="1">
        <v>42012</v>
      </c>
      <c r="U1164" s="1">
        <v>42013</v>
      </c>
      <c r="V1164" s="2">
        <v>-45.527999999999999</v>
      </c>
      <c r="W1164">
        <v>6</v>
      </c>
      <c r="X1164" s="2">
        <v>84.59</v>
      </c>
      <c r="Y1164">
        <v>87888</v>
      </c>
      <c r="Z1164">
        <f t="shared" si="18"/>
        <v>507.54</v>
      </c>
    </row>
    <row r="1165" spans="1:26" x14ac:dyDescent="0.25">
      <c r="A1165">
        <v>5501</v>
      </c>
      <c r="B1165" t="s">
        <v>56</v>
      </c>
      <c r="C1165" s="2">
        <v>0.05</v>
      </c>
      <c r="D1165" s="2">
        <v>399.98</v>
      </c>
      <c r="E1165" s="2">
        <v>12.06</v>
      </c>
      <c r="F1165">
        <v>2107</v>
      </c>
      <c r="G1165" t="s">
        <v>2002</v>
      </c>
      <c r="H1165" t="s">
        <v>39</v>
      </c>
      <c r="I1165" t="s">
        <v>28</v>
      </c>
      <c r="J1165" t="s">
        <v>77</v>
      </c>
      <c r="K1165" t="s">
        <v>85</v>
      </c>
      <c r="L1165" t="s">
        <v>120</v>
      </c>
      <c r="M1165" t="s">
        <v>259</v>
      </c>
      <c r="N1165">
        <v>0.56000000000000005</v>
      </c>
      <c r="O1165" t="s">
        <v>33</v>
      </c>
      <c r="P1165" t="s">
        <v>61</v>
      </c>
      <c r="Q1165" t="s">
        <v>175</v>
      </c>
      <c r="R1165" t="s">
        <v>176</v>
      </c>
      <c r="S1165">
        <v>60601</v>
      </c>
      <c r="T1165" s="1">
        <v>42161</v>
      </c>
      <c r="U1165" s="1">
        <v>42161</v>
      </c>
      <c r="V1165" s="2">
        <v>567.59</v>
      </c>
      <c r="W1165">
        <v>24</v>
      </c>
      <c r="X1165" s="2">
        <v>9666.7199999999993</v>
      </c>
      <c r="Y1165">
        <v>39015</v>
      </c>
      <c r="Z1165">
        <f t="shared" si="18"/>
        <v>232001.27999999997</v>
      </c>
    </row>
    <row r="1166" spans="1:26" x14ac:dyDescent="0.25">
      <c r="A1166">
        <v>5502</v>
      </c>
      <c r="B1166" t="s">
        <v>56</v>
      </c>
      <c r="C1166" s="2">
        <v>7.0000000000000007E-2</v>
      </c>
      <c r="D1166" s="2">
        <v>6.48</v>
      </c>
      <c r="E1166" s="2">
        <v>5.74</v>
      </c>
      <c r="F1166">
        <v>2107</v>
      </c>
      <c r="G1166" t="s">
        <v>2002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2003</v>
      </c>
      <c r="N1166">
        <v>0.37</v>
      </c>
      <c r="O1166" t="s">
        <v>33</v>
      </c>
      <c r="P1166" t="s">
        <v>61</v>
      </c>
      <c r="Q1166" t="s">
        <v>175</v>
      </c>
      <c r="R1166" t="s">
        <v>176</v>
      </c>
      <c r="S1166">
        <v>60601</v>
      </c>
      <c r="T1166" s="1">
        <v>42161</v>
      </c>
      <c r="U1166" s="1">
        <v>42161</v>
      </c>
      <c r="V1166" s="2">
        <v>-28.45</v>
      </c>
      <c r="W1166">
        <v>20</v>
      </c>
      <c r="X1166" s="2">
        <v>134.58000000000001</v>
      </c>
      <c r="Y1166">
        <v>39015</v>
      </c>
      <c r="Z1166">
        <f t="shared" si="18"/>
        <v>2691.6000000000004</v>
      </c>
    </row>
    <row r="1167" spans="1:26" x14ac:dyDescent="0.25">
      <c r="A1167">
        <v>23502</v>
      </c>
      <c r="B1167" t="s">
        <v>56</v>
      </c>
      <c r="C1167" s="2">
        <v>7.0000000000000007E-2</v>
      </c>
      <c r="D1167" s="2">
        <v>6.48</v>
      </c>
      <c r="E1167" s="2">
        <v>5.74</v>
      </c>
      <c r="F1167">
        <v>2108</v>
      </c>
      <c r="G1167" t="s">
        <v>2004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2003</v>
      </c>
      <c r="N1167">
        <v>0.37</v>
      </c>
      <c r="O1167" t="s">
        <v>33</v>
      </c>
      <c r="P1167" t="s">
        <v>61</v>
      </c>
      <c r="Q1167" t="s">
        <v>499</v>
      </c>
      <c r="R1167" t="s">
        <v>2005</v>
      </c>
      <c r="S1167">
        <v>63129</v>
      </c>
      <c r="T1167" s="1">
        <v>42161</v>
      </c>
      <c r="U1167" s="1">
        <v>42161</v>
      </c>
      <c r="V1167" s="2">
        <v>-14.225</v>
      </c>
      <c r="W1167">
        <v>5</v>
      </c>
      <c r="X1167" s="2">
        <v>33.65</v>
      </c>
      <c r="Y1167">
        <v>87862</v>
      </c>
      <c r="Z1167">
        <f t="shared" si="18"/>
        <v>168.25</v>
      </c>
    </row>
    <row r="1168" spans="1:26" x14ac:dyDescent="0.25">
      <c r="A1168">
        <v>18540</v>
      </c>
      <c r="B1168" t="s">
        <v>47</v>
      </c>
      <c r="C1168" s="2">
        <v>0.08</v>
      </c>
      <c r="D1168" s="2">
        <v>6.68</v>
      </c>
      <c r="E1168" s="2">
        <v>1.5</v>
      </c>
      <c r="F1168">
        <v>2114</v>
      </c>
      <c r="G1168" t="s">
        <v>2006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2007</v>
      </c>
      <c r="N1168">
        <v>0.48</v>
      </c>
      <c r="O1168" t="s">
        <v>33</v>
      </c>
      <c r="P1168" t="s">
        <v>135</v>
      </c>
      <c r="Q1168" t="s">
        <v>136</v>
      </c>
      <c r="R1168" t="s">
        <v>536</v>
      </c>
      <c r="S1168">
        <v>23518</v>
      </c>
      <c r="T1168" s="1">
        <v>42089</v>
      </c>
      <c r="U1168" s="1">
        <v>42091</v>
      </c>
      <c r="V1168" s="2">
        <v>-601.80399999999997</v>
      </c>
      <c r="W1168">
        <v>10</v>
      </c>
      <c r="X1168" s="2">
        <v>66.12</v>
      </c>
      <c r="Y1168">
        <v>88403</v>
      </c>
      <c r="Z1168">
        <f t="shared" si="18"/>
        <v>661.2</v>
      </c>
    </row>
    <row r="1169" spans="1:26" x14ac:dyDescent="0.25">
      <c r="A1169">
        <v>18562</v>
      </c>
      <c r="B1169" t="s">
        <v>47</v>
      </c>
      <c r="C1169" s="2">
        <v>0.08</v>
      </c>
      <c r="D1169" s="2">
        <v>2.89</v>
      </c>
      <c r="E1169" s="2">
        <v>0.49</v>
      </c>
      <c r="F1169">
        <v>2114</v>
      </c>
      <c r="G1169" t="s">
        <v>2006</v>
      </c>
      <c r="H1169" t="s">
        <v>49</v>
      </c>
      <c r="I1169" t="s">
        <v>28</v>
      </c>
      <c r="J1169" t="s">
        <v>29</v>
      </c>
      <c r="K1169" t="s">
        <v>133</v>
      </c>
      <c r="L1169" t="s">
        <v>59</v>
      </c>
      <c r="M1169" t="s">
        <v>2008</v>
      </c>
      <c r="N1169">
        <v>0.38</v>
      </c>
      <c r="O1169" t="s">
        <v>33</v>
      </c>
      <c r="P1169" t="s">
        <v>135</v>
      </c>
      <c r="Q1169" t="s">
        <v>136</v>
      </c>
      <c r="R1169" t="s">
        <v>536</v>
      </c>
      <c r="S1169">
        <v>23518</v>
      </c>
      <c r="T1169" s="1">
        <v>42117</v>
      </c>
      <c r="U1169" s="1">
        <v>42117</v>
      </c>
      <c r="V1169" s="2">
        <v>38.405999999999999</v>
      </c>
      <c r="W1169">
        <v>1</v>
      </c>
      <c r="X1169" s="2">
        <v>3.07</v>
      </c>
      <c r="Y1169">
        <v>88404</v>
      </c>
      <c r="Z1169">
        <f t="shared" si="18"/>
        <v>3.07</v>
      </c>
    </row>
    <row r="1170" spans="1:26" x14ac:dyDescent="0.25">
      <c r="A1170">
        <v>21066</v>
      </c>
      <c r="B1170" t="s">
        <v>47</v>
      </c>
      <c r="C1170" s="2">
        <v>7.0000000000000007E-2</v>
      </c>
      <c r="D1170" s="2">
        <v>226.67</v>
      </c>
      <c r="E1170" s="2">
        <v>28.16</v>
      </c>
      <c r="F1170">
        <v>2114</v>
      </c>
      <c r="G1170" t="s">
        <v>2006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1573</v>
      </c>
      <c r="N1170">
        <v>0.59</v>
      </c>
      <c r="O1170" t="s">
        <v>33</v>
      </c>
      <c r="P1170" t="s">
        <v>135</v>
      </c>
      <c r="Q1170" t="s">
        <v>136</v>
      </c>
      <c r="R1170" t="s">
        <v>536</v>
      </c>
      <c r="S1170">
        <v>23518</v>
      </c>
      <c r="T1170" s="1">
        <v>42061</v>
      </c>
      <c r="U1170" s="1">
        <v>42062</v>
      </c>
      <c r="V1170" s="2">
        <v>53.114400000000003</v>
      </c>
      <c r="W1170">
        <v>1</v>
      </c>
      <c r="X1170" s="2">
        <v>255.83</v>
      </c>
      <c r="Y1170">
        <v>88405</v>
      </c>
      <c r="Z1170">
        <f t="shared" si="18"/>
        <v>255.83</v>
      </c>
    </row>
    <row r="1171" spans="1:26" x14ac:dyDescent="0.25">
      <c r="A1171">
        <v>21067</v>
      </c>
      <c r="B1171" t="s">
        <v>47</v>
      </c>
      <c r="C1171" s="2">
        <v>0.08</v>
      </c>
      <c r="D1171" s="2">
        <v>20.98</v>
      </c>
      <c r="E1171" s="2">
        <v>53.03</v>
      </c>
      <c r="F1171">
        <v>2114</v>
      </c>
      <c r="G1171" t="s">
        <v>2006</v>
      </c>
      <c r="H1171" t="s">
        <v>39</v>
      </c>
      <c r="I1171" t="s">
        <v>28</v>
      </c>
      <c r="J1171" t="s">
        <v>29</v>
      </c>
      <c r="K1171" t="s">
        <v>139</v>
      </c>
      <c r="L1171" t="s">
        <v>43</v>
      </c>
      <c r="M1171" t="s">
        <v>610</v>
      </c>
      <c r="N1171">
        <v>0.78</v>
      </c>
      <c r="O1171" t="s">
        <v>33</v>
      </c>
      <c r="P1171" t="s">
        <v>135</v>
      </c>
      <c r="Q1171" t="s">
        <v>136</v>
      </c>
      <c r="R1171" t="s">
        <v>536</v>
      </c>
      <c r="S1171">
        <v>23518</v>
      </c>
      <c r="T1171" s="1">
        <v>42061</v>
      </c>
      <c r="U1171" s="1">
        <v>42063</v>
      </c>
      <c r="V1171" s="2">
        <v>8.7420000000000009</v>
      </c>
      <c r="W1171">
        <v>20</v>
      </c>
      <c r="X1171" s="2">
        <v>421.18</v>
      </c>
      <c r="Y1171">
        <v>88405</v>
      </c>
      <c r="Z1171">
        <f t="shared" si="18"/>
        <v>8423.6</v>
      </c>
    </row>
    <row r="1172" spans="1:26" x14ac:dyDescent="0.25">
      <c r="A1172">
        <v>21153</v>
      </c>
      <c r="B1172" t="s">
        <v>56</v>
      </c>
      <c r="C1172" s="2">
        <v>0.02</v>
      </c>
      <c r="D1172" s="2">
        <v>95.95</v>
      </c>
      <c r="E1172" s="2">
        <v>74.349999999999994</v>
      </c>
      <c r="F1172">
        <v>2115</v>
      </c>
      <c r="G1172" t="s">
        <v>2009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2010</v>
      </c>
      <c r="N1172">
        <v>0.56999999999999995</v>
      </c>
      <c r="O1172" t="s">
        <v>33</v>
      </c>
      <c r="P1172" t="s">
        <v>135</v>
      </c>
      <c r="Q1172" t="s">
        <v>136</v>
      </c>
      <c r="R1172" t="s">
        <v>2011</v>
      </c>
      <c r="S1172">
        <v>22124</v>
      </c>
      <c r="T1172" s="1">
        <v>42123</v>
      </c>
      <c r="U1172" s="1">
        <v>42125</v>
      </c>
      <c r="V1172" s="2">
        <v>636.52200000000005</v>
      </c>
      <c r="W1172">
        <v>14</v>
      </c>
      <c r="X1172" s="2">
        <v>1377.46</v>
      </c>
      <c r="Y1172">
        <v>88406</v>
      </c>
      <c r="Z1172">
        <f t="shared" si="18"/>
        <v>19284.440000000002</v>
      </c>
    </row>
    <row r="1173" spans="1:26" x14ac:dyDescent="0.25">
      <c r="A1173">
        <v>20249</v>
      </c>
      <c r="B1173" t="s">
        <v>25</v>
      </c>
      <c r="C1173" s="2">
        <v>0.03</v>
      </c>
      <c r="D1173" s="2">
        <v>320.98</v>
      </c>
      <c r="E1173" s="2">
        <v>24.49</v>
      </c>
      <c r="F1173">
        <v>2117</v>
      </c>
      <c r="G1173" t="s">
        <v>2012</v>
      </c>
      <c r="H1173" t="s">
        <v>49</v>
      </c>
      <c r="I1173" t="s">
        <v>40</v>
      </c>
      <c r="J1173" t="s">
        <v>41</v>
      </c>
      <c r="K1173" t="s">
        <v>42</v>
      </c>
      <c r="L1173" t="s">
        <v>231</v>
      </c>
      <c r="M1173" t="s">
        <v>2013</v>
      </c>
      <c r="N1173">
        <v>0.55000000000000004</v>
      </c>
      <c r="O1173" t="s">
        <v>33</v>
      </c>
      <c r="P1173" t="s">
        <v>61</v>
      </c>
      <c r="Q1173" t="s">
        <v>129</v>
      </c>
      <c r="R1173" t="s">
        <v>1563</v>
      </c>
      <c r="S1173">
        <v>75401</v>
      </c>
      <c r="T1173" s="1">
        <v>42114</v>
      </c>
      <c r="U1173" s="1">
        <v>42116</v>
      </c>
      <c r="V1173" s="2">
        <v>4554.4346999999998</v>
      </c>
      <c r="W1173">
        <v>20</v>
      </c>
      <c r="X1173" s="2">
        <v>6600.63</v>
      </c>
      <c r="Y1173">
        <v>90891</v>
      </c>
      <c r="Z1173">
        <f t="shared" si="18"/>
        <v>132012.6</v>
      </c>
    </row>
    <row r="1174" spans="1:26" x14ac:dyDescent="0.25">
      <c r="A1174">
        <v>20250</v>
      </c>
      <c r="B1174" t="s">
        <v>25</v>
      </c>
      <c r="C1174" s="2">
        <v>0.06</v>
      </c>
      <c r="D1174" s="2">
        <v>125.99</v>
      </c>
      <c r="E1174" s="2">
        <v>8.8000000000000007</v>
      </c>
      <c r="F1174">
        <v>2117</v>
      </c>
      <c r="G1174" t="s">
        <v>2012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2014</v>
      </c>
      <c r="N1174">
        <v>0.59</v>
      </c>
      <c r="O1174" t="s">
        <v>33</v>
      </c>
      <c r="P1174" t="s">
        <v>61</v>
      </c>
      <c r="Q1174" t="s">
        <v>129</v>
      </c>
      <c r="R1174" t="s">
        <v>1563</v>
      </c>
      <c r="S1174">
        <v>75401</v>
      </c>
      <c r="T1174" s="1">
        <v>42114</v>
      </c>
      <c r="U1174" s="1">
        <v>42115</v>
      </c>
      <c r="V1174" s="2">
        <v>618.19308000000001</v>
      </c>
      <c r="W1174">
        <v>18</v>
      </c>
      <c r="X1174" s="2">
        <v>1811.99</v>
      </c>
      <c r="Y1174">
        <v>90891</v>
      </c>
      <c r="Z1174">
        <f t="shared" si="18"/>
        <v>32615.82</v>
      </c>
    </row>
    <row r="1175" spans="1:26" x14ac:dyDescent="0.25">
      <c r="A1175">
        <v>22231</v>
      </c>
      <c r="B1175" t="s">
        <v>47</v>
      </c>
      <c r="C1175" s="2">
        <v>0.06</v>
      </c>
      <c r="D1175" s="2">
        <v>80.97</v>
      </c>
      <c r="E1175" s="2">
        <v>33.6</v>
      </c>
      <c r="F1175">
        <v>2122</v>
      </c>
      <c r="G1175" t="s">
        <v>2015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2016</v>
      </c>
      <c r="N1175">
        <v>0.37</v>
      </c>
      <c r="O1175" t="s">
        <v>33</v>
      </c>
      <c r="P1175" t="s">
        <v>135</v>
      </c>
      <c r="Q1175" t="s">
        <v>949</v>
      </c>
      <c r="R1175" t="s">
        <v>2017</v>
      </c>
      <c r="S1175">
        <v>72116</v>
      </c>
      <c r="T1175" s="1">
        <v>42036</v>
      </c>
      <c r="U1175" s="1">
        <v>42038</v>
      </c>
      <c r="V1175" s="2">
        <v>-15.1844</v>
      </c>
      <c r="W1175">
        <v>10</v>
      </c>
      <c r="X1175" s="2">
        <v>799.76</v>
      </c>
      <c r="Y1175">
        <v>89664</v>
      </c>
      <c r="Z1175">
        <f t="shared" si="18"/>
        <v>7997.6</v>
      </c>
    </row>
    <row r="1176" spans="1:26" x14ac:dyDescent="0.25">
      <c r="A1176">
        <v>24674</v>
      </c>
      <c r="B1176" t="s">
        <v>25</v>
      </c>
      <c r="C1176" s="2">
        <v>0.04</v>
      </c>
      <c r="D1176" s="2">
        <v>45.19</v>
      </c>
      <c r="E1176" s="2">
        <v>1.99</v>
      </c>
      <c r="F1176">
        <v>2124</v>
      </c>
      <c r="G1176" t="s">
        <v>2018</v>
      </c>
      <c r="H1176" t="s">
        <v>49</v>
      </c>
      <c r="I1176" t="s">
        <v>114</v>
      </c>
      <c r="J1176" t="s">
        <v>77</v>
      </c>
      <c r="K1176" t="s">
        <v>177</v>
      </c>
      <c r="L1176" t="s">
        <v>51</v>
      </c>
      <c r="M1176" t="s">
        <v>1089</v>
      </c>
      <c r="N1176">
        <v>0.55000000000000004</v>
      </c>
      <c r="O1176" t="s">
        <v>33</v>
      </c>
      <c r="P1176" t="s">
        <v>135</v>
      </c>
      <c r="Q1176" t="s">
        <v>949</v>
      </c>
      <c r="R1176" t="s">
        <v>2019</v>
      </c>
      <c r="S1176">
        <v>72301</v>
      </c>
      <c r="T1176" s="1">
        <v>42005</v>
      </c>
      <c r="U1176" s="1">
        <v>42006</v>
      </c>
      <c r="V1176" s="2">
        <v>-61.194000000000003</v>
      </c>
      <c r="W1176">
        <v>13</v>
      </c>
      <c r="X1176" s="2">
        <v>609.09</v>
      </c>
      <c r="Y1176">
        <v>89665</v>
      </c>
      <c r="Z1176">
        <f t="shared" si="18"/>
        <v>7918.17</v>
      </c>
    </row>
    <row r="1177" spans="1:26" x14ac:dyDescent="0.25">
      <c r="A1177">
        <v>23852</v>
      </c>
      <c r="B1177" t="s">
        <v>25</v>
      </c>
      <c r="C1177" s="2">
        <v>0.03</v>
      </c>
      <c r="D1177" s="2">
        <v>124.49</v>
      </c>
      <c r="E1177" s="2">
        <v>51.94</v>
      </c>
      <c r="F1177">
        <v>2124</v>
      </c>
      <c r="G1177" t="s">
        <v>2018</v>
      </c>
      <c r="H1177" t="s">
        <v>39</v>
      </c>
      <c r="I1177" t="s">
        <v>28</v>
      </c>
      <c r="J1177" t="s">
        <v>41</v>
      </c>
      <c r="K1177" t="s">
        <v>150</v>
      </c>
      <c r="L1177" t="s">
        <v>120</v>
      </c>
      <c r="M1177" t="s">
        <v>456</v>
      </c>
      <c r="N1177">
        <v>0.63</v>
      </c>
      <c r="O1177" t="s">
        <v>33</v>
      </c>
      <c r="P1177" t="s">
        <v>135</v>
      </c>
      <c r="Q1177" t="s">
        <v>949</v>
      </c>
      <c r="R1177" t="s">
        <v>2019</v>
      </c>
      <c r="S1177">
        <v>72301</v>
      </c>
      <c r="T1177" s="1">
        <v>42089</v>
      </c>
      <c r="U1177" s="1">
        <v>42090</v>
      </c>
      <c r="V1177" s="2">
        <v>18.173999999999999</v>
      </c>
      <c r="W1177">
        <v>21</v>
      </c>
      <c r="X1177" s="2">
        <v>2761.94</v>
      </c>
      <c r="Y1177">
        <v>89666</v>
      </c>
      <c r="Z1177">
        <f t="shared" si="18"/>
        <v>58000.74</v>
      </c>
    </row>
    <row r="1178" spans="1:26" x14ac:dyDescent="0.25">
      <c r="A1178">
        <v>24091</v>
      </c>
      <c r="B1178" t="s">
        <v>47</v>
      </c>
      <c r="C1178" s="2">
        <v>0.1</v>
      </c>
      <c r="D1178" s="2">
        <v>5.98</v>
      </c>
      <c r="E1178" s="2">
        <v>5.14</v>
      </c>
      <c r="F1178">
        <v>2127</v>
      </c>
      <c r="G1178" t="s">
        <v>2020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2021</v>
      </c>
      <c r="N1178">
        <v>0.36</v>
      </c>
      <c r="O1178" t="s">
        <v>33</v>
      </c>
      <c r="P1178" t="s">
        <v>61</v>
      </c>
      <c r="Q1178" t="s">
        <v>295</v>
      </c>
      <c r="R1178" t="s">
        <v>2022</v>
      </c>
      <c r="S1178">
        <v>48310</v>
      </c>
      <c r="T1178" s="1">
        <v>42081</v>
      </c>
      <c r="U1178" s="1">
        <v>42083</v>
      </c>
      <c r="V1178" s="2">
        <v>-49.53</v>
      </c>
      <c r="W1178">
        <v>6</v>
      </c>
      <c r="X1178" s="2">
        <v>33.950000000000003</v>
      </c>
      <c r="Y1178">
        <v>88418</v>
      </c>
      <c r="Z1178">
        <f t="shared" si="18"/>
        <v>203.70000000000002</v>
      </c>
    </row>
    <row r="1179" spans="1:26" x14ac:dyDescent="0.25">
      <c r="A1179">
        <v>21902</v>
      </c>
      <c r="B1179" t="s">
        <v>25</v>
      </c>
      <c r="C1179" s="2">
        <v>0.09</v>
      </c>
      <c r="D1179" s="2">
        <v>150.97999999999999</v>
      </c>
      <c r="E1179" s="2">
        <v>66.27</v>
      </c>
      <c r="F1179">
        <v>2131</v>
      </c>
      <c r="G1179" t="s">
        <v>2023</v>
      </c>
      <c r="H1179" t="s">
        <v>39</v>
      </c>
      <c r="I1179" t="s">
        <v>40</v>
      </c>
      <c r="J1179" t="s">
        <v>41</v>
      </c>
      <c r="K1179" t="s">
        <v>187</v>
      </c>
      <c r="L1179" t="s">
        <v>120</v>
      </c>
      <c r="M1179" t="s">
        <v>2024</v>
      </c>
      <c r="N1179">
        <v>0.65</v>
      </c>
      <c r="O1179" t="s">
        <v>33</v>
      </c>
      <c r="P1179" t="s">
        <v>61</v>
      </c>
      <c r="Q1179" t="s">
        <v>499</v>
      </c>
      <c r="R1179" t="s">
        <v>2025</v>
      </c>
      <c r="S1179">
        <v>64118</v>
      </c>
      <c r="T1179" s="1">
        <v>42007</v>
      </c>
      <c r="U1179" s="1">
        <v>42008</v>
      </c>
      <c r="V1179" s="2">
        <v>-407.85</v>
      </c>
      <c r="W1179">
        <v>2</v>
      </c>
      <c r="X1179" s="2">
        <v>302.33999999999997</v>
      </c>
      <c r="Y1179">
        <v>90079</v>
      </c>
      <c r="Z1179">
        <f t="shared" si="18"/>
        <v>604.67999999999995</v>
      </c>
    </row>
    <row r="1180" spans="1:26" x14ac:dyDescent="0.25">
      <c r="A1180">
        <v>21964</v>
      </c>
      <c r="B1180" t="s">
        <v>106</v>
      </c>
      <c r="C1180" s="2">
        <v>0.05</v>
      </c>
      <c r="D1180" s="2">
        <v>30.42</v>
      </c>
      <c r="E1180" s="2">
        <v>8.65</v>
      </c>
      <c r="F1180">
        <v>2132</v>
      </c>
      <c r="G1180" t="s">
        <v>2026</v>
      </c>
      <c r="H1180" t="s">
        <v>27</v>
      </c>
      <c r="I1180" t="s">
        <v>40</v>
      </c>
      <c r="J1180" t="s">
        <v>77</v>
      </c>
      <c r="K1180" t="s">
        <v>177</v>
      </c>
      <c r="L1180" t="s">
        <v>59</v>
      </c>
      <c r="M1180" t="s">
        <v>1185</v>
      </c>
      <c r="N1180">
        <v>0.74</v>
      </c>
      <c r="O1180" t="s">
        <v>33</v>
      </c>
      <c r="P1180" t="s">
        <v>61</v>
      </c>
      <c r="Q1180" t="s">
        <v>499</v>
      </c>
      <c r="R1180" t="s">
        <v>2027</v>
      </c>
      <c r="S1180">
        <v>63042</v>
      </c>
      <c r="T1180" s="1">
        <v>42014</v>
      </c>
      <c r="U1180" s="1">
        <v>42018</v>
      </c>
      <c r="V1180" s="2">
        <v>-191.2576</v>
      </c>
      <c r="W1180">
        <v>11</v>
      </c>
      <c r="X1180" s="2">
        <v>334.44</v>
      </c>
      <c r="Y1180">
        <v>90078</v>
      </c>
      <c r="Z1180">
        <f t="shared" si="18"/>
        <v>3678.84</v>
      </c>
    </row>
    <row r="1181" spans="1:26" x14ac:dyDescent="0.25">
      <c r="A1181">
        <v>24348</v>
      </c>
      <c r="B1181" t="s">
        <v>25</v>
      </c>
      <c r="C1181" s="2">
        <v>0.01</v>
      </c>
      <c r="D1181" s="2">
        <v>28.99</v>
      </c>
      <c r="E1181" s="2">
        <v>8.59</v>
      </c>
      <c r="F1181">
        <v>2135</v>
      </c>
      <c r="G1181" t="s">
        <v>2028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2029</v>
      </c>
      <c r="N1181">
        <v>0.56000000000000005</v>
      </c>
      <c r="O1181" t="s">
        <v>33</v>
      </c>
      <c r="P1181" t="s">
        <v>34</v>
      </c>
      <c r="Q1181" t="s">
        <v>360</v>
      </c>
      <c r="R1181" t="s">
        <v>2030</v>
      </c>
      <c r="S1181">
        <v>88101</v>
      </c>
      <c r="T1181" s="1">
        <v>42041</v>
      </c>
      <c r="U1181" s="1">
        <v>42042</v>
      </c>
      <c r="V1181" s="2">
        <v>196.52328</v>
      </c>
      <c r="W1181">
        <v>21</v>
      </c>
      <c r="X1181" s="2">
        <v>556.61</v>
      </c>
      <c r="Y1181">
        <v>91583</v>
      </c>
      <c r="Z1181">
        <f t="shared" si="18"/>
        <v>11688.81</v>
      </c>
    </row>
    <row r="1182" spans="1:26" x14ac:dyDescent="0.25">
      <c r="A1182">
        <v>20138</v>
      </c>
      <c r="B1182" t="s">
        <v>37</v>
      </c>
      <c r="C1182" s="2">
        <v>0</v>
      </c>
      <c r="D1182" s="2">
        <v>6.98</v>
      </c>
      <c r="E1182" s="2">
        <v>1.6</v>
      </c>
      <c r="F1182">
        <v>2137</v>
      </c>
      <c r="G1182" t="s">
        <v>2031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946</v>
      </c>
      <c r="N1182">
        <v>0.38</v>
      </c>
      <c r="O1182" t="s">
        <v>33</v>
      </c>
      <c r="P1182" t="s">
        <v>135</v>
      </c>
      <c r="Q1182" t="s">
        <v>356</v>
      </c>
      <c r="R1182" t="s">
        <v>2032</v>
      </c>
      <c r="S1182">
        <v>33407</v>
      </c>
      <c r="T1182" s="1">
        <v>42035</v>
      </c>
      <c r="U1182" s="1">
        <v>42037</v>
      </c>
      <c r="V1182" s="2">
        <v>-343.86799999999999</v>
      </c>
      <c r="W1182">
        <v>9</v>
      </c>
      <c r="X1182" s="2">
        <v>64.48</v>
      </c>
      <c r="Y1182">
        <v>86002</v>
      </c>
      <c r="Z1182">
        <f t="shared" si="18"/>
        <v>580.32000000000005</v>
      </c>
    </row>
    <row r="1183" spans="1:26" x14ac:dyDescent="0.25">
      <c r="A1183">
        <v>20712</v>
      </c>
      <c r="B1183" t="s">
        <v>47</v>
      </c>
      <c r="C1183" s="2">
        <v>0.05</v>
      </c>
      <c r="D1183" s="2">
        <v>2550.14</v>
      </c>
      <c r="E1183" s="2">
        <v>29.7</v>
      </c>
      <c r="F1183">
        <v>2139</v>
      </c>
      <c r="G1183" t="s">
        <v>2033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1206</v>
      </c>
      <c r="N1183">
        <v>0.56999999999999995</v>
      </c>
      <c r="O1183" t="s">
        <v>33</v>
      </c>
      <c r="P1183" t="s">
        <v>61</v>
      </c>
      <c r="Q1183" t="s">
        <v>1843</v>
      </c>
      <c r="R1183" t="s">
        <v>450</v>
      </c>
      <c r="S1183">
        <v>53094</v>
      </c>
      <c r="T1183" s="1">
        <v>42110</v>
      </c>
      <c r="U1183" s="1">
        <v>42111</v>
      </c>
      <c r="V1183" s="2">
        <v>-3971.0628000000002</v>
      </c>
      <c r="W1183">
        <v>2</v>
      </c>
      <c r="X1183" s="2">
        <v>4845.2700000000004</v>
      </c>
      <c r="Y1183">
        <v>86003</v>
      </c>
      <c r="Z1183">
        <f t="shared" si="18"/>
        <v>9690.5400000000009</v>
      </c>
    </row>
    <row r="1184" spans="1:26" x14ac:dyDescent="0.25">
      <c r="A1184">
        <v>18409</v>
      </c>
      <c r="B1184" t="s">
        <v>25</v>
      </c>
      <c r="C1184" s="2">
        <v>0.01</v>
      </c>
      <c r="D1184" s="2">
        <v>5.44</v>
      </c>
      <c r="E1184" s="2">
        <v>7.46</v>
      </c>
      <c r="F1184">
        <v>2141</v>
      </c>
      <c r="G1184" t="s">
        <v>2034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1156</v>
      </c>
      <c r="N1184">
        <v>0.36</v>
      </c>
      <c r="O1184" t="s">
        <v>33</v>
      </c>
      <c r="P1184" t="s">
        <v>34</v>
      </c>
      <c r="Q1184" t="s">
        <v>250</v>
      </c>
      <c r="R1184" t="s">
        <v>1931</v>
      </c>
      <c r="S1184">
        <v>81301</v>
      </c>
      <c r="T1184" s="1">
        <v>42053</v>
      </c>
      <c r="U1184" s="1">
        <v>42054</v>
      </c>
      <c r="V1184" s="2">
        <v>-18.478200000000001</v>
      </c>
      <c r="W1184">
        <v>3</v>
      </c>
      <c r="X1184" s="2">
        <v>19.68</v>
      </c>
      <c r="Y1184">
        <v>87570</v>
      </c>
      <c r="Z1184">
        <f t="shared" si="18"/>
        <v>59.04</v>
      </c>
    </row>
    <row r="1185" spans="1:26" x14ac:dyDescent="0.25">
      <c r="A1185">
        <v>18410</v>
      </c>
      <c r="B1185" t="s">
        <v>25</v>
      </c>
      <c r="C1185" s="2">
        <v>0.02</v>
      </c>
      <c r="D1185" s="2">
        <v>549.99</v>
      </c>
      <c r="E1185" s="2">
        <v>49</v>
      </c>
      <c r="F1185">
        <v>2141</v>
      </c>
      <c r="G1185" t="s">
        <v>2034</v>
      </c>
      <c r="H1185" t="s">
        <v>39</v>
      </c>
      <c r="I1185" t="s">
        <v>40</v>
      </c>
      <c r="J1185" t="s">
        <v>77</v>
      </c>
      <c r="K1185" t="s">
        <v>580</v>
      </c>
      <c r="L1185" t="s">
        <v>43</v>
      </c>
      <c r="M1185" t="s">
        <v>649</v>
      </c>
      <c r="N1185">
        <v>0.35</v>
      </c>
      <c r="O1185" t="s">
        <v>33</v>
      </c>
      <c r="P1185" t="s">
        <v>34</v>
      </c>
      <c r="Q1185" t="s">
        <v>250</v>
      </c>
      <c r="R1185" t="s">
        <v>1931</v>
      </c>
      <c r="S1185">
        <v>81301</v>
      </c>
      <c r="T1185" s="1">
        <v>42053</v>
      </c>
      <c r="U1185" s="1">
        <v>42055</v>
      </c>
      <c r="V1185" s="2">
        <v>-381.84120000000001</v>
      </c>
      <c r="W1185">
        <v>18</v>
      </c>
      <c r="X1185" s="2">
        <v>9798.84</v>
      </c>
      <c r="Y1185">
        <v>87570</v>
      </c>
      <c r="Z1185">
        <f t="shared" si="18"/>
        <v>176379.12</v>
      </c>
    </row>
    <row r="1186" spans="1:26" x14ac:dyDescent="0.25">
      <c r="A1186">
        <v>18411</v>
      </c>
      <c r="B1186" t="s">
        <v>25</v>
      </c>
      <c r="C1186" s="2">
        <v>0.03</v>
      </c>
      <c r="D1186" s="2">
        <v>22.01</v>
      </c>
      <c r="E1186" s="2">
        <v>5.53</v>
      </c>
      <c r="F1186">
        <v>2141</v>
      </c>
      <c r="G1186" t="s">
        <v>2034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2035</v>
      </c>
      <c r="N1186">
        <v>0.59</v>
      </c>
      <c r="O1186" t="s">
        <v>33</v>
      </c>
      <c r="P1186" t="s">
        <v>34</v>
      </c>
      <c r="Q1186" t="s">
        <v>250</v>
      </c>
      <c r="R1186" t="s">
        <v>1931</v>
      </c>
      <c r="S1186">
        <v>81301</v>
      </c>
      <c r="T1186" s="1">
        <v>42053</v>
      </c>
      <c r="U1186" s="1">
        <v>42054</v>
      </c>
      <c r="V1186" s="2">
        <v>12.5504</v>
      </c>
      <c r="W1186">
        <v>7</v>
      </c>
      <c r="X1186" s="2">
        <v>154.11000000000001</v>
      </c>
      <c r="Y1186">
        <v>87570</v>
      </c>
      <c r="Z1186">
        <f t="shared" si="18"/>
        <v>1078.77</v>
      </c>
    </row>
    <row r="1187" spans="1:26" x14ac:dyDescent="0.25">
      <c r="A1187">
        <v>18412</v>
      </c>
      <c r="B1187" t="s">
        <v>25</v>
      </c>
      <c r="C1187" s="2">
        <v>0.09</v>
      </c>
      <c r="D1187" s="2">
        <v>34.76</v>
      </c>
      <c r="E1187" s="2">
        <v>8.2200000000000006</v>
      </c>
      <c r="F1187">
        <v>2141</v>
      </c>
      <c r="G1187" t="s">
        <v>2034</v>
      </c>
      <c r="H1187" t="s">
        <v>49</v>
      </c>
      <c r="I1187" t="s">
        <v>40</v>
      </c>
      <c r="J1187" t="s">
        <v>29</v>
      </c>
      <c r="K1187" t="s">
        <v>139</v>
      </c>
      <c r="L1187" t="s">
        <v>59</v>
      </c>
      <c r="M1187" t="s">
        <v>2036</v>
      </c>
      <c r="N1187">
        <v>0.56999999999999995</v>
      </c>
      <c r="O1187" t="s">
        <v>33</v>
      </c>
      <c r="P1187" t="s">
        <v>34</v>
      </c>
      <c r="Q1187" t="s">
        <v>250</v>
      </c>
      <c r="R1187" t="s">
        <v>1931</v>
      </c>
      <c r="S1187">
        <v>81301</v>
      </c>
      <c r="T1187" s="1">
        <v>42053</v>
      </c>
      <c r="U1187" s="1">
        <v>42055</v>
      </c>
      <c r="V1187" s="2">
        <v>45.3324</v>
      </c>
      <c r="W1187">
        <v>7</v>
      </c>
      <c r="X1187" s="2">
        <v>242.97</v>
      </c>
      <c r="Y1187">
        <v>87570</v>
      </c>
      <c r="Z1187">
        <f t="shared" si="18"/>
        <v>1700.79</v>
      </c>
    </row>
    <row r="1188" spans="1:26" x14ac:dyDescent="0.25">
      <c r="A1188">
        <v>23249</v>
      </c>
      <c r="B1188" t="s">
        <v>25</v>
      </c>
      <c r="C1188" s="2">
        <v>0.08</v>
      </c>
      <c r="D1188" s="2">
        <v>17.149999999999999</v>
      </c>
      <c r="E1188" s="2">
        <v>4.96</v>
      </c>
      <c r="F1188">
        <v>2143</v>
      </c>
      <c r="G1188" t="s">
        <v>2037</v>
      </c>
      <c r="H1188" t="s">
        <v>49</v>
      </c>
      <c r="I1188" t="s">
        <v>40</v>
      </c>
      <c r="J1188" t="s">
        <v>29</v>
      </c>
      <c r="K1188" t="s">
        <v>139</v>
      </c>
      <c r="L1188" t="s">
        <v>59</v>
      </c>
      <c r="M1188" t="s">
        <v>598</v>
      </c>
      <c r="N1188">
        <v>0.57999999999999996</v>
      </c>
      <c r="O1188" t="s">
        <v>33</v>
      </c>
      <c r="P1188" t="s">
        <v>135</v>
      </c>
      <c r="Q1188" t="s">
        <v>136</v>
      </c>
      <c r="R1188" t="s">
        <v>2038</v>
      </c>
      <c r="S1188">
        <v>20151</v>
      </c>
      <c r="T1188" s="1">
        <v>42168</v>
      </c>
      <c r="U1188" s="1">
        <v>42171</v>
      </c>
      <c r="V1188" s="2">
        <v>33.659999999999997</v>
      </c>
      <c r="W1188">
        <v>12</v>
      </c>
      <c r="X1188" s="2">
        <v>200.61</v>
      </c>
      <c r="Y1188">
        <v>87569</v>
      </c>
      <c r="Z1188">
        <f t="shared" si="18"/>
        <v>2407.3200000000002</v>
      </c>
    </row>
    <row r="1189" spans="1:26" x14ac:dyDescent="0.25">
      <c r="A1189">
        <v>24264</v>
      </c>
      <c r="B1189" t="s">
        <v>56</v>
      </c>
      <c r="C1189" s="2">
        <v>0</v>
      </c>
      <c r="D1189" s="2">
        <v>20.28</v>
      </c>
      <c r="E1189" s="2">
        <v>14.39</v>
      </c>
      <c r="F1189">
        <v>2145</v>
      </c>
      <c r="G1189" t="s">
        <v>2039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1895</v>
      </c>
      <c r="N1189">
        <v>0.47</v>
      </c>
      <c r="O1189" t="s">
        <v>33</v>
      </c>
      <c r="P1189" t="s">
        <v>135</v>
      </c>
      <c r="Q1189" t="s">
        <v>356</v>
      </c>
      <c r="R1189" t="s">
        <v>2040</v>
      </c>
      <c r="S1189">
        <v>33311</v>
      </c>
      <c r="T1189" s="1">
        <v>42045</v>
      </c>
      <c r="U1189" s="1">
        <v>42047</v>
      </c>
      <c r="V1189" s="2">
        <v>15.678000000000001</v>
      </c>
      <c r="W1189">
        <v>11</v>
      </c>
      <c r="X1189" s="2">
        <v>237.83</v>
      </c>
      <c r="Y1189">
        <v>87072</v>
      </c>
      <c r="Z1189">
        <f t="shared" si="18"/>
        <v>2616.13</v>
      </c>
    </row>
    <row r="1190" spans="1:26" x14ac:dyDescent="0.25">
      <c r="A1190">
        <v>23795</v>
      </c>
      <c r="B1190" t="s">
        <v>106</v>
      </c>
      <c r="C1190" s="2">
        <v>0.05</v>
      </c>
      <c r="D1190" s="2">
        <v>20.34</v>
      </c>
      <c r="E1190" s="2">
        <v>35</v>
      </c>
      <c r="F1190">
        <v>2146</v>
      </c>
      <c r="G1190" t="s">
        <v>2041</v>
      </c>
      <c r="H1190" t="s">
        <v>49</v>
      </c>
      <c r="I1190" t="s">
        <v>28</v>
      </c>
      <c r="J1190" t="s">
        <v>29</v>
      </c>
      <c r="K1190" t="s">
        <v>139</v>
      </c>
      <c r="L1190" t="s">
        <v>231</v>
      </c>
      <c r="M1190" t="s">
        <v>369</v>
      </c>
      <c r="N1190">
        <v>0.84</v>
      </c>
      <c r="O1190" t="s">
        <v>33</v>
      </c>
      <c r="P1190" t="s">
        <v>135</v>
      </c>
      <c r="Q1190" t="s">
        <v>136</v>
      </c>
      <c r="R1190" t="s">
        <v>2038</v>
      </c>
      <c r="S1190">
        <v>20151</v>
      </c>
      <c r="T1190" s="1">
        <v>42010</v>
      </c>
      <c r="U1190" s="1">
        <v>42014</v>
      </c>
      <c r="V1190" s="2">
        <v>52.776000000000003</v>
      </c>
      <c r="W1190">
        <v>2</v>
      </c>
      <c r="X1190" s="2">
        <v>53.02</v>
      </c>
      <c r="Y1190">
        <v>87071</v>
      </c>
      <c r="Z1190">
        <f t="shared" si="18"/>
        <v>106.04</v>
      </c>
    </row>
    <row r="1191" spans="1:26" x14ac:dyDescent="0.25">
      <c r="A1191">
        <v>22555</v>
      </c>
      <c r="B1191" t="s">
        <v>37</v>
      </c>
      <c r="C1191" s="2">
        <v>0.08</v>
      </c>
      <c r="D1191" s="2">
        <v>243.98</v>
      </c>
      <c r="E1191" s="2">
        <v>43.32</v>
      </c>
      <c r="F1191">
        <v>2151</v>
      </c>
      <c r="G1191" t="s">
        <v>2042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2043</v>
      </c>
      <c r="N1191">
        <v>0.55000000000000004</v>
      </c>
      <c r="O1191" t="s">
        <v>33</v>
      </c>
      <c r="P1191" t="s">
        <v>61</v>
      </c>
      <c r="Q1191" t="s">
        <v>324</v>
      </c>
      <c r="R1191" t="s">
        <v>2044</v>
      </c>
      <c r="S1191">
        <v>52001</v>
      </c>
      <c r="T1191" s="1">
        <v>42009</v>
      </c>
      <c r="U1191" s="1">
        <v>42010</v>
      </c>
      <c r="V1191" s="2">
        <v>-162.8244</v>
      </c>
      <c r="W1191">
        <v>1</v>
      </c>
      <c r="X1191" s="2">
        <v>248.84</v>
      </c>
      <c r="Y1191">
        <v>90404</v>
      </c>
      <c r="Z1191">
        <f t="shared" si="18"/>
        <v>248.84</v>
      </c>
    </row>
    <row r="1192" spans="1:26" x14ac:dyDescent="0.25">
      <c r="A1192">
        <v>24791</v>
      </c>
      <c r="B1192" t="s">
        <v>25</v>
      </c>
      <c r="C1192" s="2">
        <v>0.08</v>
      </c>
      <c r="D1192" s="2">
        <v>5.74</v>
      </c>
      <c r="E1192" s="2">
        <v>5.01</v>
      </c>
      <c r="F1192">
        <v>2151</v>
      </c>
      <c r="G1192" t="s">
        <v>2042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2045</v>
      </c>
      <c r="N1192">
        <v>0.39</v>
      </c>
      <c r="O1192" t="s">
        <v>33</v>
      </c>
      <c r="P1192" t="s">
        <v>61</v>
      </c>
      <c r="Q1192" t="s">
        <v>324</v>
      </c>
      <c r="R1192" t="s">
        <v>2044</v>
      </c>
      <c r="S1192">
        <v>52001</v>
      </c>
      <c r="T1192" s="1">
        <v>42044</v>
      </c>
      <c r="U1192" s="1">
        <v>42046</v>
      </c>
      <c r="V1192" s="2">
        <v>-6.9308199999999998</v>
      </c>
      <c r="W1192">
        <v>1</v>
      </c>
      <c r="X1192" s="2">
        <v>7.21</v>
      </c>
      <c r="Y1192">
        <v>90405</v>
      </c>
      <c r="Z1192">
        <f t="shared" si="18"/>
        <v>7.21</v>
      </c>
    </row>
    <row r="1193" spans="1:26" x14ac:dyDescent="0.25">
      <c r="A1193">
        <v>21834</v>
      </c>
      <c r="B1193" t="s">
        <v>106</v>
      </c>
      <c r="C1193" s="2">
        <v>0.05</v>
      </c>
      <c r="D1193" s="2">
        <v>55.5</v>
      </c>
      <c r="E1193" s="2">
        <v>52.2</v>
      </c>
      <c r="F1193">
        <v>2157</v>
      </c>
      <c r="G1193" t="s">
        <v>2046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2047</v>
      </c>
      <c r="N1193">
        <v>0.72</v>
      </c>
      <c r="O1193" t="s">
        <v>33</v>
      </c>
      <c r="P1193" t="s">
        <v>61</v>
      </c>
      <c r="Q1193" t="s">
        <v>295</v>
      </c>
      <c r="R1193" t="s">
        <v>2048</v>
      </c>
      <c r="S1193">
        <v>48093</v>
      </c>
      <c r="T1193" s="1">
        <v>42079</v>
      </c>
      <c r="U1193" s="1">
        <v>42079</v>
      </c>
      <c r="V1193" s="2">
        <v>-118.54</v>
      </c>
      <c r="W1193">
        <v>4</v>
      </c>
      <c r="X1193" s="2">
        <v>253.87</v>
      </c>
      <c r="Y1193">
        <v>90385</v>
      </c>
      <c r="Z1193">
        <f t="shared" si="18"/>
        <v>1015.48</v>
      </c>
    </row>
    <row r="1194" spans="1:26" x14ac:dyDescent="0.25">
      <c r="A1194">
        <v>21835</v>
      </c>
      <c r="B1194" t="s">
        <v>106</v>
      </c>
      <c r="C1194" s="2">
        <v>0.05</v>
      </c>
      <c r="D1194" s="2">
        <v>442.14</v>
      </c>
      <c r="E1194" s="2">
        <v>14.7</v>
      </c>
      <c r="F1194">
        <v>2157</v>
      </c>
      <c r="G1194" t="s">
        <v>2046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330</v>
      </c>
      <c r="N1194">
        <v>0.56000000000000005</v>
      </c>
      <c r="O1194" t="s">
        <v>33</v>
      </c>
      <c r="P1194" t="s">
        <v>61</v>
      </c>
      <c r="Q1194" t="s">
        <v>295</v>
      </c>
      <c r="R1194" t="s">
        <v>2048</v>
      </c>
      <c r="S1194">
        <v>48093</v>
      </c>
      <c r="T1194" s="1">
        <v>42079</v>
      </c>
      <c r="U1194" s="1">
        <v>42088</v>
      </c>
      <c r="V1194" s="2">
        <v>2963.48</v>
      </c>
      <c r="W1194">
        <v>14</v>
      </c>
      <c r="X1194" s="2">
        <v>5880.46</v>
      </c>
      <c r="Y1194">
        <v>90385</v>
      </c>
      <c r="Z1194">
        <f t="shared" si="18"/>
        <v>82326.44</v>
      </c>
    </row>
    <row r="1195" spans="1:26" x14ac:dyDescent="0.25">
      <c r="A1195">
        <v>21975</v>
      </c>
      <c r="B1195" t="s">
        <v>25</v>
      </c>
      <c r="C1195" s="2">
        <v>7.0000000000000007E-2</v>
      </c>
      <c r="D1195" s="2">
        <v>30.93</v>
      </c>
      <c r="E1195" s="2">
        <v>3.92</v>
      </c>
      <c r="F1195">
        <v>2157</v>
      </c>
      <c r="G1195" t="s">
        <v>2046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1736</v>
      </c>
      <c r="N1195">
        <v>0.44</v>
      </c>
      <c r="O1195" t="s">
        <v>33</v>
      </c>
      <c r="P1195" t="s">
        <v>61</v>
      </c>
      <c r="Q1195" t="s">
        <v>295</v>
      </c>
      <c r="R1195" t="s">
        <v>2048</v>
      </c>
      <c r="S1195">
        <v>48093</v>
      </c>
      <c r="T1195" s="1">
        <v>42127</v>
      </c>
      <c r="U1195" s="1">
        <v>42128</v>
      </c>
      <c r="V1195" s="2">
        <v>398.30250000000001</v>
      </c>
      <c r="W1195">
        <v>19</v>
      </c>
      <c r="X1195" s="2">
        <v>577.25</v>
      </c>
      <c r="Y1195">
        <v>90386</v>
      </c>
      <c r="Z1195">
        <f t="shared" si="18"/>
        <v>10967.75</v>
      </c>
    </row>
    <row r="1196" spans="1:26" x14ac:dyDescent="0.25">
      <c r="A1196">
        <v>21976</v>
      </c>
      <c r="B1196" t="s">
        <v>25</v>
      </c>
      <c r="C1196" s="2">
        <v>0.05</v>
      </c>
      <c r="D1196" s="2">
        <v>297.48</v>
      </c>
      <c r="E1196" s="2">
        <v>18.059999999999999</v>
      </c>
      <c r="F1196">
        <v>2157</v>
      </c>
      <c r="G1196" t="s">
        <v>2046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558</v>
      </c>
      <c r="N1196">
        <v>0.6</v>
      </c>
      <c r="O1196" t="s">
        <v>33</v>
      </c>
      <c r="P1196" t="s">
        <v>61</v>
      </c>
      <c r="Q1196" t="s">
        <v>295</v>
      </c>
      <c r="R1196" t="s">
        <v>2048</v>
      </c>
      <c r="S1196">
        <v>48093</v>
      </c>
      <c r="T1196" s="1">
        <v>42127</v>
      </c>
      <c r="U1196" s="1">
        <v>42128</v>
      </c>
      <c r="V1196" s="2">
        <v>709.85199999999998</v>
      </c>
      <c r="W1196">
        <v>14</v>
      </c>
      <c r="X1196" s="2">
        <v>4075.18</v>
      </c>
      <c r="Y1196">
        <v>90386</v>
      </c>
      <c r="Z1196">
        <f t="shared" si="18"/>
        <v>57052.52</v>
      </c>
    </row>
    <row r="1197" spans="1:26" x14ac:dyDescent="0.25">
      <c r="A1197">
        <v>21977</v>
      </c>
      <c r="B1197" t="s">
        <v>25</v>
      </c>
      <c r="C1197" s="2">
        <v>7.0000000000000007E-2</v>
      </c>
      <c r="D1197" s="2">
        <v>296.18</v>
      </c>
      <c r="E1197" s="2">
        <v>54.12</v>
      </c>
      <c r="F1197">
        <v>2157</v>
      </c>
      <c r="G1197" t="s">
        <v>2046</v>
      </c>
      <c r="H1197" t="s">
        <v>39</v>
      </c>
      <c r="I1197" t="s">
        <v>40</v>
      </c>
      <c r="J1197" t="s">
        <v>41</v>
      </c>
      <c r="K1197" t="s">
        <v>150</v>
      </c>
      <c r="L1197" t="s">
        <v>120</v>
      </c>
      <c r="M1197" t="s">
        <v>151</v>
      </c>
      <c r="N1197">
        <v>0.76</v>
      </c>
      <c r="O1197" t="s">
        <v>33</v>
      </c>
      <c r="P1197" t="s">
        <v>61</v>
      </c>
      <c r="Q1197" t="s">
        <v>295</v>
      </c>
      <c r="R1197" t="s">
        <v>2048</v>
      </c>
      <c r="S1197">
        <v>48093</v>
      </c>
      <c r="T1197" s="1">
        <v>42127</v>
      </c>
      <c r="U1197" s="1">
        <v>42129</v>
      </c>
      <c r="V1197" s="2">
        <v>80.809200000000004</v>
      </c>
      <c r="W1197">
        <v>6</v>
      </c>
      <c r="X1197" s="2">
        <v>1798.23</v>
      </c>
      <c r="Y1197">
        <v>90386</v>
      </c>
      <c r="Z1197">
        <f t="shared" si="18"/>
        <v>10789.380000000001</v>
      </c>
    </row>
    <row r="1198" spans="1:26" x14ac:dyDescent="0.25">
      <c r="A1198">
        <v>23775</v>
      </c>
      <c r="B1198" t="s">
        <v>56</v>
      </c>
      <c r="C1198" s="2">
        <v>0.08</v>
      </c>
      <c r="D1198" s="2">
        <v>30.98</v>
      </c>
      <c r="E1198" s="2">
        <v>8.74</v>
      </c>
      <c r="F1198">
        <v>2159</v>
      </c>
      <c r="G1198" t="s">
        <v>2049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2050</v>
      </c>
      <c r="N1198">
        <v>0.4</v>
      </c>
      <c r="O1198" t="s">
        <v>33</v>
      </c>
      <c r="P1198" t="s">
        <v>61</v>
      </c>
      <c r="Q1198" t="s">
        <v>295</v>
      </c>
      <c r="R1198" t="s">
        <v>2051</v>
      </c>
      <c r="S1198">
        <v>48185</v>
      </c>
      <c r="T1198" s="1">
        <v>42144</v>
      </c>
      <c r="U1198" s="1">
        <v>42145</v>
      </c>
      <c r="V1198" s="2">
        <v>371.27199999999999</v>
      </c>
      <c r="W1198">
        <v>25</v>
      </c>
      <c r="X1198" s="2">
        <v>727.2</v>
      </c>
      <c r="Y1198">
        <v>90387</v>
      </c>
      <c r="Z1198">
        <f t="shared" si="18"/>
        <v>18180</v>
      </c>
    </row>
    <row r="1199" spans="1:26" x14ac:dyDescent="0.25">
      <c r="A1199">
        <v>23773</v>
      </c>
      <c r="B1199" t="s">
        <v>56</v>
      </c>
      <c r="C1199" s="2">
        <v>0.09</v>
      </c>
      <c r="D1199" s="2">
        <v>159.31</v>
      </c>
      <c r="E1199" s="2">
        <v>60</v>
      </c>
      <c r="F1199">
        <v>2162</v>
      </c>
      <c r="G1199" t="s">
        <v>2052</v>
      </c>
      <c r="H1199" t="s">
        <v>39</v>
      </c>
      <c r="I1199" t="s">
        <v>28</v>
      </c>
      <c r="J1199" t="s">
        <v>41</v>
      </c>
      <c r="K1199" t="s">
        <v>150</v>
      </c>
      <c r="L1199" t="s">
        <v>43</v>
      </c>
      <c r="M1199" t="s">
        <v>2053</v>
      </c>
      <c r="N1199">
        <v>0.55000000000000004</v>
      </c>
      <c r="O1199" t="s">
        <v>33</v>
      </c>
      <c r="P1199" t="s">
        <v>53</v>
      </c>
      <c r="Q1199" t="s">
        <v>229</v>
      </c>
      <c r="R1199" t="s">
        <v>2054</v>
      </c>
      <c r="S1199">
        <v>16146</v>
      </c>
      <c r="T1199" s="1">
        <v>42144</v>
      </c>
      <c r="U1199" s="1">
        <v>42146</v>
      </c>
      <c r="V1199" s="2">
        <v>77.000895400000005</v>
      </c>
      <c r="W1199">
        <v>41</v>
      </c>
      <c r="X1199" s="2">
        <v>6173.42</v>
      </c>
      <c r="Y1199">
        <v>90387</v>
      </c>
      <c r="Z1199">
        <f t="shared" si="18"/>
        <v>253110.22</v>
      </c>
    </row>
    <row r="1200" spans="1:26" x14ac:dyDescent="0.25">
      <c r="A1200">
        <v>23774</v>
      </c>
      <c r="B1200" t="s">
        <v>56</v>
      </c>
      <c r="C1200" s="2">
        <v>0.06</v>
      </c>
      <c r="D1200" s="2">
        <v>55.99</v>
      </c>
      <c r="E1200" s="2">
        <v>5</v>
      </c>
      <c r="F1200">
        <v>2162</v>
      </c>
      <c r="G1200" t="s">
        <v>2052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392</v>
      </c>
      <c r="N1200">
        <v>0.83</v>
      </c>
      <c r="O1200" t="s">
        <v>33</v>
      </c>
      <c r="P1200" t="s">
        <v>53</v>
      </c>
      <c r="Q1200" t="s">
        <v>229</v>
      </c>
      <c r="R1200" t="s">
        <v>2054</v>
      </c>
      <c r="S1200">
        <v>16146</v>
      </c>
      <c r="T1200" s="1">
        <v>42144</v>
      </c>
      <c r="U1200" s="1">
        <v>42146</v>
      </c>
      <c r="V1200" s="2">
        <v>27.968599999999999</v>
      </c>
      <c r="W1200">
        <v>33</v>
      </c>
      <c r="X1200" s="2">
        <v>1553.7</v>
      </c>
      <c r="Y1200">
        <v>90387</v>
      </c>
      <c r="Z1200">
        <f t="shared" si="18"/>
        <v>51272.1</v>
      </c>
    </row>
    <row r="1201" spans="1:26" x14ac:dyDescent="0.25">
      <c r="A1201">
        <v>22450</v>
      </c>
      <c r="B1201" t="s">
        <v>37</v>
      </c>
      <c r="C1201" s="2">
        <v>0.01</v>
      </c>
      <c r="D1201" s="2">
        <v>5.38</v>
      </c>
      <c r="E1201" s="2">
        <v>7.57</v>
      </c>
      <c r="F1201">
        <v>2164</v>
      </c>
      <c r="G1201" t="s">
        <v>2055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2056</v>
      </c>
      <c r="N1201">
        <v>0.36</v>
      </c>
      <c r="O1201" t="s">
        <v>33</v>
      </c>
      <c r="P1201" t="s">
        <v>34</v>
      </c>
      <c r="Q1201" t="s">
        <v>45</v>
      </c>
      <c r="R1201" t="s">
        <v>2057</v>
      </c>
      <c r="S1201">
        <v>91104</v>
      </c>
      <c r="T1201" s="1">
        <v>42013</v>
      </c>
      <c r="U1201" s="1">
        <v>42014</v>
      </c>
      <c r="V1201" s="2">
        <v>-66.779579999999996</v>
      </c>
      <c r="W1201">
        <v>3</v>
      </c>
      <c r="X1201" s="2">
        <v>18.68</v>
      </c>
      <c r="Y1201">
        <v>88794</v>
      </c>
      <c r="Z1201">
        <f t="shared" si="18"/>
        <v>56.04</v>
      </c>
    </row>
    <row r="1202" spans="1:26" x14ac:dyDescent="0.25">
      <c r="A1202">
        <v>22451</v>
      </c>
      <c r="B1202" t="s">
        <v>37</v>
      </c>
      <c r="C1202" s="2">
        <v>0.05</v>
      </c>
      <c r="D1202" s="2">
        <v>3.28</v>
      </c>
      <c r="E1202" s="2">
        <v>3.97</v>
      </c>
      <c r="F1202">
        <v>2164</v>
      </c>
      <c r="G1202" t="s">
        <v>2055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999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2057</v>
      </c>
      <c r="S1202">
        <v>91104</v>
      </c>
      <c r="T1202" s="1">
        <v>42013</v>
      </c>
      <c r="U1202" s="1">
        <v>42013</v>
      </c>
      <c r="V1202" s="2">
        <v>-144.9188</v>
      </c>
      <c r="W1202">
        <v>11</v>
      </c>
      <c r="X1202" s="2">
        <v>36.299999999999997</v>
      </c>
      <c r="Y1202">
        <v>88794</v>
      </c>
      <c r="Z1202">
        <f t="shared" si="18"/>
        <v>399.29999999999995</v>
      </c>
    </row>
    <row r="1203" spans="1:26" x14ac:dyDescent="0.25">
      <c r="A1203">
        <v>22449</v>
      </c>
      <c r="B1203" t="s">
        <v>37</v>
      </c>
      <c r="C1203" s="2">
        <v>0.09</v>
      </c>
      <c r="D1203" s="2">
        <v>2.78</v>
      </c>
      <c r="E1203" s="2">
        <v>0.97</v>
      </c>
      <c r="F1203">
        <v>2165</v>
      </c>
      <c r="G1203" t="s">
        <v>2058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2059</v>
      </c>
      <c r="N1203">
        <v>0.59</v>
      </c>
      <c r="O1203" t="s">
        <v>33</v>
      </c>
      <c r="P1203" t="s">
        <v>53</v>
      </c>
      <c r="Q1203" t="s">
        <v>184</v>
      </c>
      <c r="R1203" t="s">
        <v>1034</v>
      </c>
      <c r="S1203">
        <v>4330</v>
      </c>
      <c r="T1203" s="1">
        <v>42013</v>
      </c>
      <c r="U1203" s="1">
        <v>42015</v>
      </c>
      <c r="V1203" s="2">
        <v>-5.0716000000000001</v>
      </c>
      <c r="W1203">
        <v>6</v>
      </c>
      <c r="X1203" s="2">
        <v>16.03</v>
      </c>
      <c r="Y1203">
        <v>88794</v>
      </c>
      <c r="Z1203">
        <f t="shared" si="18"/>
        <v>96.18</v>
      </c>
    </row>
    <row r="1204" spans="1:26" x14ac:dyDescent="0.25">
      <c r="A1204">
        <v>20980</v>
      </c>
      <c r="B1204" t="s">
        <v>56</v>
      </c>
      <c r="C1204" s="2">
        <v>0.08</v>
      </c>
      <c r="D1204" s="2">
        <v>2.94</v>
      </c>
      <c r="E1204" s="2">
        <v>0.96</v>
      </c>
      <c r="F1204">
        <v>2178</v>
      </c>
      <c r="G1204" t="s">
        <v>2060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592</v>
      </c>
      <c r="N1204">
        <v>0.57999999999999996</v>
      </c>
      <c r="O1204" t="s">
        <v>33</v>
      </c>
      <c r="P1204" t="s">
        <v>53</v>
      </c>
      <c r="Q1204" t="s">
        <v>189</v>
      </c>
      <c r="R1204" t="s">
        <v>2061</v>
      </c>
      <c r="S1204">
        <v>1610</v>
      </c>
      <c r="T1204" s="1">
        <v>42031</v>
      </c>
      <c r="U1204" s="1">
        <v>42033</v>
      </c>
      <c r="V1204" s="2">
        <v>-1.18</v>
      </c>
      <c r="W1204">
        <v>9</v>
      </c>
      <c r="X1204" s="2">
        <v>25.35</v>
      </c>
      <c r="Y1204">
        <v>89465</v>
      </c>
      <c r="Z1204">
        <f t="shared" si="18"/>
        <v>228.15</v>
      </c>
    </row>
    <row r="1205" spans="1:26" x14ac:dyDescent="0.25">
      <c r="A1205">
        <v>26331</v>
      </c>
      <c r="B1205" t="s">
        <v>37</v>
      </c>
      <c r="C1205" s="2">
        <v>0</v>
      </c>
      <c r="D1205" s="2">
        <v>1.48</v>
      </c>
      <c r="E1205" s="2">
        <v>0.7</v>
      </c>
      <c r="F1205">
        <v>2183</v>
      </c>
      <c r="G1205" t="s">
        <v>2062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1987</v>
      </c>
      <c r="N1205">
        <v>0.37</v>
      </c>
      <c r="O1205" t="s">
        <v>33</v>
      </c>
      <c r="P1205" t="s">
        <v>135</v>
      </c>
      <c r="Q1205" t="s">
        <v>606</v>
      </c>
      <c r="R1205" t="s">
        <v>2063</v>
      </c>
      <c r="S1205">
        <v>42301</v>
      </c>
      <c r="T1205" s="1">
        <v>42170</v>
      </c>
      <c r="U1205" s="1">
        <v>42172</v>
      </c>
      <c r="V1205" s="2">
        <v>-203.09800000000001</v>
      </c>
      <c r="W1205">
        <v>12</v>
      </c>
      <c r="X1205" s="2">
        <v>19.32</v>
      </c>
      <c r="Y1205">
        <v>91571</v>
      </c>
      <c r="Z1205">
        <f t="shared" si="18"/>
        <v>231.84</v>
      </c>
    </row>
    <row r="1206" spans="1:26" x14ac:dyDescent="0.25">
      <c r="A1206">
        <v>19008</v>
      </c>
      <c r="B1206" t="s">
        <v>25</v>
      </c>
      <c r="C1206" s="2">
        <v>0.09</v>
      </c>
      <c r="D1206" s="2">
        <v>16.98</v>
      </c>
      <c r="E1206" s="2">
        <v>12.39</v>
      </c>
      <c r="F1206">
        <v>2187</v>
      </c>
      <c r="G1206" t="s">
        <v>2064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2065</v>
      </c>
      <c r="N1206">
        <v>0.35</v>
      </c>
      <c r="O1206" t="s">
        <v>33</v>
      </c>
      <c r="P1206" t="s">
        <v>61</v>
      </c>
      <c r="Q1206" t="s">
        <v>499</v>
      </c>
      <c r="R1206" t="s">
        <v>2066</v>
      </c>
      <c r="S1206">
        <v>64055</v>
      </c>
      <c r="T1206" s="1">
        <v>42132</v>
      </c>
      <c r="U1206" s="1">
        <v>42134</v>
      </c>
      <c r="V1206" s="2">
        <v>-48.57</v>
      </c>
      <c r="W1206">
        <v>5</v>
      </c>
      <c r="X1206" s="2">
        <v>86.8</v>
      </c>
      <c r="Y1206">
        <v>89440</v>
      </c>
      <c r="Z1206">
        <f t="shared" si="18"/>
        <v>434</v>
      </c>
    </row>
    <row r="1207" spans="1:26" x14ac:dyDescent="0.25">
      <c r="A1207">
        <v>1008</v>
      </c>
      <c r="B1207" t="s">
        <v>25</v>
      </c>
      <c r="C1207" s="2">
        <v>0.09</v>
      </c>
      <c r="D1207" s="2">
        <v>16.98</v>
      </c>
      <c r="E1207" s="2">
        <v>12.39</v>
      </c>
      <c r="F1207">
        <v>2189</v>
      </c>
      <c r="G1207" t="s">
        <v>2067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2065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1">
        <v>42132</v>
      </c>
      <c r="U1207" s="1">
        <v>42134</v>
      </c>
      <c r="V1207" s="2">
        <v>-48.57</v>
      </c>
      <c r="W1207">
        <v>22</v>
      </c>
      <c r="X1207" s="2">
        <v>381.91</v>
      </c>
      <c r="Y1207">
        <v>7364</v>
      </c>
      <c r="Z1207">
        <f t="shared" si="18"/>
        <v>8402.02</v>
      </c>
    </row>
    <row r="1208" spans="1:26" x14ac:dyDescent="0.25">
      <c r="A1208">
        <v>5870</v>
      </c>
      <c r="B1208" t="s">
        <v>47</v>
      </c>
      <c r="C1208" s="2">
        <v>0.05</v>
      </c>
      <c r="D1208" s="2">
        <v>16.98</v>
      </c>
      <c r="E1208" s="2">
        <v>7.78</v>
      </c>
      <c r="F1208">
        <v>2190</v>
      </c>
      <c r="G1208" t="s">
        <v>2068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2069</v>
      </c>
      <c r="N1208">
        <v>0.56999999999999995</v>
      </c>
      <c r="O1208" t="s">
        <v>33</v>
      </c>
      <c r="P1208" t="s">
        <v>61</v>
      </c>
      <c r="Q1208" t="s">
        <v>295</v>
      </c>
      <c r="R1208" t="s">
        <v>296</v>
      </c>
      <c r="S1208">
        <v>48227</v>
      </c>
      <c r="T1208" s="1">
        <v>42049</v>
      </c>
      <c r="U1208" s="1">
        <v>42051</v>
      </c>
      <c r="V1208" s="2">
        <v>-47.28</v>
      </c>
      <c r="W1208">
        <v>45</v>
      </c>
      <c r="X1208" s="2">
        <v>761.67</v>
      </c>
      <c r="Y1208">
        <v>41636</v>
      </c>
      <c r="Z1208">
        <f t="shared" si="18"/>
        <v>34275.15</v>
      </c>
    </row>
    <row r="1209" spans="1:26" x14ac:dyDescent="0.25">
      <c r="A1209">
        <v>5871</v>
      </c>
      <c r="B1209" t="s">
        <v>47</v>
      </c>
      <c r="C1209" s="2">
        <v>0.03</v>
      </c>
      <c r="D1209" s="2">
        <v>115.99</v>
      </c>
      <c r="E1209" s="2">
        <v>4.2300000000000004</v>
      </c>
      <c r="F1209">
        <v>2190</v>
      </c>
      <c r="G1209" t="s">
        <v>2068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>
        <v>282</v>
      </c>
      <c r="N1209">
        <v>0.56000000000000005</v>
      </c>
      <c r="O1209" t="s">
        <v>33</v>
      </c>
      <c r="P1209" t="s">
        <v>61</v>
      </c>
      <c r="Q1209" t="s">
        <v>295</v>
      </c>
      <c r="R1209" t="s">
        <v>296</v>
      </c>
      <c r="S1209">
        <v>48227</v>
      </c>
      <c r="T1209" s="1">
        <v>42049</v>
      </c>
      <c r="U1209" s="1">
        <v>42051</v>
      </c>
      <c r="V1209" s="2">
        <v>722.24099999999999</v>
      </c>
      <c r="W1209">
        <v>49</v>
      </c>
      <c r="X1209" s="2">
        <v>5014.07</v>
      </c>
      <c r="Y1209">
        <v>41636</v>
      </c>
      <c r="Z1209">
        <f t="shared" si="18"/>
        <v>245689.43</v>
      </c>
    </row>
    <row r="1210" spans="1:26" x14ac:dyDescent="0.25">
      <c r="A1210">
        <v>23870</v>
      </c>
      <c r="B1210" t="s">
        <v>47</v>
      </c>
      <c r="C1210" s="2">
        <v>0.05</v>
      </c>
      <c r="D1210" s="2">
        <v>16.98</v>
      </c>
      <c r="E1210" s="2">
        <v>7.78</v>
      </c>
      <c r="F1210">
        <v>2193</v>
      </c>
      <c r="G1210" t="s">
        <v>2070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2069</v>
      </c>
      <c r="N1210">
        <v>0.56999999999999995</v>
      </c>
      <c r="O1210" t="s">
        <v>33</v>
      </c>
      <c r="P1210" t="s">
        <v>135</v>
      </c>
      <c r="Q1210" t="s">
        <v>316</v>
      </c>
      <c r="R1210" t="s">
        <v>2071</v>
      </c>
      <c r="S1210">
        <v>28560</v>
      </c>
      <c r="T1210" s="1">
        <v>42049</v>
      </c>
      <c r="U1210" s="1">
        <v>42051</v>
      </c>
      <c r="V1210" s="2">
        <v>-161</v>
      </c>
      <c r="W1210">
        <v>11</v>
      </c>
      <c r="X1210" s="2">
        <v>186.19</v>
      </c>
      <c r="Y1210">
        <v>90685</v>
      </c>
      <c r="Z1210">
        <f t="shared" si="18"/>
        <v>2048.09</v>
      </c>
    </row>
    <row r="1211" spans="1:26" x14ac:dyDescent="0.25">
      <c r="A1211">
        <v>23871</v>
      </c>
      <c r="B1211" t="s">
        <v>47</v>
      </c>
      <c r="C1211" s="2">
        <v>0.03</v>
      </c>
      <c r="D1211" s="2">
        <v>115.99</v>
      </c>
      <c r="E1211" s="2">
        <v>4.2300000000000004</v>
      </c>
      <c r="F1211">
        <v>2193</v>
      </c>
      <c r="G1211" t="s">
        <v>2070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>
        <v>282</v>
      </c>
      <c r="N1211">
        <v>0.56000000000000005</v>
      </c>
      <c r="O1211" t="s">
        <v>33</v>
      </c>
      <c r="P1211" t="s">
        <v>135</v>
      </c>
      <c r="Q1211" t="s">
        <v>316</v>
      </c>
      <c r="R1211" t="s">
        <v>2071</v>
      </c>
      <c r="S1211">
        <v>28560</v>
      </c>
      <c r="T1211" s="1">
        <v>42049</v>
      </c>
      <c r="U1211" s="1">
        <v>42051</v>
      </c>
      <c r="V1211" s="2">
        <v>848.3646</v>
      </c>
      <c r="W1211">
        <v>12</v>
      </c>
      <c r="X1211" s="2">
        <v>1227.94</v>
      </c>
      <c r="Y1211">
        <v>90685</v>
      </c>
      <c r="Z1211">
        <f t="shared" si="18"/>
        <v>14735.28</v>
      </c>
    </row>
    <row r="1212" spans="1:26" x14ac:dyDescent="0.25">
      <c r="A1212">
        <v>19112</v>
      </c>
      <c r="B1212" t="s">
        <v>56</v>
      </c>
      <c r="C1212" s="2">
        <v>0.03</v>
      </c>
      <c r="D1212" s="2">
        <v>27.48</v>
      </c>
      <c r="E1212" s="2">
        <v>4</v>
      </c>
      <c r="F1212">
        <v>2196</v>
      </c>
      <c r="G1212" t="s">
        <v>2072</v>
      </c>
      <c r="H1212" t="s">
        <v>49</v>
      </c>
      <c r="I1212" t="s">
        <v>58</v>
      </c>
      <c r="J1212" t="s">
        <v>77</v>
      </c>
      <c r="K1212" t="s">
        <v>177</v>
      </c>
      <c r="L1212" t="s">
        <v>59</v>
      </c>
      <c r="M1212" t="s">
        <v>861</v>
      </c>
      <c r="N1212">
        <v>0.75</v>
      </c>
      <c r="O1212" t="s">
        <v>33</v>
      </c>
      <c r="P1212" t="s">
        <v>53</v>
      </c>
      <c r="Q1212" t="s">
        <v>71</v>
      </c>
      <c r="R1212" t="s">
        <v>2073</v>
      </c>
      <c r="S1212">
        <v>14701</v>
      </c>
      <c r="T1212" s="1">
        <v>42101</v>
      </c>
      <c r="U1212" s="1">
        <v>42102</v>
      </c>
      <c r="V1212" s="2">
        <v>-88.840800000000002</v>
      </c>
      <c r="W1212">
        <v>11</v>
      </c>
      <c r="X1212" s="2">
        <v>294.97000000000003</v>
      </c>
      <c r="Y1212">
        <v>89175</v>
      </c>
      <c r="Z1212">
        <f t="shared" si="18"/>
        <v>3244.67</v>
      </c>
    </row>
    <row r="1213" spans="1:26" x14ac:dyDescent="0.25">
      <c r="A1213">
        <v>19113</v>
      </c>
      <c r="B1213" t="s">
        <v>56</v>
      </c>
      <c r="C1213" s="2">
        <v>0.1</v>
      </c>
      <c r="D1213" s="2">
        <v>179.99</v>
      </c>
      <c r="E1213" s="2">
        <v>19.989999999999998</v>
      </c>
      <c r="F1213">
        <v>2196</v>
      </c>
      <c r="G1213" t="s">
        <v>2072</v>
      </c>
      <c r="H1213" t="s">
        <v>49</v>
      </c>
      <c r="I1213" t="s">
        <v>58</v>
      </c>
      <c r="J1213" t="s">
        <v>77</v>
      </c>
      <c r="K1213" t="s">
        <v>177</v>
      </c>
      <c r="L1213" t="s">
        <v>59</v>
      </c>
      <c r="M1213" t="s">
        <v>572</v>
      </c>
      <c r="N1213">
        <v>0.48</v>
      </c>
      <c r="O1213" t="s">
        <v>33</v>
      </c>
      <c r="P1213" t="s">
        <v>53</v>
      </c>
      <c r="Q1213" t="s">
        <v>71</v>
      </c>
      <c r="R1213" t="s">
        <v>2073</v>
      </c>
      <c r="S1213">
        <v>14701</v>
      </c>
      <c r="T1213" s="1">
        <v>42101</v>
      </c>
      <c r="U1213" s="1">
        <v>42102</v>
      </c>
      <c r="V1213" s="2">
        <v>1208.9903999999999</v>
      </c>
      <c r="W1213">
        <v>14</v>
      </c>
      <c r="X1213" s="2">
        <v>2458.0500000000002</v>
      </c>
      <c r="Y1213">
        <v>89175</v>
      </c>
      <c r="Z1213">
        <f t="shared" si="18"/>
        <v>34412.700000000004</v>
      </c>
    </row>
    <row r="1214" spans="1:26" x14ac:dyDescent="0.25">
      <c r="A1214">
        <v>19114</v>
      </c>
      <c r="B1214" t="s">
        <v>56</v>
      </c>
      <c r="C1214" s="2">
        <v>0.1</v>
      </c>
      <c r="D1214" s="2">
        <v>140.85</v>
      </c>
      <c r="E1214" s="2">
        <v>19.989999999999998</v>
      </c>
      <c r="F1214">
        <v>2196</v>
      </c>
      <c r="G1214" t="s">
        <v>2072</v>
      </c>
      <c r="H1214" t="s">
        <v>49</v>
      </c>
      <c r="I1214" t="s">
        <v>58</v>
      </c>
      <c r="J1214" t="s">
        <v>29</v>
      </c>
      <c r="K1214" t="s">
        <v>139</v>
      </c>
      <c r="L1214" t="s">
        <v>59</v>
      </c>
      <c r="M1214" t="s">
        <v>2074</v>
      </c>
      <c r="N1214">
        <v>0.73</v>
      </c>
      <c r="O1214" t="s">
        <v>33</v>
      </c>
      <c r="P1214" t="s">
        <v>53</v>
      </c>
      <c r="Q1214" t="s">
        <v>71</v>
      </c>
      <c r="R1214" t="s">
        <v>2073</v>
      </c>
      <c r="S1214">
        <v>14701</v>
      </c>
      <c r="T1214" s="1">
        <v>42101</v>
      </c>
      <c r="U1214" s="1">
        <v>42103</v>
      </c>
      <c r="V1214" s="2">
        <v>9.9911999999999992</v>
      </c>
      <c r="W1214">
        <v>19</v>
      </c>
      <c r="X1214" s="2">
        <v>2465.75</v>
      </c>
      <c r="Y1214">
        <v>89175</v>
      </c>
      <c r="Z1214">
        <f t="shared" si="18"/>
        <v>46849.25</v>
      </c>
    </row>
    <row r="1215" spans="1:26" x14ac:dyDescent="0.25">
      <c r="A1215">
        <v>23300</v>
      </c>
      <c r="B1215" t="s">
        <v>47</v>
      </c>
      <c r="C1215" s="2">
        <v>0.08</v>
      </c>
      <c r="D1215" s="2">
        <v>100.97</v>
      </c>
      <c r="E1215" s="2">
        <v>7.18</v>
      </c>
      <c r="F1215">
        <v>2197</v>
      </c>
      <c r="G1215" t="s">
        <v>2075</v>
      </c>
      <c r="H1215" t="s">
        <v>49</v>
      </c>
      <c r="I1215" t="s">
        <v>58</v>
      </c>
      <c r="J1215" t="s">
        <v>77</v>
      </c>
      <c r="K1215" t="s">
        <v>177</v>
      </c>
      <c r="L1215" t="s">
        <v>59</v>
      </c>
      <c r="M1215" t="s">
        <v>2076</v>
      </c>
      <c r="N1215">
        <v>0.46</v>
      </c>
      <c r="O1215" t="s">
        <v>33</v>
      </c>
      <c r="P1215" t="s">
        <v>53</v>
      </c>
      <c r="Q1215" t="s">
        <v>71</v>
      </c>
      <c r="R1215" t="s">
        <v>1692</v>
      </c>
      <c r="S1215">
        <v>11756</v>
      </c>
      <c r="T1215" s="1">
        <v>42181</v>
      </c>
      <c r="U1215" s="1">
        <v>42182</v>
      </c>
      <c r="V1215" s="2">
        <v>126.22499999999999</v>
      </c>
      <c r="W1215">
        <v>7</v>
      </c>
      <c r="X1215" s="2">
        <v>650.25</v>
      </c>
      <c r="Y1215">
        <v>89176</v>
      </c>
      <c r="Z1215">
        <f t="shared" si="18"/>
        <v>4551.75</v>
      </c>
    </row>
    <row r="1216" spans="1:26" x14ac:dyDescent="0.25">
      <c r="A1216">
        <v>23301</v>
      </c>
      <c r="B1216" t="s">
        <v>47</v>
      </c>
      <c r="C1216" s="2">
        <v>0</v>
      </c>
      <c r="D1216" s="2">
        <v>13.4</v>
      </c>
      <c r="E1216" s="2">
        <v>4.95</v>
      </c>
      <c r="F1216">
        <v>2197</v>
      </c>
      <c r="G1216" t="s">
        <v>2075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761</v>
      </c>
      <c r="N1216">
        <v>0.37</v>
      </c>
      <c r="O1216" t="s">
        <v>33</v>
      </c>
      <c r="P1216" t="s">
        <v>53</v>
      </c>
      <c r="Q1216" t="s">
        <v>71</v>
      </c>
      <c r="R1216" t="s">
        <v>1692</v>
      </c>
      <c r="S1216">
        <v>11756</v>
      </c>
      <c r="T1216" s="1">
        <v>42181</v>
      </c>
      <c r="U1216" s="1">
        <v>42182</v>
      </c>
      <c r="V1216" s="2">
        <v>187.7628</v>
      </c>
      <c r="W1216">
        <v>19</v>
      </c>
      <c r="X1216" s="2">
        <v>272.12</v>
      </c>
      <c r="Y1216">
        <v>89176</v>
      </c>
      <c r="Z1216">
        <f t="shared" si="18"/>
        <v>5170.28</v>
      </c>
    </row>
    <row r="1217" spans="1:26" x14ac:dyDescent="0.25">
      <c r="A1217">
        <v>26083</v>
      </c>
      <c r="B1217" t="s">
        <v>37</v>
      </c>
      <c r="C1217" s="2">
        <v>0.03</v>
      </c>
      <c r="D1217" s="2">
        <v>25.98</v>
      </c>
      <c r="E1217" s="2">
        <v>4.08</v>
      </c>
      <c r="F1217">
        <v>2198</v>
      </c>
      <c r="G1217" t="s">
        <v>2077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2078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2079</v>
      </c>
      <c r="S1217">
        <v>11757</v>
      </c>
      <c r="T1217" s="1">
        <v>42146</v>
      </c>
      <c r="U1217" s="1">
        <v>42149</v>
      </c>
      <c r="V1217" s="2">
        <v>295.90649999999999</v>
      </c>
      <c r="W1217">
        <v>16</v>
      </c>
      <c r="X1217" s="2">
        <v>428.85</v>
      </c>
      <c r="Y1217">
        <v>89174</v>
      </c>
      <c r="Z1217">
        <f t="shared" si="18"/>
        <v>6861.6</v>
      </c>
    </row>
    <row r="1218" spans="1:26" x14ac:dyDescent="0.25">
      <c r="A1218">
        <v>26084</v>
      </c>
      <c r="B1218" t="s">
        <v>37</v>
      </c>
      <c r="C1218" s="2">
        <v>0.1</v>
      </c>
      <c r="D1218" s="2">
        <v>20.98</v>
      </c>
      <c r="E1218" s="2">
        <v>53.03</v>
      </c>
      <c r="F1218">
        <v>2198</v>
      </c>
      <c r="G1218" t="s">
        <v>2077</v>
      </c>
      <c r="H1218" t="s">
        <v>39</v>
      </c>
      <c r="I1218" t="s">
        <v>58</v>
      </c>
      <c r="J1218" t="s">
        <v>29</v>
      </c>
      <c r="K1218" t="s">
        <v>139</v>
      </c>
      <c r="L1218" t="s">
        <v>43</v>
      </c>
      <c r="M1218" t="s">
        <v>610</v>
      </c>
      <c r="N1218">
        <v>0.78</v>
      </c>
      <c r="O1218" t="s">
        <v>33</v>
      </c>
      <c r="P1218" t="s">
        <v>53</v>
      </c>
      <c r="Q1218" t="s">
        <v>71</v>
      </c>
      <c r="R1218" t="s">
        <v>2079</v>
      </c>
      <c r="S1218">
        <v>11757</v>
      </c>
      <c r="T1218" s="1">
        <v>42146</v>
      </c>
      <c r="U1218" s="1">
        <v>42146</v>
      </c>
      <c r="V1218" s="2">
        <v>-2111.36</v>
      </c>
      <c r="W1218">
        <v>16</v>
      </c>
      <c r="X1218" s="2">
        <v>342.54</v>
      </c>
      <c r="Y1218">
        <v>89174</v>
      </c>
      <c r="Z1218">
        <f t="shared" si="18"/>
        <v>5480.64</v>
      </c>
    </row>
    <row r="1219" spans="1:26" x14ac:dyDescent="0.25">
      <c r="A1219">
        <v>20234</v>
      </c>
      <c r="B1219" t="s">
        <v>47</v>
      </c>
      <c r="C1219" s="2">
        <v>0.17</v>
      </c>
      <c r="D1219" s="2">
        <v>14.89</v>
      </c>
      <c r="E1219" s="2">
        <v>13.56</v>
      </c>
      <c r="F1219">
        <v>2201</v>
      </c>
      <c r="G1219" t="s">
        <v>2080</v>
      </c>
      <c r="H1219" t="s">
        <v>49</v>
      </c>
      <c r="I1219" t="s">
        <v>58</v>
      </c>
      <c r="J1219" t="s">
        <v>41</v>
      </c>
      <c r="K1219" t="s">
        <v>50</v>
      </c>
      <c r="L1219" t="s">
        <v>231</v>
      </c>
      <c r="M1219" t="s">
        <v>2081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483</v>
      </c>
      <c r="S1219">
        <v>55420</v>
      </c>
      <c r="T1219" s="1">
        <v>42088</v>
      </c>
      <c r="U1219" s="1">
        <v>42090</v>
      </c>
      <c r="V1219" s="2">
        <v>-9.1300000000000008</v>
      </c>
      <c r="W1219">
        <v>1</v>
      </c>
      <c r="X1219" s="2">
        <v>27.96</v>
      </c>
      <c r="Y1219">
        <v>86054</v>
      </c>
      <c r="Z1219">
        <f t="shared" ref="Z1219:Z1282" si="19">W1219*X1219</f>
        <v>27.96</v>
      </c>
    </row>
    <row r="1220" spans="1:26" x14ac:dyDescent="0.25">
      <c r="A1220">
        <v>22259</v>
      </c>
      <c r="B1220" t="s">
        <v>106</v>
      </c>
      <c r="C1220" s="2">
        <v>0.09</v>
      </c>
      <c r="D1220" s="2">
        <v>160.97999999999999</v>
      </c>
      <c r="E1220" s="2">
        <v>30</v>
      </c>
      <c r="F1220">
        <v>2202</v>
      </c>
      <c r="G1220" t="s">
        <v>2082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174</v>
      </c>
      <c r="N1220">
        <v>0.62</v>
      </c>
      <c r="O1220" t="s">
        <v>33</v>
      </c>
      <c r="P1220" t="s">
        <v>61</v>
      </c>
      <c r="Q1220" t="s">
        <v>62</v>
      </c>
      <c r="R1220" t="s">
        <v>2083</v>
      </c>
      <c r="S1220">
        <v>55429</v>
      </c>
      <c r="T1220" s="1">
        <v>42035</v>
      </c>
      <c r="U1220" s="1">
        <v>42035</v>
      </c>
      <c r="V1220" s="2">
        <v>357.428</v>
      </c>
      <c r="W1220">
        <v>11</v>
      </c>
      <c r="X1220" s="2">
        <v>1635.38</v>
      </c>
      <c r="Y1220">
        <v>86050</v>
      </c>
      <c r="Z1220">
        <f t="shared" si="19"/>
        <v>17989.18</v>
      </c>
    </row>
    <row r="1221" spans="1:26" x14ac:dyDescent="0.25">
      <c r="A1221">
        <v>22260</v>
      </c>
      <c r="B1221" t="s">
        <v>106</v>
      </c>
      <c r="C1221" s="2">
        <v>0.09</v>
      </c>
      <c r="D1221" s="2">
        <v>6.3</v>
      </c>
      <c r="E1221" s="2">
        <v>0.5</v>
      </c>
      <c r="F1221">
        <v>2202</v>
      </c>
      <c r="G1221" t="s">
        <v>2082</v>
      </c>
      <c r="H1221" t="s">
        <v>49</v>
      </c>
      <c r="I1221" t="s">
        <v>40</v>
      </c>
      <c r="J1221" t="s">
        <v>29</v>
      </c>
      <c r="K1221" t="s">
        <v>133</v>
      </c>
      <c r="L1221" t="s">
        <v>59</v>
      </c>
      <c r="M1221" t="s">
        <v>207</v>
      </c>
      <c r="N1221">
        <v>0.39</v>
      </c>
      <c r="O1221" t="s">
        <v>33</v>
      </c>
      <c r="P1221" t="s">
        <v>61</v>
      </c>
      <c r="Q1221" t="s">
        <v>62</v>
      </c>
      <c r="R1221" t="s">
        <v>2083</v>
      </c>
      <c r="S1221">
        <v>55429</v>
      </c>
      <c r="T1221" s="1">
        <v>42035</v>
      </c>
      <c r="U1221" s="1">
        <v>42035</v>
      </c>
      <c r="V1221" s="2">
        <v>40.351199999999999</v>
      </c>
      <c r="W1221">
        <v>10</v>
      </c>
      <c r="X1221" s="2">
        <v>58.48</v>
      </c>
      <c r="Y1221">
        <v>86050</v>
      </c>
      <c r="Z1221">
        <f t="shared" si="19"/>
        <v>584.79999999999995</v>
      </c>
    </row>
    <row r="1222" spans="1:26" x14ac:dyDescent="0.25">
      <c r="A1222">
        <v>22261</v>
      </c>
      <c r="B1222" t="s">
        <v>106</v>
      </c>
      <c r="C1222" s="2">
        <v>0</v>
      </c>
      <c r="D1222" s="2">
        <v>4.9800000000000004</v>
      </c>
      <c r="E1222" s="2">
        <v>0.8</v>
      </c>
      <c r="F1222">
        <v>2202</v>
      </c>
      <c r="G1222" t="s">
        <v>2082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515</v>
      </c>
      <c r="N1222">
        <v>0.36</v>
      </c>
      <c r="O1222" t="s">
        <v>33</v>
      </c>
      <c r="P1222" t="s">
        <v>61</v>
      </c>
      <c r="Q1222" t="s">
        <v>62</v>
      </c>
      <c r="R1222" t="s">
        <v>2083</v>
      </c>
      <c r="S1222">
        <v>55429</v>
      </c>
      <c r="T1222" s="1">
        <v>42035</v>
      </c>
      <c r="U1222" s="1">
        <v>42042</v>
      </c>
      <c r="V1222" s="2">
        <v>27.634499999999999</v>
      </c>
      <c r="W1222">
        <v>8</v>
      </c>
      <c r="X1222" s="2">
        <v>40.049999999999997</v>
      </c>
      <c r="Y1222">
        <v>86050</v>
      </c>
      <c r="Z1222">
        <f t="shared" si="19"/>
        <v>320.39999999999998</v>
      </c>
    </row>
    <row r="1223" spans="1:26" x14ac:dyDescent="0.25">
      <c r="A1223">
        <v>23919</v>
      </c>
      <c r="B1223" t="s">
        <v>106</v>
      </c>
      <c r="C1223" s="2">
        <v>0.08</v>
      </c>
      <c r="D1223" s="2">
        <v>145.44999999999999</v>
      </c>
      <c r="E1223" s="2">
        <v>17.850000000000001</v>
      </c>
      <c r="F1223">
        <v>2203</v>
      </c>
      <c r="G1223" t="s">
        <v>2084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1064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2085</v>
      </c>
      <c r="S1223">
        <v>55445</v>
      </c>
      <c r="T1223" s="1">
        <v>42039</v>
      </c>
      <c r="U1223" s="1">
        <v>42039</v>
      </c>
      <c r="V1223" s="2">
        <v>751.58</v>
      </c>
      <c r="W1223">
        <v>8</v>
      </c>
      <c r="X1223" s="2">
        <v>1117.6600000000001</v>
      </c>
      <c r="Y1223">
        <v>86051</v>
      </c>
      <c r="Z1223">
        <f t="shared" si="19"/>
        <v>8941.2800000000007</v>
      </c>
    </row>
    <row r="1224" spans="1:26" x14ac:dyDescent="0.25">
      <c r="A1224">
        <v>22595</v>
      </c>
      <c r="B1224" t="s">
        <v>47</v>
      </c>
      <c r="C1224" s="2">
        <v>0.03</v>
      </c>
      <c r="D1224" s="2">
        <v>399.98</v>
      </c>
      <c r="E1224" s="2">
        <v>12.06</v>
      </c>
      <c r="F1224">
        <v>2203</v>
      </c>
      <c r="G1224" t="s">
        <v>2084</v>
      </c>
      <c r="H1224" t="s">
        <v>39</v>
      </c>
      <c r="I1224" t="s">
        <v>40</v>
      </c>
      <c r="J1224" t="s">
        <v>77</v>
      </c>
      <c r="K1224" t="s">
        <v>85</v>
      </c>
      <c r="L1224" t="s">
        <v>120</v>
      </c>
      <c r="M1224" t="s">
        <v>259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2085</v>
      </c>
      <c r="S1224">
        <v>55445</v>
      </c>
      <c r="T1224" s="1">
        <v>42008</v>
      </c>
      <c r="U1224" s="1">
        <v>42010</v>
      </c>
      <c r="V1224" s="2">
        <v>-663.51419999999996</v>
      </c>
      <c r="W1224">
        <v>2</v>
      </c>
      <c r="X1224" s="2">
        <v>807</v>
      </c>
      <c r="Y1224">
        <v>86052</v>
      </c>
      <c r="Z1224">
        <f t="shared" si="19"/>
        <v>1614</v>
      </c>
    </row>
    <row r="1225" spans="1:26" x14ac:dyDescent="0.25">
      <c r="A1225">
        <v>23920</v>
      </c>
      <c r="B1225" t="s">
        <v>106</v>
      </c>
      <c r="C1225" s="2">
        <v>7.0000000000000007E-2</v>
      </c>
      <c r="D1225" s="2">
        <v>33.94</v>
      </c>
      <c r="E1225" s="2">
        <v>19.190000000000001</v>
      </c>
      <c r="F1225">
        <v>2204</v>
      </c>
      <c r="G1225" t="s">
        <v>2086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994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2087</v>
      </c>
      <c r="S1225">
        <v>55337</v>
      </c>
      <c r="T1225" s="1">
        <v>42039</v>
      </c>
      <c r="U1225" s="1">
        <v>42043</v>
      </c>
      <c r="V1225" s="2">
        <v>-157.56</v>
      </c>
      <c r="W1225">
        <v>5</v>
      </c>
      <c r="X1225" s="2">
        <v>169.46</v>
      </c>
      <c r="Y1225">
        <v>86051</v>
      </c>
      <c r="Z1225">
        <f t="shared" si="19"/>
        <v>847.30000000000007</v>
      </c>
    </row>
    <row r="1226" spans="1:26" x14ac:dyDescent="0.25">
      <c r="A1226">
        <v>24434</v>
      </c>
      <c r="B1226" t="s">
        <v>47</v>
      </c>
      <c r="C1226" s="2">
        <v>0.04</v>
      </c>
      <c r="D1226" s="2">
        <v>296.18</v>
      </c>
      <c r="E1226" s="2">
        <v>154.12</v>
      </c>
      <c r="F1226">
        <v>2204</v>
      </c>
      <c r="G1226" t="s">
        <v>2086</v>
      </c>
      <c r="H1226" t="s">
        <v>39</v>
      </c>
      <c r="I1226" t="s">
        <v>114</v>
      </c>
      <c r="J1226" t="s">
        <v>41</v>
      </c>
      <c r="K1226" t="s">
        <v>150</v>
      </c>
      <c r="L1226" t="s">
        <v>120</v>
      </c>
      <c r="M1226" t="s">
        <v>151</v>
      </c>
      <c r="N1226">
        <v>0.76</v>
      </c>
      <c r="O1226" t="s">
        <v>33</v>
      </c>
      <c r="P1226" t="s">
        <v>61</v>
      </c>
      <c r="Q1226" t="s">
        <v>62</v>
      </c>
      <c r="R1226" t="s">
        <v>2087</v>
      </c>
      <c r="S1226">
        <v>55337</v>
      </c>
      <c r="T1226" s="1">
        <v>42045</v>
      </c>
      <c r="U1226" s="1">
        <v>42046</v>
      </c>
      <c r="V1226" s="2">
        <v>-87.998040000000003</v>
      </c>
      <c r="W1226">
        <v>20</v>
      </c>
      <c r="X1226" s="2">
        <v>5768.12</v>
      </c>
      <c r="Y1226">
        <v>86053</v>
      </c>
      <c r="Z1226">
        <f t="shared" si="19"/>
        <v>115362.4</v>
      </c>
    </row>
    <row r="1227" spans="1:26" x14ac:dyDescent="0.25">
      <c r="A1227">
        <v>18164</v>
      </c>
      <c r="B1227" t="s">
        <v>25</v>
      </c>
      <c r="C1227" s="2">
        <v>0.03</v>
      </c>
      <c r="D1227" s="2">
        <v>28.48</v>
      </c>
      <c r="E1227" s="2">
        <v>1.99</v>
      </c>
      <c r="F1227">
        <v>2206</v>
      </c>
      <c r="G1227" t="s">
        <v>2088</v>
      </c>
      <c r="H1227" t="s">
        <v>49</v>
      </c>
      <c r="I1227" t="s">
        <v>114</v>
      </c>
      <c r="J1227" t="s">
        <v>77</v>
      </c>
      <c r="K1227" t="s">
        <v>177</v>
      </c>
      <c r="L1227" t="s">
        <v>51</v>
      </c>
      <c r="M1227" t="s">
        <v>401</v>
      </c>
      <c r="N1227">
        <v>0.4</v>
      </c>
      <c r="O1227" t="s">
        <v>33</v>
      </c>
      <c r="P1227" t="s">
        <v>61</v>
      </c>
      <c r="Q1227" t="s">
        <v>324</v>
      </c>
      <c r="R1227" t="s">
        <v>2089</v>
      </c>
      <c r="S1227">
        <v>50501</v>
      </c>
      <c r="T1227" s="1">
        <v>42009</v>
      </c>
      <c r="U1227" s="1">
        <v>42010</v>
      </c>
      <c r="V1227" s="2">
        <v>-35.290399999999998</v>
      </c>
      <c r="W1227">
        <v>2</v>
      </c>
      <c r="X1227" s="2">
        <v>55.25</v>
      </c>
      <c r="Y1227">
        <v>86258</v>
      </c>
      <c r="Z1227">
        <f t="shared" si="19"/>
        <v>110.5</v>
      </c>
    </row>
    <row r="1228" spans="1:26" x14ac:dyDescent="0.25">
      <c r="A1228">
        <v>18165</v>
      </c>
      <c r="B1228" t="s">
        <v>25</v>
      </c>
      <c r="C1228" s="2">
        <v>0.01</v>
      </c>
      <c r="D1228" s="2">
        <v>205.99</v>
      </c>
      <c r="E1228" s="2">
        <v>5.99</v>
      </c>
      <c r="F1228">
        <v>2206</v>
      </c>
      <c r="G1228" t="s">
        <v>2088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>
        <v>3285</v>
      </c>
      <c r="N1228">
        <v>0.59</v>
      </c>
      <c r="O1228" t="s">
        <v>33</v>
      </c>
      <c r="P1228" t="s">
        <v>61</v>
      </c>
      <c r="Q1228" t="s">
        <v>324</v>
      </c>
      <c r="R1228" t="s">
        <v>2089</v>
      </c>
      <c r="S1228">
        <v>50501</v>
      </c>
      <c r="T1228" s="1">
        <v>42009</v>
      </c>
      <c r="U1228" s="1">
        <v>42011</v>
      </c>
      <c r="V1228" s="2">
        <v>-74.883600000000001</v>
      </c>
      <c r="W1228">
        <v>3</v>
      </c>
      <c r="X1228" s="2">
        <v>551.22</v>
      </c>
      <c r="Y1228">
        <v>86258</v>
      </c>
      <c r="Z1228">
        <f t="shared" si="19"/>
        <v>1653.66</v>
      </c>
    </row>
    <row r="1229" spans="1:26" x14ac:dyDescent="0.25">
      <c r="A1229">
        <v>23317</v>
      </c>
      <c r="B1229" t="s">
        <v>106</v>
      </c>
      <c r="C1229" s="2">
        <v>0.06</v>
      </c>
      <c r="D1229" s="2">
        <v>6.98</v>
      </c>
      <c r="E1229" s="2">
        <v>1.6</v>
      </c>
      <c r="F1229">
        <v>2209</v>
      </c>
      <c r="G1229" t="s">
        <v>2090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946</v>
      </c>
      <c r="N1229">
        <v>0.38</v>
      </c>
      <c r="O1229" t="s">
        <v>33</v>
      </c>
      <c r="P1229" t="s">
        <v>135</v>
      </c>
      <c r="Q1229" t="s">
        <v>381</v>
      </c>
      <c r="R1229" t="s">
        <v>2091</v>
      </c>
      <c r="S1229">
        <v>30337</v>
      </c>
      <c r="T1229" s="1">
        <v>42026</v>
      </c>
      <c r="U1229" s="1">
        <v>42033</v>
      </c>
      <c r="V1229" s="2">
        <v>-98.055999999999997</v>
      </c>
      <c r="W1229">
        <v>12</v>
      </c>
      <c r="X1229" s="2">
        <v>83.93</v>
      </c>
      <c r="Y1229">
        <v>88030</v>
      </c>
      <c r="Z1229">
        <f t="shared" si="19"/>
        <v>1007.1600000000001</v>
      </c>
    </row>
    <row r="1230" spans="1:26" x14ac:dyDescent="0.25">
      <c r="A1230">
        <v>19914</v>
      </c>
      <c r="B1230" t="s">
        <v>37</v>
      </c>
      <c r="C1230" s="2">
        <v>0.08</v>
      </c>
      <c r="D1230" s="2">
        <v>95.99</v>
      </c>
      <c r="E1230" s="2">
        <v>35</v>
      </c>
      <c r="F1230">
        <v>2211</v>
      </c>
      <c r="G1230" t="s">
        <v>2092</v>
      </c>
      <c r="H1230" t="s">
        <v>27</v>
      </c>
      <c r="I1230" t="s">
        <v>40</v>
      </c>
      <c r="J1230" t="s">
        <v>29</v>
      </c>
      <c r="K1230" t="s">
        <v>139</v>
      </c>
      <c r="L1230" t="s">
        <v>231</v>
      </c>
      <c r="M1230" t="s">
        <v>2093</v>
      </c>
      <c r="O1230" t="s">
        <v>33</v>
      </c>
      <c r="P1230" t="s">
        <v>53</v>
      </c>
      <c r="Q1230" t="s">
        <v>409</v>
      </c>
      <c r="R1230" t="s">
        <v>2094</v>
      </c>
      <c r="S1230">
        <v>20715</v>
      </c>
      <c r="T1230" s="1">
        <v>42005</v>
      </c>
      <c r="U1230" s="1">
        <v>42007</v>
      </c>
      <c r="V1230" s="2">
        <v>-425.20839999999998</v>
      </c>
      <c r="W1230">
        <v>2</v>
      </c>
      <c r="X1230" s="2">
        <v>193.88</v>
      </c>
      <c r="Y1230">
        <v>88028</v>
      </c>
      <c r="Z1230">
        <f t="shared" si="19"/>
        <v>387.76</v>
      </c>
    </row>
    <row r="1231" spans="1:26" x14ac:dyDescent="0.25">
      <c r="A1231">
        <v>24756</v>
      </c>
      <c r="B1231" t="s">
        <v>25</v>
      </c>
      <c r="C1231" s="2">
        <v>0.09</v>
      </c>
      <c r="D1231" s="2">
        <v>199.99</v>
      </c>
      <c r="E1231" s="2">
        <v>24.49</v>
      </c>
      <c r="F1231">
        <v>2212</v>
      </c>
      <c r="G1231" t="s">
        <v>2095</v>
      </c>
      <c r="H1231" t="s">
        <v>27</v>
      </c>
      <c r="I1231" t="s">
        <v>40</v>
      </c>
      <c r="J1231" t="s">
        <v>77</v>
      </c>
      <c r="K1231" t="s">
        <v>580</v>
      </c>
      <c r="L1231" t="s">
        <v>231</v>
      </c>
      <c r="M1231" t="s">
        <v>1367</v>
      </c>
      <c r="N1231">
        <v>0.46</v>
      </c>
      <c r="O1231" t="s">
        <v>33</v>
      </c>
      <c r="P1231" t="s">
        <v>53</v>
      </c>
      <c r="Q1231" t="s">
        <v>409</v>
      </c>
      <c r="R1231" t="s">
        <v>2096</v>
      </c>
      <c r="S1231">
        <v>21228</v>
      </c>
      <c r="T1231" s="1">
        <v>42113</v>
      </c>
      <c r="U1231" s="1">
        <v>42115</v>
      </c>
      <c r="V1231" s="2">
        <v>631.33000000000004</v>
      </c>
      <c r="W1231">
        <v>5</v>
      </c>
      <c r="X1231" s="2">
        <v>990.25</v>
      </c>
      <c r="Y1231">
        <v>88029</v>
      </c>
      <c r="Z1231">
        <f t="shared" si="19"/>
        <v>4951.25</v>
      </c>
    </row>
    <row r="1232" spans="1:26" x14ac:dyDescent="0.25">
      <c r="A1232">
        <v>23512</v>
      </c>
      <c r="B1232" t="s">
        <v>106</v>
      </c>
      <c r="C1232" s="2">
        <v>7.0000000000000007E-2</v>
      </c>
      <c r="D1232" s="2">
        <v>3.28</v>
      </c>
      <c r="E1232" s="2">
        <v>3.97</v>
      </c>
      <c r="F1232">
        <v>2215</v>
      </c>
      <c r="G1232" t="s">
        <v>2097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999</v>
      </c>
      <c r="N1232">
        <v>0.56000000000000005</v>
      </c>
      <c r="O1232" t="s">
        <v>33</v>
      </c>
      <c r="P1232" t="s">
        <v>53</v>
      </c>
      <c r="Q1232" t="s">
        <v>152</v>
      </c>
      <c r="R1232" t="s">
        <v>2098</v>
      </c>
      <c r="S1232">
        <v>44646</v>
      </c>
      <c r="T1232" s="1">
        <v>42178</v>
      </c>
      <c r="U1232" s="1">
        <v>42178</v>
      </c>
      <c r="V1232" s="2">
        <v>-22.175999999999998</v>
      </c>
      <c r="W1232">
        <v>4</v>
      </c>
      <c r="X1232" s="2">
        <v>14.76</v>
      </c>
      <c r="Y1232">
        <v>90314</v>
      </c>
      <c r="Z1232">
        <f t="shared" si="19"/>
        <v>59.04</v>
      </c>
    </row>
    <row r="1233" spans="1:26" x14ac:dyDescent="0.25">
      <c r="A1233">
        <v>23513</v>
      </c>
      <c r="B1233" t="s">
        <v>106</v>
      </c>
      <c r="C1233" s="2">
        <v>0.02</v>
      </c>
      <c r="D1233" s="2">
        <v>256.99</v>
      </c>
      <c r="E1233" s="2">
        <v>11.25</v>
      </c>
      <c r="F1233">
        <v>2216</v>
      </c>
      <c r="G1233" t="s">
        <v>2099</v>
      </c>
      <c r="H1233" t="s">
        <v>49</v>
      </c>
      <c r="I1233" t="s">
        <v>28</v>
      </c>
      <c r="J1233" t="s">
        <v>77</v>
      </c>
      <c r="K1233" t="s">
        <v>177</v>
      </c>
      <c r="L1233" t="s">
        <v>59</v>
      </c>
      <c r="M1233" t="s">
        <v>1324</v>
      </c>
      <c r="N1233">
        <v>0.51</v>
      </c>
      <c r="O1233" t="s">
        <v>33</v>
      </c>
      <c r="P1233" t="s">
        <v>53</v>
      </c>
      <c r="Q1233" t="s">
        <v>152</v>
      </c>
      <c r="R1233" t="s">
        <v>2100</v>
      </c>
      <c r="S1233">
        <v>44256</v>
      </c>
      <c r="T1233" s="1">
        <v>42178</v>
      </c>
      <c r="U1233" s="1">
        <v>42185</v>
      </c>
      <c r="V1233" s="2">
        <v>-214.10400000000001</v>
      </c>
      <c r="W1233">
        <v>3</v>
      </c>
      <c r="X1233" s="2">
        <v>808.44</v>
      </c>
      <c r="Y1233">
        <v>90314</v>
      </c>
      <c r="Z1233">
        <f t="shared" si="19"/>
        <v>2425.3200000000002</v>
      </c>
    </row>
    <row r="1234" spans="1:26" x14ac:dyDescent="0.25">
      <c r="A1234">
        <v>23514</v>
      </c>
      <c r="B1234" t="s">
        <v>106</v>
      </c>
      <c r="C1234" s="2">
        <v>0.01</v>
      </c>
      <c r="D1234" s="2">
        <v>6.48</v>
      </c>
      <c r="E1234" s="2">
        <v>5.14</v>
      </c>
      <c r="F1234">
        <v>2216</v>
      </c>
      <c r="G1234" t="s">
        <v>2099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929</v>
      </c>
      <c r="N1234">
        <v>0.37</v>
      </c>
      <c r="O1234" t="s">
        <v>33</v>
      </c>
      <c r="P1234" t="s">
        <v>53</v>
      </c>
      <c r="Q1234" t="s">
        <v>152</v>
      </c>
      <c r="R1234" t="s">
        <v>2100</v>
      </c>
      <c r="S1234">
        <v>44256</v>
      </c>
      <c r="T1234" s="1">
        <v>42178</v>
      </c>
      <c r="U1234" s="1">
        <v>42180</v>
      </c>
      <c r="V1234" s="2">
        <v>-26.936</v>
      </c>
      <c r="W1234">
        <v>10</v>
      </c>
      <c r="X1234" s="2">
        <v>67.41</v>
      </c>
      <c r="Y1234">
        <v>90314</v>
      </c>
      <c r="Z1234">
        <f t="shared" si="19"/>
        <v>674.09999999999991</v>
      </c>
    </row>
    <row r="1235" spans="1:26" x14ac:dyDescent="0.25">
      <c r="A1235">
        <v>22712</v>
      </c>
      <c r="B1235" t="s">
        <v>106</v>
      </c>
      <c r="C1235" s="2">
        <v>0.09</v>
      </c>
      <c r="D1235" s="2">
        <v>14.2</v>
      </c>
      <c r="E1235" s="2">
        <v>5.3</v>
      </c>
      <c r="F1235">
        <v>2220</v>
      </c>
      <c r="G1235" t="s">
        <v>2101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722</v>
      </c>
      <c r="N1235">
        <v>0.46</v>
      </c>
      <c r="O1235" t="s">
        <v>33</v>
      </c>
      <c r="P1235" t="s">
        <v>135</v>
      </c>
      <c r="Q1235" t="s">
        <v>356</v>
      </c>
      <c r="R1235" t="s">
        <v>2102</v>
      </c>
      <c r="S1235">
        <v>34787</v>
      </c>
      <c r="T1235" s="1">
        <v>42063</v>
      </c>
      <c r="U1235" s="1">
        <v>42064</v>
      </c>
      <c r="V1235" s="2">
        <v>-324.73</v>
      </c>
      <c r="W1235">
        <v>4</v>
      </c>
      <c r="X1235" s="2">
        <v>55.08</v>
      </c>
      <c r="Y1235">
        <v>91036</v>
      </c>
      <c r="Z1235">
        <f t="shared" si="19"/>
        <v>220.32</v>
      </c>
    </row>
    <row r="1236" spans="1:26" x14ac:dyDescent="0.25">
      <c r="A1236">
        <v>24113</v>
      </c>
      <c r="B1236" t="s">
        <v>47</v>
      </c>
      <c r="C1236" s="2">
        <v>0</v>
      </c>
      <c r="D1236" s="2">
        <v>100.89</v>
      </c>
      <c r="E1236" s="2">
        <v>42</v>
      </c>
      <c r="F1236">
        <v>2225</v>
      </c>
      <c r="G1236" t="s">
        <v>2103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2104</v>
      </c>
      <c r="N1236">
        <v>0.61</v>
      </c>
      <c r="O1236" t="s">
        <v>33</v>
      </c>
      <c r="P1236" t="s">
        <v>34</v>
      </c>
      <c r="Q1236" t="s">
        <v>360</v>
      </c>
      <c r="R1236" t="s">
        <v>2105</v>
      </c>
      <c r="S1236">
        <v>88240</v>
      </c>
      <c r="T1236" s="1">
        <v>42056</v>
      </c>
      <c r="U1236" s="1">
        <v>42057</v>
      </c>
      <c r="V1236" s="2">
        <v>1500.12</v>
      </c>
      <c r="W1236">
        <v>15</v>
      </c>
      <c r="X1236" s="2">
        <v>1608.11</v>
      </c>
      <c r="Y1236">
        <v>89970</v>
      </c>
      <c r="Z1236">
        <f t="shared" si="19"/>
        <v>24121.649999999998</v>
      </c>
    </row>
    <row r="1237" spans="1:26" x14ac:dyDescent="0.25">
      <c r="A1237">
        <v>18820</v>
      </c>
      <c r="B1237" t="s">
        <v>106</v>
      </c>
      <c r="C1237" s="2">
        <v>0.01</v>
      </c>
      <c r="D1237" s="2">
        <v>13.43</v>
      </c>
      <c r="E1237" s="2">
        <v>5.5</v>
      </c>
      <c r="F1237">
        <v>2240</v>
      </c>
      <c r="G1237" t="s">
        <v>2106</v>
      </c>
      <c r="H1237" t="s">
        <v>27</v>
      </c>
      <c r="I1237" t="s">
        <v>28</v>
      </c>
      <c r="J1237" t="s">
        <v>29</v>
      </c>
      <c r="K1237" t="s">
        <v>139</v>
      </c>
      <c r="L1237" t="s">
        <v>59</v>
      </c>
      <c r="M1237" t="s">
        <v>1688</v>
      </c>
      <c r="N1237">
        <v>0.56999999999999995</v>
      </c>
      <c r="O1237" t="s">
        <v>33</v>
      </c>
      <c r="P1237" t="s">
        <v>135</v>
      </c>
      <c r="Q1237" t="s">
        <v>356</v>
      </c>
      <c r="R1237" t="s">
        <v>2107</v>
      </c>
      <c r="S1237">
        <v>33801</v>
      </c>
      <c r="T1237" s="1">
        <v>42100</v>
      </c>
      <c r="U1237" s="1">
        <v>42107</v>
      </c>
      <c r="V1237" s="2">
        <v>-313.02179999999998</v>
      </c>
      <c r="W1237">
        <v>7</v>
      </c>
      <c r="X1237" s="2">
        <v>99.75</v>
      </c>
      <c r="Y1237">
        <v>89102</v>
      </c>
      <c r="Z1237">
        <f t="shared" si="19"/>
        <v>698.25</v>
      </c>
    </row>
    <row r="1238" spans="1:26" x14ac:dyDescent="0.25">
      <c r="A1238">
        <v>24121</v>
      </c>
      <c r="B1238" t="s">
        <v>106</v>
      </c>
      <c r="C1238" s="2">
        <v>0</v>
      </c>
      <c r="D1238" s="2">
        <v>2.08</v>
      </c>
      <c r="E1238" s="2">
        <v>5.33</v>
      </c>
      <c r="F1238">
        <v>2250</v>
      </c>
      <c r="G1238" t="s">
        <v>2108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736</v>
      </c>
      <c r="N1238">
        <v>0.43</v>
      </c>
      <c r="O1238" t="s">
        <v>33</v>
      </c>
      <c r="P1238" t="s">
        <v>53</v>
      </c>
      <c r="Q1238" t="s">
        <v>229</v>
      </c>
      <c r="R1238" t="s">
        <v>2109</v>
      </c>
      <c r="S1238">
        <v>16801</v>
      </c>
      <c r="T1238" s="1">
        <v>42107</v>
      </c>
      <c r="U1238" s="1">
        <v>42114</v>
      </c>
      <c r="V1238" s="2">
        <v>-192.5532</v>
      </c>
      <c r="W1238">
        <v>22</v>
      </c>
      <c r="X1238" s="2">
        <v>51.41</v>
      </c>
      <c r="Y1238">
        <v>86699</v>
      </c>
      <c r="Z1238">
        <f t="shared" si="19"/>
        <v>1131.02</v>
      </c>
    </row>
    <row r="1239" spans="1:26" x14ac:dyDescent="0.25">
      <c r="A1239">
        <v>25440</v>
      </c>
      <c r="B1239" t="s">
        <v>106</v>
      </c>
      <c r="C1239" s="2">
        <v>0.1</v>
      </c>
      <c r="D1239" s="2">
        <v>6.3</v>
      </c>
      <c r="E1239" s="2">
        <v>0.5</v>
      </c>
      <c r="F1239">
        <v>2254</v>
      </c>
      <c r="G1239" t="s">
        <v>2110</v>
      </c>
      <c r="H1239" t="s">
        <v>49</v>
      </c>
      <c r="I1239" t="s">
        <v>28</v>
      </c>
      <c r="J1239" t="s">
        <v>29</v>
      </c>
      <c r="K1239" t="s">
        <v>133</v>
      </c>
      <c r="L1239" t="s">
        <v>59</v>
      </c>
      <c r="M1239" t="s">
        <v>1147</v>
      </c>
      <c r="N1239">
        <v>0.39</v>
      </c>
      <c r="O1239" t="s">
        <v>33</v>
      </c>
      <c r="P1239" t="s">
        <v>135</v>
      </c>
      <c r="Q1239" t="s">
        <v>606</v>
      </c>
      <c r="R1239" t="s">
        <v>2111</v>
      </c>
      <c r="S1239">
        <v>42003</v>
      </c>
      <c r="T1239" s="1">
        <v>42031</v>
      </c>
      <c r="U1239" s="1">
        <v>42036</v>
      </c>
      <c r="V1239" s="2">
        <v>-464.28199999999998</v>
      </c>
      <c r="W1239">
        <v>12</v>
      </c>
      <c r="X1239" s="2">
        <v>68.72</v>
      </c>
      <c r="Y1239">
        <v>89278</v>
      </c>
      <c r="Z1239">
        <f t="shared" si="19"/>
        <v>824.64</v>
      </c>
    </row>
    <row r="1240" spans="1:26" x14ac:dyDescent="0.25">
      <c r="A1240">
        <v>20639</v>
      </c>
      <c r="B1240" t="s">
        <v>25</v>
      </c>
      <c r="C1240" s="2">
        <v>0.1</v>
      </c>
      <c r="D1240" s="2">
        <v>48.91</v>
      </c>
      <c r="E1240" s="2">
        <v>5.97</v>
      </c>
      <c r="F1240">
        <v>2254</v>
      </c>
      <c r="G1240" t="s">
        <v>2110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2112</v>
      </c>
      <c r="N1240">
        <v>0.38</v>
      </c>
      <c r="O1240" t="s">
        <v>33</v>
      </c>
      <c r="P1240" t="s">
        <v>135</v>
      </c>
      <c r="Q1240" t="s">
        <v>606</v>
      </c>
      <c r="R1240" t="s">
        <v>2111</v>
      </c>
      <c r="S1240">
        <v>42003</v>
      </c>
      <c r="T1240" s="1">
        <v>42122</v>
      </c>
      <c r="U1240" s="1">
        <v>42124</v>
      </c>
      <c r="V1240" s="2">
        <v>156.74340000000001</v>
      </c>
      <c r="W1240">
        <v>14</v>
      </c>
      <c r="X1240" s="2">
        <v>618.96</v>
      </c>
      <c r="Y1240">
        <v>89279</v>
      </c>
      <c r="Z1240">
        <f t="shared" si="19"/>
        <v>8665.44</v>
      </c>
    </row>
    <row r="1241" spans="1:26" x14ac:dyDescent="0.25">
      <c r="A1241">
        <v>20640</v>
      </c>
      <c r="B1241" t="s">
        <v>25</v>
      </c>
      <c r="C1241" s="2">
        <v>0.08</v>
      </c>
      <c r="D1241" s="2">
        <v>5.98</v>
      </c>
      <c r="E1241" s="2">
        <v>5.46</v>
      </c>
      <c r="F1241">
        <v>2254</v>
      </c>
      <c r="G1241" t="s">
        <v>2110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1040</v>
      </c>
      <c r="N1241">
        <v>0.36</v>
      </c>
      <c r="O1241" t="s">
        <v>33</v>
      </c>
      <c r="P1241" t="s">
        <v>135</v>
      </c>
      <c r="Q1241" t="s">
        <v>606</v>
      </c>
      <c r="R1241" t="s">
        <v>2111</v>
      </c>
      <c r="S1241">
        <v>42003</v>
      </c>
      <c r="T1241" s="1">
        <v>42122</v>
      </c>
      <c r="U1241" s="1">
        <v>42122</v>
      </c>
      <c r="V1241" s="2">
        <v>110.11799999999999</v>
      </c>
      <c r="W1241">
        <v>13</v>
      </c>
      <c r="X1241" s="2">
        <v>77.540000000000006</v>
      </c>
      <c r="Y1241">
        <v>89279</v>
      </c>
      <c r="Z1241">
        <f t="shared" si="19"/>
        <v>1008.0200000000001</v>
      </c>
    </row>
    <row r="1242" spans="1:26" x14ac:dyDescent="0.25">
      <c r="A1242">
        <v>19054</v>
      </c>
      <c r="B1242" t="s">
        <v>47</v>
      </c>
      <c r="C1242" s="2">
        <v>7.0000000000000007E-2</v>
      </c>
      <c r="D1242" s="2">
        <v>60.97</v>
      </c>
      <c r="E1242" s="2">
        <v>4.5</v>
      </c>
      <c r="F1242">
        <v>2256</v>
      </c>
      <c r="G1242" t="s">
        <v>2113</v>
      </c>
      <c r="H1242" t="s">
        <v>27</v>
      </c>
      <c r="I1242" t="s">
        <v>28</v>
      </c>
      <c r="J1242" t="s">
        <v>29</v>
      </c>
      <c r="K1242" t="s">
        <v>252</v>
      </c>
      <c r="L1242" t="s">
        <v>59</v>
      </c>
      <c r="M1242" t="s">
        <v>2114</v>
      </c>
      <c r="N1242">
        <v>0.56000000000000005</v>
      </c>
      <c r="O1242" t="s">
        <v>33</v>
      </c>
      <c r="P1242" t="s">
        <v>135</v>
      </c>
      <c r="Q1242" t="s">
        <v>316</v>
      </c>
      <c r="R1242" t="s">
        <v>2071</v>
      </c>
      <c r="S1242">
        <v>28560</v>
      </c>
      <c r="T1242" s="1">
        <v>42006</v>
      </c>
      <c r="U1242" s="1">
        <v>42008</v>
      </c>
      <c r="V1242" s="2">
        <v>-42.588000000000001</v>
      </c>
      <c r="W1242">
        <v>6</v>
      </c>
      <c r="X1242" s="2">
        <v>361.72</v>
      </c>
      <c r="Y1242">
        <v>87963</v>
      </c>
      <c r="Z1242">
        <f t="shared" si="19"/>
        <v>2170.3200000000002</v>
      </c>
    </row>
    <row r="1243" spans="1:26" x14ac:dyDescent="0.25">
      <c r="A1243">
        <v>18652</v>
      </c>
      <c r="B1243" t="s">
        <v>56</v>
      </c>
      <c r="C1243" s="2">
        <v>7.0000000000000007E-2</v>
      </c>
      <c r="D1243" s="2">
        <v>70.98</v>
      </c>
      <c r="E1243" s="2">
        <v>30</v>
      </c>
      <c r="F1243">
        <v>2256</v>
      </c>
      <c r="G1243" t="s">
        <v>2113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2115</v>
      </c>
      <c r="N1243">
        <v>0.73</v>
      </c>
      <c r="O1243" t="s">
        <v>33</v>
      </c>
      <c r="P1243" t="s">
        <v>135</v>
      </c>
      <c r="Q1243" t="s">
        <v>316</v>
      </c>
      <c r="R1243" t="s">
        <v>2071</v>
      </c>
      <c r="S1243">
        <v>28560</v>
      </c>
      <c r="T1243" s="1">
        <v>42087</v>
      </c>
      <c r="U1243" s="1">
        <v>42089</v>
      </c>
      <c r="V1243" s="2">
        <v>-222.95</v>
      </c>
      <c r="W1243">
        <v>20</v>
      </c>
      <c r="X1243" s="2">
        <v>1373.47</v>
      </c>
      <c r="Y1243">
        <v>87964</v>
      </c>
      <c r="Z1243">
        <f t="shared" si="19"/>
        <v>27469.4</v>
      </c>
    </row>
    <row r="1244" spans="1:26" x14ac:dyDescent="0.25">
      <c r="A1244">
        <v>21937</v>
      </c>
      <c r="B1244" t="s">
        <v>25</v>
      </c>
      <c r="C1244" s="2">
        <v>0.06</v>
      </c>
      <c r="D1244" s="2">
        <v>6.68</v>
      </c>
      <c r="E1244" s="2">
        <v>6.93</v>
      </c>
      <c r="F1244">
        <v>2257</v>
      </c>
      <c r="G1244" t="s">
        <v>2116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2117</v>
      </c>
      <c r="N1244">
        <v>0.37</v>
      </c>
      <c r="O1244" t="s">
        <v>33</v>
      </c>
      <c r="P1244" t="s">
        <v>135</v>
      </c>
      <c r="Q1244" t="s">
        <v>316</v>
      </c>
      <c r="R1244" t="s">
        <v>2118</v>
      </c>
      <c r="S1244">
        <v>27604</v>
      </c>
      <c r="T1244" s="1">
        <v>42167</v>
      </c>
      <c r="U1244" s="1">
        <v>42168</v>
      </c>
      <c r="V1244" s="2">
        <v>7.6245000000000003</v>
      </c>
      <c r="W1244">
        <v>14</v>
      </c>
      <c r="X1244" s="2">
        <v>91.92</v>
      </c>
      <c r="Y1244">
        <v>87965</v>
      </c>
      <c r="Z1244">
        <f t="shared" si="19"/>
        <v>1286.8800000000001</v>
      </c>
    </row>
    <row r="1245" spans="1:26" x14ac:dyDescent="0.25">
      <c r="A1245">
        <v>26361</v>
      </c>
      <c r="B1245" t="s">
        <v>106</v>
      </c>
      <c r="C1245" s="2">
        <v>0.01</v>
      </c>
      <c r="D1245" s="2">
        <v>7.64</v>
      </c>
      <c r="E1245" s="2">
        <v>1.39</v>
      </c>
      <c r="F1245">
        <v>2258</v>
      </c>
      <c r="G1245" t="s">
        <v>2119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1228</v>
      </c>
      <c r="N1245">
        <v>0.36</v>
      </c>
      <c r="O1245" t="s">
        <v>33</v>
      </c>
      <c r="P1245" t="s">
        <v>135</v>
      </c>
      <c r="Q1245" t="s">
        <v>316</v>
      </c>
      <c r="R1245" t="s">
        <v>2120</v>
      </c>
      <c r="S1245">
        <v>27801</v>
      </c>
      <c r="T1245" s="1">
        <v>42072</v>
      </c>
      <c r="U1245" s="1">
        <v>42076</v>
      </c>
      <c r="V1245" s="2">
        <v>-1676.6120000000001</v>
      </c>
      <c r="W1245">
        <v>9</v>
      </c>
      <c r="X1245" s="2">
        <v>73.290000000000006</v>
      </c>
      <c r="Y1245">
        <v>87962</v>
      </c>
      <c r="Z1245">
        <f t="shared" si="19"/>
        <v>659.61</v>
      </c>
    </row>
    <row r="1246" spans="1:26" x14ac:dyDescent="0.25">
      <c r="A1246">
        <v>26362</v>
      </c>
      <c r="B1246" t="s">
        <v>106</v>
      </c>
      <c r="C1246" s="2">
        <v>7.0000000000000007E-2</v>
      </c>
      <c r="D1246" s="2">
        <v>400.97</v>
      </c>
      <c r="E1246" s="2">
        <v>48.26</v>
      </c>
      <c r="F1246">
        <v>2258</v>
      </c>
      <c r="G1246" t="s">
        <v>2119</v>
      </c>
      <c r="H1246" t="s">
        <v>39</v>
      </c>
      <c r="I1246" t="s">
        <v>28</v>
      </c>
      <c r="J1246" t="s">
        <v>77</v>
      </c>
      <c r="K1246" t="s">
        <v>85</v>
      </c>
      <c r="L1246" t="s">
        <v>120</v>
      </c>
      <c r="M1246" t="s">
        <v>1270</v>
      </c>
      <c r="N1246">
        <v>0.36</v>
      </c>
      <c r="O1246" t="s">
        <v>33</v>
      </c>
      <c r="P1246" t="s">
        <v>135</v>
      </c>
      <c r="Q1246" t="s">
        <v>316</v>
      </c>
      <c r="R1246" t="s">
        <v>2120</v>
      </c>
      <c r="S1246">
        <v>27801</v>
      </c>
      <c r="T1246" s="1">
        <v>42072</v>
      </c>
      <c r="U1246" s="1">
        <v>42076</v>
      </c>
      <c r="V1246" s="2">
        <v>45.127800000000001</v>
      </c>
      <c r="W1246">
        <v>8</v>
      </c>
      <c r="X1246" s="2">
        <v>2961.32</v>
      </c>
      <c r="Y1246">
        <v>87962</v>
      </c>
      <c r="Z1246">
        <f t="shared" si="19"/>
        <v>23690.560000000001</v>
      </c>
    </row>
    <row r="1247" spans="1:26" x14ac:dyDescent="0.25">
      <c r="A1247">
        <v>20187</v>
      </c>
      <c r="B1247" t="s">
        <v>47</v>
      </c>
      <c r="C1247" s="2">
        <v>0.02</v>
      </c>
      <c r="D1247" s="2">
        <v>4.9800000000000004</v>
      </c>
      <c r="E1247" s="2">
        <v>0.49</v>
      </c>
      <c r="F1247">
        <v>2260</v>
      </c>
      <c r="G1247" t="s">
        <v>2121</v>
      </c>
      <c r="H1247" t="s">
        <v>49</v>
      </c>
      <c r="I1247" t="s">
        <v>28</v>
      </c>
      <c r="J1247" t="s">
        <v>29</v>
      </c>
      <c r="K1247" t="s">
        <v>133</v>
      </c>
      <c r="L1247" t="s">
        <v>59</v>
      </c>
      <c r="M1247" t="s">
        <v>1409</v>
      </c>
      <c r="N1247">
        <v>0.39</v>
      </c>
      <c r="O1247" t="s">
        <v>33</v>
      </c>
      <c r="P1247" t="s">
        <v>135</v>
      </c>
      <c r="Q1247" t="s">
        <v>381</v>
      </c>
      <c r="R1247" t="s">
        <v>2122</v>
      </c>
      <c r="S1247">
        <v>30161</v>
      </c>
      <c r="T1247" s="1">
        <v>42050</v>
      </c>
      <c r="U1247" s="1">
        <v>42051</v>
      </c>
      <c r="V1247" s="2">
        <v>-52.863999999999997</v>
      </c>
      <c r="W1247">
        <v>17</v>
      </c>
      <c r="X1247" s="2">
        <v>87.11</v>
      </c>
      <c r="Y1247">
        <v>89601</v>
      </c>
      <c r="Z1247">
        <f t="shared" si="19"/>
        <v>1480.87</v>
      </c>
    </row>
    <row r="1248" spans="1:26" x14ac:dyDescent="0.25">
      <c r="A1248">
        <v>20188</v>
      </c>
      <c r="B1248" t="s">
        <v>47</v>
      </c>
      <c r="C1248" s="2">
        <v>0.01</v>
      </c>
      <c r="D1248" s="2">
        <v>20.99</v>
      </c>
      <c r="E1248" s="2">
        <v>0.99</v>
      </c>
      <c r="F1248">
        <v>2260</v>
      </c>
      <c r="G1248" t="s">
        <v>2121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2123</v>
      </c>
      <c r="N1248">
        <v>0.83</v>
      </c>
      <c r="O1248" t="s">
        <v>33</v>
      </c>
      <c r="P1248" t="s">
        <v>135</v>
      </c>
      <c r="Q1248" t="s">
        <v>381</v>
      </c>
      <c r="R1248" t="s">
        <v>2122</v>
      </c>
      <c r="S1248">
        <v>30161</v>
      </c>
      <c r="T1248" s="1">
        <v>42050</v>
      </c>
      <c r="U1248" s="1">
        <v>42051</v>
      </c>
      <c r="V1248" s="2">
        <v>45.378</v>
      </c>
      <c r="W1248">
        <v>9</v>
      </c>
      <c r="X1248" s="2">
        <v>170.46</v>
      </c>
      <c r="Y1248">
        <v>89601</v>
      </c>
      <c r="Z1248">
        <f t="shared" si="19"/>
        <v>1534.14</v>
      </c>
    </row>
    <row r="1249" spans="1:26" x14ac:dyDescent="0.25">
      <c r="A1249">
        <v>19569</v>
      </c>
      <c r="B1249" t="s">
        <v>25</v>
      </c>
      <c r="C1249" s="2">
        <v>0.08</v>
      </c>
      <c r="D1249" s="2">
        <v>4.9800000000000004</v>
      </c>
      <c r="E1249" s="2">
        <v>0.49</v>
      </c>
      <c r="F1249">
        <v>2260</v>
      </c>
      <c r="G1249" t="s">
        <v>2121</v>
      </c>
      <c r="H1249" t="s">
        <v>49</v>
      </c>
      <c r="I1249" t="s">
        <v>28</v>
      </c>
      <c r="J1249" t="s">
        <v>29</v>
      </c>
      <c r="K1249" t="s">
        <v>133</v>
      </c>
      <c r="L1249" t="s">
        <v>59</v>
      </c>
      <c r="M1249" t="s">
        <v>1409</v>
      </c>
      <c r="N1249">
        <v>0.39</v>
      </c>
      <c r="O1249" t="s">
        <v>33</v>
      </c>
      <c r="P1249" t="s">
        <v>135</v>
      </c>
      <c r="Q1249" t="s">
        <v>381</v>
      </c>
      <c r="R1249" t="s">
        <v>2122</v>
      </c>
      <c r="S1249">
        <v>30161</v>
      </c>
      <c r="T1249" s="1">
        <v>42115</v>
      </c>
      <c r="U1249" s="1">
        <v>42116</v>
      </c>
      <c r="V1249" s="2">
        <v>4949.9160000000002</v>
      </c>
      <c r="W1249">
        <v>1</v>
      </c>
      <c r="X1249" s="2">
        <v>4.95</v>
      </c>
      <c r="Y1249">
        <v>89602</v>
      </c>
      <c r="Z1249">
        <f t="shared" si="19"/>
        <v>4.95</v>
      </c>
    </row>
    <row r="1250" spans="1:26" x14ac:dyDescent="0.25">
      <c r="A1250">
        <v>19570</v>
      </c>
      <c r="B1250" t="s">
        <v>25</v>
      </c>
      <c r="C1250" s="2">
        <v>0.09</v>
      </c>
      <c r="D1250" s="2">
        <v>119.99</v>
      </c>
      <c r="E1250" s="2">
        <v>14</v>
      </c>
      <c r="F1250">
        <v>2260</v>
      </c>
      <c r="G1250" t="s">
        <v>2121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881</v>
      </c>
      <c r="N1250">
        <v>0.36</v>
      </c>
      <c r="O1250" t="s">
        <v>33</v>
      </c>
      <c r="P1250" t="s">
        <v>135</v>
      </c>
      <c r="Q1250" t="s">
        <v>381</v>
      </c>
      <c r="R1250" t="s">
        <v>2122</v>
      </c>
      <c r="S1250">
        <v>30161</v>
      </c>
      <c r="T1250" s="1">
        <v>42115</v>
      </c>
      <c r="U1250" s="1">
        <v>42117</v>
      </c>
      <c r="V1250" s="2">
        <v>1055.604</v>
      </c>
      <c r="W1250">
        <v>4</v>
      </c>
      <c r="X1250" s="2">
        <v>461.24</v>
      </c>
      <c r="Y1250">
        <v>89602</v>
      </c>
      <c r="Z1250">
        <f t="shared" si="19"/>
        <v>1844.96</v>
      </c>
    </row>
    <row r="1251" spans="1:26" x14ac:dyDescent="0.25">
      <c r="A1251">
        <v>18142</v>
      </c>
      <c r="B1251" t="s">
        <v>37</v>
      </c>
      <c r="C1251" s="2">
        <v>0.09</v>
      </c>
      <c r="D1251" s="2">
        <v>207.48</v>
      </c>
      <c r="E1251" s="2">
        <v>0.99</v>
      </c>
      <c r="F1251">
        <v>2264</v>
      </c>
      <c r="G1251" t="s">
        <v>2124</v>
      </c>
      <c r="H1251" t="s">
        <v>49</v>
      </c>
      <c r="I1251" t="s">
        <v>28</v>
      </c>
      <c r="J1251" t="s">
        <v>29</v>
      </c>
      <c r="K1251" t="s">
        <v>252</v>
      </c>
      <c r="L1251" t="s">
        <v>59</v>
      </c>
      <c r="M1251" t="s">
        <v>2125</v>
      </c>
      <c r="N1251">
        <v>0.55000000000000004</v>
      </c>
      <c r="O1251" t="s">
        <v>33</v>
      </c>
      <c r="P1251" t="s">
        <v>61</v>
      </c>
      <c r="Q1251" t="s">
        <v>499</v>
      </c>
      <c r="R1251" t="s">
        <v>2126</v>
      </c>
      <c r="S1251">
        <v>64804</v>
      </c>
      <c r="T1251" s="1">
        <v>42030</v>
      </c>
      <c r="U1251" s="1">
        <v>42033</v>
      </c>
      <c r="V1251" s="2">
        <v>359.83</v>
      </c>
      <c r="W1251">
        <v>3</v>
      </c>
      <c r="X1251" s="2">
        <v>577.75</v>
      </c>
      <c r="Y1251">
        <v>86611</v>
      </c>
      <c r="Z1251">
        <f t="shared" si="19"/>
        <v>1733.25</v>
      </c>
    </row>
    <row r="1252" spans="1:26" x14ac:dyDescent="0.25">
      <c r="A1252">
        <v>19171</v>
      </c>
      <c r="B1252" t="s">
        <v>47</v>
      </c>
      <c r="C1252" s="2">
        <v>0.1</v>
      </c>
      <c r="D1252" s="2">
        <v>7.45</v>
      </c>
      <c r="E1252" s="2">
        <v>6.28</v>
      </c>
      <c r="F1252">
        <v>2265</v>
      </c>
      <c r="G1252" t="s">
        <v>2127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2128</v>
      </c>
      <c r="N1252">
        <v>0.4</v>
      </c>
      <c r="O1252" t="s">
        <v>33</v>
      </c>
      <c r="P1252" t="s">
        <v>61</v>
      </c>
      <c r="Q1252" t="s">
        <v>499</v>
      </c>
      <c r="R1252" t="s">
        <v>2129</v>
      </c>
      <c r="S1252">
        <v>64130</v>
      </c>
      <c r="T1252" s="1">
        <v>42033</v>
      </c>
      <c r="U1252" s="1">
        <v>42036</v>
      </c>
      <c r="V1252" s="2">
        <v>-69.873999999999995</v>
      </c>
      <c r="W1252">
        <v>8</v>
      </c>
      <c r="X1252" s="2">
        <v>59.4</v>
      </c>
      <c r="Y1252">
        <v>86612</v>
      </c>
      <c r="Z1252">
        <f t="shared" si="19"/>
        <v>475.2</v>
      </c>
    </row>
    <row r="1253" spans="1:26" x14ac:dyDescent="0.25">
      <c r="A1253">
        <v>19172</v>
      </c>
      <c r="B1253" t="s">
        <v>47</v>
      </c>
      <c r="C1253" s="2">
        <v>0.01</v>
      </c>
      <c r="D1253" s="2">
        <v>6.48</v>
      </c>
      <c r="E1253" s="2">
        <v>7.86</v>
      </c>
      <c r="F1253">
        <v>2265</v>
      </c>
      <c r="G1253" t="s">
        <v>2127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1110</v>
      </c>
      <c r="N1253">
        <v>0.37</v>
      </c>
      <c r="O1253" t="s">
        <v>33</v>
      </c>
      <c r="P1253" t="s">
        <v>61</v>
      </c>
      <c r="Q1253" t="s">
        <v>499</v>
      </c>
      <c r="R1253" t="s">
        <v>2129</v>
      </c>
      <c r="S1253">
        <v>64130</v>
      </c>
      <c r="T1253" s="1">
        <v>42033</v>
      </c>
      <c r="U1253" s="1">
        <v>42035</v>
      </c>
      <c r="V1253" s="2">
        <v>-135.74</v>
      </c>
      <c r="W1253">
        <v>10</v>
      </c>
      <c r="X1253" s="2">
        <v>66.459999999999994</v>
      </c>
      <c r="Y1253">
        <v>86612</v>
      </c>
      <c r="Z1253">
        <f t="shared" si="19"/>
        <v>664.59999999999991</v>
      </c>
    </row>
    <row r="1254" spans="1:26" x14ac:dyDescent="0.25">
      <c r="A1254">
        <v>25996</v>
      </c>
      <c r="B1254" t="s">
        <v>47</v>
      </c>
      <c r="C1254" s="2">
        <v>0.02</v>
      </c>
      <c r="D1254" s="2">
        <v>11.33</v>
      </c>
      <c r="E1254" s="2">
        <v>6.12</v>
      </c>
      <c r="F1254">
        <v>2266</v>
      </c>
      <c r="G1254" t="s">
        <v>2130</v>
      </c>
      <c r="H1254" t="s">
        <v>49</v>
      </c>
      <c r="I1254" t="s">
        <v>28</v>
      </c>
      <c r="J1254" t="s">
        <v>29</v>
      </c>
      <c r="K1254" t="s">
        <v>252</v>
      </c>
      <c r="L1254" t="s">
        <v>86</v>
      </c>
      <c r="M1254" t="s">
        <v>2131</v>
      </c>
      <c r="N1254">
        <v>0.42</v>
      </c>
      <c r="O1254" t="s">
        <v>33</v>
      </c>
      <c r="P1254" t="s">
        <v>61</v>
      </c>
      <c r="Q1254" t="s">
        <v>499</v>
      </c>
      <c r="R1254" t="s">
        <v>2132</v>
      </c>
      <c r="S1254">
        <v>63122</v>
      </c>
      <c r="T1254" s="1">
        <v>42150</v>
      </c>
      <c r="U1254" s="1">
        <v>42152</v>
      </c>
      <c r="V1254" s="2">
        <v>-14.52</v>
      </c>
      <c r="W1254">
        <v>3</v>
      </c>
      <c r="X1254" s="2">
        <v>35.35</v>
      </c>
      <c r="Y1254">
        <v>86610</v>
      </c>
      <c r="Z1254">
        <f t="shared" si="19"/>
        <v>106.05000000000001</v>
      </c>
    </row>
    <row r="1255" spans="1:26" x14ac:dyDescent="0.25">
      <c r="A1255">
        <v>25997</v>
      </c>
      <c r="B1255" t="s">
        <v>47</v>
      </c>
      <c r="C1255" s="2">
        <v>0.01</v>
      </c>
      <c r="D1255" s="2">
        <v>15.67</v>
      </c>
      <c r="E1255" s="2">
        <v>1.39</v>
      </c>
      <c r="F1255">
        <v>2266</v>
      </c>
      <c r="G1255" t="s">
        <v>2130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1686</v>
      </c>
      <c r="N1255">
        <v>0.38</v>
      </c>
      <c r="O1255" t="s">
        <v>33</v>
      </c>
      <c r="P1255" t="s">
        <v>61</v>
      </c>
      <c r="Q1255" t="s">
        <v>499</v>
      </c>
      <c r="R1255" t="s">
        <v>2132</v>
      </c>
      <c r="S1255">
        <v>63122</v>
      </c>
      <c r="T1255" s="1">
        <v>42150</v>
      </c>
      <c r="U1255" s="1">
        <v>42151</v>
      </c>
      <c r="V1255" s="2">
        <v>171.26490000000001</v>
      </c>
      <c r="W1255">
        <v>16</v>
      </c>
      <c r="X1255" s="2">
        <v>248.21</v>
      </c>
      <c r="Y1255">
        <v>86610</v>
      </c>
      <c r="Z1255">
        <f t="shared" si="19"/>
        <v>3971.36</v>
      </c>
    </row>
    <row r="1256" spans="1:26" x14ac:dyDescent="0.25">
      <c r="A1256">
        <v>19072</v>
      </c>
      <c r="B1256" t="s">
        <v>106</v>
      </c>
      <c r="C1256" s="2">
        <v>0.08</v>
      </c>
      <c r="D1256" s="2">
        <v>259.70999999999998</v>
      </c>
      <c r="E1256" s="2">
        <v>66.67</v>
      </c>
      <c r="F1256">
        <v>2268</v>
      </c>
      <c r="G1256" t="s">
        <v>2133</v>
      </c>
      <c r="H1256" t="s">
        <v>39</v>
      </c>
      <c r="I1256" t="s">
        <v>58</v>
      </c>
      <c r="J1256" t="s">
        <v>41</v>
      </c>
      <c r="K1256" t="s">
        <v>150</v>
      </c>
      <c r="L1256" t="s">
        <v>120</v>
      </c>
      <c r="M1256" t="s">
        <v>336</v>
      </c>
      <c r="N1256">
        <v>0.61</v>
      </c>
      <c r="O1256" t="s">
        <v>33</v>
      </c>
      <c r="P1256" t="s">
        <v>135</v>
      </c>
      <c r="Q1256" t="s">
        <v>356</v>
      </c>
      <c r="R1256" t="s">
        <v>2134</v>
      </c>
      <c r="S1256">
        <v>34639</v>
      </c>
      <c r="T1256" s="1">
        <v>42158</v>
      </c>
      <c r="U1256" s="1">
        <v>42162</v>
      </c>
      <c r="V1256" s="2">
        <v>138.22200000000001</v>
      </c>
      <c r="W1256">
        <v>17</v>
      </c>
      <c r="X1256" s="2">
        <v>4086.5</v>
      </c>
      <c r="Y1256">
        <v>89571</v>
      </c>
      <c r="Z1256">
        <f t="shared" si="19"/>
        <v>69470.5</v>
      </c>
    </row>
    <row r="1257" spans="1:26" x14ac:dyDescent="0.25">
      <c r="A1257">
        <v>23963</v>
      </c>
      <c r="B1257" t="s">
        <v>106</v>
      </c>
      <c r="C1257" s="2">
        <v>0.01</v>
      </c>
      <c r="D1257" s="2">
        <v>20.48</v>
      </c>
      <c r="E1257" s="2">
        <v>6.32</v>
      </c>
      <c r="F1257">
        <v>2270</v>
      </c>
      <c r="G1257" t="s">
        <v>2135</v>
      </c>
      <c r="H1257" t="s">
        <v>49</v>
      </c>
      <c r="I1257" t="s">
        <v>58</v>
      </c>
      <c r="J1257" t="s">
        <v>29</v>
      </c>
      <c r="K1257" t="s">
        <v>252</v>
      </c>
      <c r="L1257" t="s">
        <v>59</v>
      </c>
      <c r="M1257" t="s">
        <v>1905</v>
      </c>
      <c r="N1257">
        <v>0.57999999999999996</v>
      </c>
      <c r="O1257" t="s">
        <v>33</v>
      </c>
      <c r="P1257" t="s">
        <v>135</v>
      </c>
      <c r="Q1257" t="s">
        <v>923</v>
      </c>
      <c r="R1257" t="s">
        <v>2136</v>
      </c>
      <c r="S1257">
        <v>29662</v>
      </c>
      <c r="T1257" s="1">
        <v>42041</v>
      </c>
      <c r="U1257" s="1">
        <v>42043</v>
      </c>
      <c r="V1257" s="2">
        <v>711.24480000000005</v>
      </c>
      <c r="W1257">
        <v>18</v>
      </c>
      <c r="X1257" s="2">
        <v>375.03</v>
      </c>
      <c r="Y1257">
        <v>89572</v>
      </c>
      <c r="Z1257">
        <f t="shared" si="19"/>
        <v>6750.5399999999991</v>
      </c>
    </row>
    <row r="1258" spans="1:26" x14ac:dyDescent="0.25">
      <c r="A1258">
        <v>23964</v>
      </c>
      <c r="B1258" t="s">
        <v>106</v>
      </c>
      <c r="C1258" s="2">
        <v>0.09</v>
      </c>
      <c r="D1258" s="2">
        <v>1.86</v>
      </c>
      <c r="E1258" s="2">
        <v>2.58</v>
      </c>
      <c r="F1258">
        <v>2270</v>
      </c>
      <c r="G1258" t="s">
        <v>2135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303</v>
      </c>
      <c r="N1258">
        <v>0.82</v>
      </c>
      <c r="O1258" t="s">
        <v>33</v>
      </c>
      <c r="P1258" t="s">
        <v>135</v>
      </c>
      <c r="Q1258" t="s">
        <v>923</v>
      </c>
      <c r="R1258" t="s">
        <v>2136</v>
      </c>
      <c r="S1258">
        <v>29662</v>
      </c>
      <c r="T1258" s="1">
        <v>42041</v>
      </c>
      <c r="U1258" s="1">
        <v>42046</v>
      </c>
      <c r="V1258" s="2">
        <v>-1084.846963</v>
      </c>
      <c r="W1258">
        <v>12</v>
      </c>
      <c r="X1258" s="2">
        <v>22.11</v>
      </c>
      <c r="Y1258">
        <v>89572</v>
      </c>
      <c r="Z1258">
        <f t="shared" si="19"/>
        <v>265.32</v>
      </c>
    </row>
    <row r="1259" spans="1:26" x14ac:dyDescent="0.25">
      <c r="A1259">
        <v>23965</v>
      </c>
      <c r="B1259" t="s">
        <v>106</v>
      </c>
      <c r="C1259" s="2">
        <v>0.08</v>
      </c>
      <c r="D1259" s="2">
        <v>205.99</v>
      </c>
      <c r="E1259" s="2">
        <v>2.5</v>
      </c>
      <c r="F1259">
        <v>2270</v>
      </c>
      <c r="G1259" t="s">
        <v>2135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2137</v>
      </c>
      <c r="N1259">
        <v>0.59</v>
      </c>
      <c r="O1259" t="s">
        <v>33</v>
      </c>
      <c r="P1259" t="s">
        <v>135</v>
      </c>
      <c r="Q1259" t="s">
        <v>923</v>
      </c>
      <c r="R1259" t="s">
        <v>2136</v>
      </c>
      <c r="S1259">
        <v>29662</v>
      </c>
      <c r="T1259" s="1">
        <v>42041</v>
      </c>
      <c r="U1259" s="1">
        <v>42046</v>
      </c>
      <c r="V1259" s="2">
        <v>-156.77199999999999</v>
      </c>
      <c r="W1259">
        <v>17</v>
      </c>
      <c r="X1259" s="2">
        <v>2875.35</v>
      </c>
      <c r="Y1259">
        <v>89572</v>
      </c>
      <c r="Z1259">
        <f t="shared" si="19"/>
        <v>48880.95</v>
      </c>
    </row>
    <row r="1260" spans="1:26" x14ac:dyDescent="0.25">
      <c r="A1260">
        <v>19438</v>
      </c>
      <c r="B1260" t="s">
        <v>25</v>
      </c>
      <c r="C1260" s="2">
        <v>0.08</v>
      </c>
      <c r="D1260" s="2">
        <v>15.73</v>
      </c>
      <c r="E1260" s="2">
        <v>7.42</v>
      </c>
      <c r="F1260">
        <v>2272</v>
      </c>
      <c r="G1260" t="s">
        <v>2138</v>
      </c>
      <c r="H1260" t="s">
        <v>27</v>
      </c>
      <c r="I1260" t="s">
        <v>28</v>
      </c>
      <c r="J1260" t="s">
        <v>29</v>
      </c>
      <c r="K1260" t="s">
        <v>171</v>
      </c>
      <c r="L1260" t="s">
        <v>51</v>
      </c>
      <c r="M1260" t="s">
        <v>2139</v>
      </c>
      <c r="N1260">
        <v>0.56000000000000005</v>
      </c>
      <c r="O1260" t="s">
        <v>33</v>
      </c>
      <c r="P1260" t="s">
        <v>61</v>
      </c>
      <c r="Q1260" t="s">
        <v>129</v>
      </c>
      <c r="R1260" t="s">
        <v>2140</v>
      </c>
      <c r="S1260">
        <v>76543</v>
      </c>
      <c r="T1260" s="1">
        <v>42079</v>
      </c>
      <c r="U1260" s="1">
        <v>42081</v>
      </c>
      <c r="V1260" s="2">
        <v>-37.6</v>
      </c>
      <c r="W1260">
        <v>5</v>
      </c>
      <c r="X1260" s="2">
        <v>78.08</v>
      </c>
      <c r="Y1260">
        <v>90110</v>
      </c>
      <c r="Z1260">
        <f t="shared" si="19"/>
        <v>390.4</v>
      </c>
    </row>
    <row r="1261" spans="1:26" x14ac:dyDescent="0.25">
      <c r="A1261">
        <v>23416</v>
      </c>
      <c r="B1261" t="s">
        <v>106</v>
      </c>
      <c r="C1261" s="2">
        <v>0.04</v>
      </c>
      <c r="D1261" s="2">
        <v>120.98</v>
      </c>
      <c r="E1261" s="2">
        <v>3.99</v>
      </c>
      <c r="F1261">
        <v>2273</v>
      </c>
      <c r="G1261" t="s">
        <v>2141</v>
      </c>
      <c r="H1261" t="s">
        <v>49</v>
      </c>
      <c r="I1261" t="s">
        <v>28</v>
      </c>
      <c r="J1261" t="s">
        <v>29</v>
      </c>
      <c r="K1261" t="s">
        <v>252</v>
      </c>
      <c r="L1261" t="s">
        <v>59</v>
      </c>
      <c r="M1261" t="s">
        <v>2142</v>
      </c>
      <c r="N1261">
        <v>0.6</v>
      </c>
      <c r="O1261" t="s">
        <v>33</v>
      </c>
      <c r="P1261" t="s">
        <v>61</v>
      </c>
      <c r="Q1261" t="s">
        <v>129</v>
      </c>
      <c r="R1261" t="s">
        <v>2143</v>
      </c>
      <c r="S1261">
        <v>78550</v>
      </c>
      <c r="T1261" s="1">
        <v>42129</v>
      </c>
      <c r="U1261" s="1">
        <v>42129</v>
      </c>
      <c r="V1261" s="2">
        <v>1389.5771999999999</v>
      </c>
      <c r="W1261">
        <v>17</v>
      </c>
      <c r="X1261" s="2">
        <v>2013.88</v>
      </c>
      <c r="Y1261">
        <v>90109</v>
      </c>
      <c r="Z1261">
        <f t="shared" si="19"/>
        <v>34235.96</v>
      </c>
    </row>
    <row r="1262" spans="1:26" x14ac:dyDescent="0.25">
      <c r="A1262">
        <v>23417</v>
      </c>
      <c r="B1262" t="s">
        <v>106</v>
      </c>
      <c r="C1262" s="2">
        <v>0.02</v>
      </c>
      <c r="D1262" s="2">
        <v>55.99</v>
      </c>
      <c r="E1262" s="2">
        <v>5</v>
      </c>
      <c r="F1262">
        <v>2273</v>
      </c>
      <c r="G1262" t="s">
        <v>2141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392</v>
      </c>
      <c r="N1262">
        <v>0.83</v>
      </c>
      <c r="O1262" t="s">
        <v>33</v>
      </c>
      <c r="P1262" t="s">
        <v>61</v>
      </c>
      <c r="Q1262" t="s">
        <v>129</v>
      </c>
      <c r="R1262" t="s">
        <v>2143</v>
      </c>
      <c r="S1262">
        <v>78550</v>
      </c>
      <c r="T1262" s="1">
        <v>42129</v>
      </c>
      <c r="U1262" s="1">
        <v>42129</v>
      </c>
      <c r="V1262" s="2">
        <v>-222.816</v>
      </c>
      <c r="W1262">
        <v>4</v>
      </c>
      <c r="X1262" s="2">
        <v>201.32</v>
      </c>
      <c r="Y1262">
        <v>90109</v>
      </c>
      <c r="Z1262">
        <f t="shared" si="19"/>
        <v>805.28</v>
      </c>
    </row>
    <row r="1263" spans="1:26" x14ac:dyDescent="0.25">
      <c r="A1263">
        <v>23418</v>
      </c>
      <c r="B1263" t="s">
        <v>106</v>
      </c>
      <c r="C1263" s="2">
        <v>0.05</v>
      </c>
      <c r="D1263" s="2">
        <v>23.99</v>
      </c>
      <c r="E1263" s="2">
        <v>15.68</v>
      </c>
      <c r="F1263">
        <v>2274</v>
      </c>
      <c r="G1263" t="s">
        <v>2144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2145</v>
      </c>
      <c r="N1263">
        <v>0.62</v>
      </c>
      <c r="O1263" t="s">
        <v>33</v>
      </c>
      <c r="P1263" t="s">
        <v>61</v>
      </c>
      <c r="Q1263" t="s">
        <v>129</v>
      </c>
      <c r="R1263" t="s">
        <v>2146</v>
      </c>
      <c r="S1263">
        <v>77036</v>
      </c>
      <c r="T1263" s="1">
        <v>42129</v>
      </c>
      <c r="U1263" s="1">
        <v>42133</v>
      </c>
      <c r="V1263" s="2">
        <v>-133.71</v>
      </c>
      <c r="W1263">
        <v>12</v>
      </c>
      <c r="X1263" s="2">
        <v>298.51</v>
      </c>
      <c r="Y1263">
        <v>90109</v>
      </c>
      <c r="Z1263">
        <f t="shared" si="19"/>
        <v>3582.12</v>
      </c>
    </row>
    <row r="1264" spans="1:26" x14ac:dyDescent="0.25">
      <c r="A1264">
        <v>24552</v>
      </c>
      <c r="B1264" t="s">
        <v>37</v>
      </c>
      <c r="C1264" s="2">
        <v>0.01</v>
      </c>
      <c r="D1264" s="2">
        <v>195.99</v>
      </c>
      <c r="E1264" s="2">
        <v>8.99</v>
      </c>
      <c r="F1264">
        <v>2276</v>
      </c>
      <c r="G1264" t="s">
        <v>2147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726</v>
      </c>
      <c r="N1264">
        <v>0.6</v>
      </c>
      <c r="O1264" t="s">
        <v>33</v>
      </c>
      <c r="P1264" t="s">
        <v>53</v>
      </c>
      <c r="Q1264" t="s">
        <v>71</v>
      </c>
      <c r="R1264" t="s">
        <v>2148</v>
      </c>
      <c r="S1264">
        <v>14304</v>
      </c>
      <c r="T1264" s="1">
        <v>42185</v>
      </c>
      <c r="U1264" s="1">
        <v>42185</v>
      </c>
      <c r="V1264" s="2">
        <v>2653.7813999999998</v>
      </c>
      <c r="W1264">
        <v>22</v>
      </c>
      <c r="X1264" s="2">
        <v>3846.06</v>
      </c>
      <c r="Y1264">
        <v>91502</v>
      </c>
      <c r="Z1264">
        <f t="shared" si="19"/>
        <v>84613.319999999992</v>
      </c>
    </row>
    <row r="1265" spans="1:26" x14ac:dyDescent="0.25">
      <c r="A1265">
        <v>23572</v>
      </c>
      <c r="B1265" t="s">
        <v>106</v>
      </c>
      <c r="C1265" s="2">
        <v>0.04</v>
      </c>
      <c r="D1265" s="2">
        <v>4.4800000000000004</v>
      </c>
      <c r="E1265" s="2">
        <v>2.5</v>
      </c>
      <c r="F1265">
        <v>2279</v>
      </c>
      <c r="G1265" t="s">
        <v>2149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1119</v>
      </c>
      <c r="N1265">
        <v>0.37</v>
      </c>
      <c r="O1265" t="s">
        <v>33</v>
      </c>
      <c r="P1265" t="s">
        <v>53</v>
      </c>
      <c r="Q1265" t="s">
        <v>229</v>
      </c>
      <c r="R1265" t="s">
        <v>2150</v>
      </c>
      <c r="S1265">
        <v>15601</v>
      </c>
      <c r="T1265" s="1">
        <v>42177</v>
      </c>
      <c r="U1265" s="1">
        <v>42181</v>
      </c>
      <c r="V1265" s="2">
        <v>10.32</v>
      </c>
      <c r="W1265">
        <v>7</v>
      </c>
      <c r="X1265" s="2">
        <v>35.93</v>
      </c>
      <c r="Y1265">
        <v>85949</v>
      </c>
      <c r="Z1265">
        <f t="shared" si="19"/>
        <v>251.51</v>
      </c>
    </row>
    <row r="1266" spans="1:26" x14ac:dyDescent="0.25">
      <c r="A1266">
        <v>19615</v>
      </c>
      <c r="B1266" t="s">
        <v>37</v>
      </c>
      <c r="C1266" s="2">
        <v>0.08</v>
      </c>
      <c r="D1266" s="2">
        <v>205.99</v>
      </c>
      <c r="E1266" s="2">
        <v>2.5</v>
      </c>
      <c r="F1266">
        <v>2281</v>
      </c>
      <c r="G1266" t="s">
        <v>2151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2137</v>
      </c>
      <c r="N1266">
        <v>0.59</v>
      </c>
      <c r="O1266" t="s">
        <v>33</v>
      </c>
      <c r="P1266" t="s">
        <v>61</v>
      </c>
      <c r="Q1266" t="s">
        <v>1843</v>
      </c>
      <c r="R1266" t="s">
        <v>2152</v>
      </c>
      <c r="S1266">
        <v>54703</v>
      </c>
      <c r="T1266" s="1">
        <v>42031</v>
      </c>
      <c r="U1266" s="1">
        <v>42032</v>
      </c>
      <c r="V1266" s="2">
        <v>997.38144</v>
      </c>
      <c r="W1266">
        <v>10</v>
      </c>
      <c r="X1266" s="2">
        <v>1610.84</v>
      </c>
      <c r="Y1266">
        <v>85948</v>
      </c>
      <c r="Z1266">
        <f t="shared" si="19"/>
        <v>16108.4</v>
      </c>
    </row>
    <row r="1267" spans="1:26" x14ac:dyDescent="0.25">
      <c r="A1267">
        <v>21260</v>
      </c>
      <c r="B1267" t="s">
        <v>56</v>
      </c>
      <c r="C1267" s="2">
        <v>0.04</v>
      </c>
      <c r="D1267" s="2">
        <v>5.98</v>
      </c>
      <c r="E1267" s="2">
        <v>5.79</v>
      </c>
      <c r="F1267">
        <v>2282</v>
      </c>
      <c r="G1267" t="s">
        <v>2153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122</v>
      </c>
      <c r="N1267">
        <v>0.36</v>
      </c>
      <c r="O1267" t="s">
        <v>33</v>
      </c>
      <c r="P1267" t="s">
        <v>61</v>
      </c>
      <c r="Q1267" t="s">
        <v>1843</v>
      </c>
      <c r="R1267" t="s">
        <v>2154</v>
      </c>
      <c r="S1267">
        <v>53713</v>
      </c>
      <c r="T1267" s="1">
        <v>42040</v>
      </c>
      <c r="U1267" s="1">
        <v>42042</v>
      </c>
      <c r="V1267" s="2">
        <v>-36.030799999999999</v>
      </c>
      <c r="W1267">
        <v>14</v>
      </c>
      <c r="X1267" s="2">
        <v>86.12</v>
      </c>
      <c r="Y1267">
        <v>85950</v>
      </c>
      <c r="Z1267">
        <f t="shared" si="19"/>
        <v>1205.68</v>
      </c>
    </row>
    <row r="1268" spans="1:26" x14ac:dyDescent="0.25">
      <c r="A1268">
        <v>26148</v>
      </c>
      <c r="B1268" t="s">
        <v>56</v>
      </c>
      <c r="C1268" s="2">
        <v>0.01</v>
      </c>
      <c r="D1268" s="2">
        <v>11.7</v>
      </c>
      <c r="E1268" s="2">
        <v>6.96</v>
      </c>
      <c r="F1268">
        <v>2283</v>
      </c>
      <c r="G1268" t="s">
        <v>2155</v>
      </c>
      <c r="H1268" t="s">
        <v>49</v>
      </c>
      <c r="I1268" t="s">
        <v>40</v>
      </c>
      <c r="J1268" t="s">
        <v>29</v>
      </c>
      <c r="K1268" t="s">
        <v>252</v>
      </c>
      <c r="L1268" t="s">
        <v>86</v>
      </c>
      <c r="M1268" t="s">
        <v>1268</v>
      </c>
      <c r="N1268">
        <v>0.5</v>
      </c>
      <c r="O1268" t="s">
        <v>33</v>
      </c>
      <c r="P1268" t="s">
        <v>61</v>
      </c>
      <c r="Q1268" t="s">
        <v>1843</v>
      </c>
      <c r="R1268" t="s">
        <v>2156</v>
      </c>
      <c r="S1268">
        <v>53132</v>
      </c>
      <c r="T1268" s="1">
        <v>42028</v>
      </c>
      <c r="U1268" s="1">
        <v>42030</v>
      </c>
      <c r="V1268" s="2">
        <v>-28.954000000000001</v>
      </c>
      <c r="W1268">
        <v>6</v>
      </c>
      <c r="X1268" s="2">
        <v>76.87</v>
      </c>
      <c r="Y1268">
        <v>85947</v>
      </c>
      <c r="Z1268">
        <f t="shared" si="19"/>
        <v>461.22</v>
      </c>
    </row>
    <row r="1269" spans="1:26" x14ac:dyDescent="0.25">
      <c r="A1269">
        <v>19460</v>
      </c>
      <c r="B1269" t="s">
        <v>56</v>
      </c>
      <c r="C1269" s="2">
        <v>0.02</v>
      </c>
      <c r="D1269" s="2">
        <v>17.7</v>
      </c>
      <c r="E1269" s="2">
        <v>9.4700000000000006</v>
      </c>
      <c r="F1269">
        <v>2285</v>
      </c>
      <c r="G1269" t="s">
        <v>2157</v>
      </c>
      <c r="H1269" t="s">
        <v>27</v>
      </c>
      <c r="I1269" t="s">
        <v>28</v>
      </c>
      <c r="J1269" t="s">
        <v>29</v>
      </c>
      <c r="K1269" t="s">
        <v>139</v>
      </c>
      <c r="L1269" t="s">
        <v>59</v>
      </c>
      <c r="M1269" t="s">
        <v>1556</v>
      </c>
      <c r="N1269">
        <v>0.59</v>
      </c>
      <c r="O1269" t="s">
        <v>33</v>
      </c>
      <c r="P1269" t="s">
        <v>135</v>
      </c>
      <c r="Q1269" t="s">
        <v>923</v>
      </c>
      <c r="R1269" t="s">
        <v>2158</v>
      </c>
      <c r="S1269">
        <v>29730</v>
      </c>
      <c r="T1269" s="1">
        <v>42076</v>
      </c>
      <c r="U1269" s="1">
        <v>42078</v>
      </c>
      <c r="V1269" s="2">
        <v>-85.022000000000006</v>
      </c>
      <c r="W1269">
        <v>21</v>
      </c>
      <c r="X1269" s="2">
        <v>374.6</v>
      </c>
      <c r="Y1269">
        <v>90148</v>
      </c>
      <c r="Z1269">
        <f t="shared" si="19"/>
        <v>7866.6</v>
      </c>
    </row>
    <row r="1270" spans="1:26" x14ac:dyDescent="0.25">
      <c r="A1270">
        <v>21529</v>
      </c>
      <c r="B1270" t="s">
        <v>56</v>
      </c>
      <c r="C1270" s="2">
        <v>0</v>
      </c>
      <c r="D1270" s="2">
        <v>4.91</v>
      </c>
      <c r="E1270" s="2">
        <v>0.5</v>
      </c>
      <c r="F1270">
        <v>2286</v>
      </c>
      <c r="G1270" t="s">
        <v>2159</v>
      </c>
      <c r="H1270" t="s">
        <v>49</v>
      </c>
      <c r="I1270" t="s">
        <v>28</v>
      </c>
      <c r="J1270" t="s">
        <v>29</v>
      </c>
      <c r="K1270" t="s">
        <v>133</v>
      </c>
      <c r="L1270" t="s">
        <v>59</v>
      </c>
      <c r="M1270" t="s">
        <v>161</v>
      </c>
      <c r="N1270">
        <v>0.36</v>
      </c>
      <c r="O1270" t="s">
        <v>33</v>
      </c>
      <c r="P1270" t="s">
        <v>135</v>
      </c>
      <c r="Q1270" t="s">
        <v>923</v>
      </c>
      <c r="R1270" t="s">
        <v>2160</v>
      </c>
      <c r="S1270">
        <v>29301</v>
      </c>
      <c r="T1270" s="1">
        <v>42039</v>
      </c>
      <c r="U1270" s="1">
        <v>42041</v>
      </c>
      <c r="V1270" s="2">
        <v>99.197999999999993</v>
      </c>
      <c r="W1270">
        <v>12</v>
      </c>
      <c r="X1270" s="2">
        <v>61.87</v>
      </c>
      <c r="Y1270">
        <v>90145</v>
      </c>
      <c r="Z1270">
        <f t="shared" si="19"/>
        <v>742.43999999999994</v>
      </c>
    </row>
    <row r="1271" spans="1:26" x14ac:dyDescent="0.25">
      <c r="A1271">
        <v>21530</v>
      </c>
      <c r="B1271" t="s">
        <v>56</v>
      </c>
      <c r="C1271" s="2">
        <v>0.01</v>
      </c>
      <c r="D1271" s="2">
        <v>7.28</v>
      </c>
      <c r="E1271" s="2">
        <v>11.15</v>
      </c>
      <c r="F1271">
        <v>2286</v>
      </c>
      <c r="G1271" t="s">
        <v>2159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845</v>
      </c>
      <c r="N1271">
        <v>0.37</v>
      </c>
      <c r="O1271" t="s">
        <v>33</v>
      </c>
      <c r="P1271" t="s">
        <v>135</v>
      </c>
      <c r="Q1271" t="s">
        <v>923</v>
      </c>
      <c r="R1271" t="s">
        <v>2160</v>
      </c>
      <c r="S1271">
        <v>29301</v>
      </c>
      <c r="T1271" s="1">
        <v>42039</v>
      </c>
      <c r="U1271" s="1">
        <v>42040</v>
      </c>
      <c r="V1271" s="2">
        <v>136.03139999999999</v>
      </c>
      <c r="W1271">
        <v>6</v>
      </c>
      <c r="X1271" s="2">
        <v>48.88</v>
      </c>
      <c r="Y1271">
        <v>90145</v>
      </c>
      <c r="Z1271">
        <f t="shared" si="19"/>
        <v>293.28000000000003</v>
      </c>
    </row>
    <row r="1272" spans="1:26" x14ac:dyDescent="0.25">
      <c r="A1272">
        <v>21531</v>
      </c>
      <c r="B1272" t="s">
        <v>56</v>
      </c>
      <c r="C1272" s="2">
        <v>0.1</v>
      </c>
      <c r="D1272" s="2">
        <v>6.68</v>
      </c>
      <c r="E1272" s="2">
        <v>6.93</v>
      </c>
      <c r="F1272">
        <v>2286</v>
      </c>
      <c r="G1272" t="s">
        <v>2159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2117</v>
      </c>
      <c r="N1272">
        <v>0.37</v>
      </c>
      <c r="O1272" t="s">
        <v>33</v>
      </c>
      <c r="P1272" t="s">
        <v>135</v>
      </c>
      <c r="Q1272" t="s">
        <v>923</v>
      </c>
      <c r="R1272" t="s">
        <v>2160</v>
      </c>
      <c r="S1272">
        <v>29301</v>
      </c>
      <c r="T1272" s="1">
        <v>42039</v>
      </c>
      <c r="U1272" s="1">
        <v>42042</v>
      </c>
      <c r="V1272" s="2">
        <v>-100.072</v>
      </c>
      <c r="W1272">
        <v>3</v>
      </c>
      <c r="X1272" s="2">
        <v>21.56</v>
      </c>
      <c r="Y1272">
        <v>90145</v>
      </c>
      <c r="Z1272">
        <f t="shared" si="19"/>
        <v>64.679999999999993</v>
      </c>
    </row>
    <row r="1273" spans="1:26" x14ac:dyDescent="0.25">
      <c r="A1273">
        <v>25183</v>
      </c>
      <c r="B1273" t="s">
        <v>37</v>
      </c>
      <c r="C1273" s="2">
        <v>0.01</v>
      </c>
      <c r="D1273" s="2">
        <v>18.97</v>
      </c>
      <c r="E1273" s="2">
        <v>9.0299999999999994</v>
      </c>
      <c r="F1273">
        <v>2287</v>
      </c>
      <c r="G1273" t="s">
        <v>2161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766</v>
      </c>
      <c r="N1273">
        <v>0.37</v>
      </c>
      <c r="O1273" t="s">
        <v>33</v>
      </c>
      <c r="P1273" t="s">
        <v>135</v>
      </c>
      <c r="Q1273" t="s">
        <v>923</v>
      </c>
      <c r="R1273" t="s">
        <v>2162</v>
      </c>
      <c r="S1273">
        <v>29483</v>
      </c>
      <c r="T1273" s="1">
        <v>42088</v>
      </c>
      <c r="U1273" s="1">
        <v>42088</v>
      </c>
      <c r="V1273" s="2">
        <v>-12.0267</v>
      </c>
      <c r="W1273">
        <v>8</v>
      </c>
      <c r="X1273" s="2">
        <v>164.67</v>
      </c>
      <c r="Y1273">
        <v>90146</v>
      </c>
      <c r="Z1273">
        <f t="shared" si="19"/>
        <v>1317.36</v>
      </c>
    </row>
    <row r="1274" spans="1:26" x14ac:dyDescent="0.25">
      <c r="A1274">
        <v>25184</v>
      </c>
      <c r="B1274" t="s">
        <v>37</v>
      </c>
      <c r="C1274" s="2">
        <v>0.03</v>
      </c>
      <c r="D1274" s="2">
        <v>12.28</v>
      </c>
      <c r="E1274" s="2">
        <v>4.8600000000000003</v>
      </c>
      <c r="F1274">
        <v>2287</v>
      </c>
      <c r="G1274" t="s">
        <v>2161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298</v>
      </c>
      <c r="N1274">
        <v>0.38</v>
      </c>
      <c r="O1274" t="s">
        <v>33</v>
      </c>
      <c r="P1274" t="s">
        <v>135</v>
      </c>
      <c r="Q1274" t="s">
        <v>923</v>
      </c>
      <c r="R1274" t="s">
        <v>2162</v>
      </c>
      <c r="S1274">
        <v>29483</v>
      </c>
      <c r="T1274" s="1">
        <v>42088</v>
      </c>
      <c r="U1274" s="1">
        <v>42089</v>
      </c>
      <c r="V1274" s="2">
        <v>122.508</v>
      </c>
      <c r="W1274">
        <v>6</v>
      </c>
      <c r="X1274" s="2">
        <v>72.739999999999995</v>
      </c>
      <c r="Y1274">
        <v>90146</v>
      </c>
      <c r="Z1274">
        <f t="shared" si="19"/>
        <v>436.43999999999994</v>
      </c>
    </row>
    <row r="1275" spans="1:26" x14ac:dyDescent="0.25">
      <c r="A1275">
        <v>25185</v>
      </c>
      <c r="B1275" t="s">
        <v>37</v>
      </c>
      <c r="C1275" s="2">
        <v>0.05</v>
      </c>
      <c r="D1275" s="2">
        <v>34.99</v>
      </c>
      <c r="E1275" s="2">
        <v>7.73</v>
      </c>
      <c r="F1275">
        <v>2287</v>
      </c>
      <c r="G1275" t="s">
        <v>2161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135</v>
      </c>
      <c r="Q1275" t="s">
        <v>923</v>
      </c>
      <c r="R1275" t="s">
        <v>2162</v>
      </c>
      <c r="S1275">
        <v>29483</v>
      </c>
      <c r="T1275" s="1">
        <v>42088</v>
      </c>
      <c r="U1275" s="1">
        <v>42090</v>
      </c>
      <c r="V1275" s="2">
        <v>-12.0267</v>
      </c>
      <c r="W1275">
        <v>12</v>
      </c>
      <c r="X1275" s="2">
        <v>418.75</v>
      </c>
      <c r="Y1275">
        <v>90146</v>
      </c>
      <c r="Z1275">
        <f t="shared" si="19"/>
        <v>5025</v>
      </c>
    </row>
    <row r="1276" spans="1:26" x14ac:dyDescent="0.25">
      <c r="A1276">
        <v>24396</v>
      </c>
      <c r="B1276" t="s">
        <v>106</v>
      </c>
      <c r="C1276" s="2">
        <v>0.1</v>
      </c>
      <c r="D1276" s="2">
        <v>54.1</v>
      </c>
      <c r="E1276" s="2">
        <v>19.989999999999998</v>
      </c>
      <c r="F1276">
        <v>2287</v>
      </c>
      <c r="G1276" t="s">
        <v>2161</v>
      </c>
      <c r="H1276" t="s">
        <v>49</v>
      </c>
      <c r="I1276" t="s">
        <v>28</v>
      </c>
      <c r="J1276" t="s">
        <v>29</v>
      </c>
      <c r="K1276" t="s">
        <v>139</v>
      </c>
      <c r="L1276" t="s">
        <v>59</v>
      </c>
      <c r="M1276" t="s">
        <v>2163</v>
      </c>
      <c r="N1276">
        <v>0.59</v>
      </c>
      <c r="O1276" t="s">
        <v>33</v>
      </c>
      <c r="P1276" t="s">
        <v>135</v>
      </c>
      <c r="Q1276" t="s">
        <v>923</v>
      </c>
      <c r="R1276" t="s">
        <v>2162</v>
      </c>
      <c r="S1276">
        <v>29483</v>
      </c>
      <c r="T1276" s="1">
        <v>42054</v>
      </c>
      <c r="U1276" s="1">
        <v>42059</v>
      </c>
      <c r="V1276" s="2">
        <v>34.067999999999998</v>
      </c>
      <c r="W1276">
        <v>9</v>
      </c>
      <c r="X1276" s="2">
        <v>469.59</v>
      </c>
      <c r="Y1276">
        <v>90147</v>
      </c>
      <c r="Z1276">
        <f t="shared" si="19"/>
        <v>4226.3099999999995</v>
      </c>
    </row>
    <row r="1277" spans="1:26" x14ac:dyDescent="0.25">
      <c r="A1277">
        <v>19243</v>
      </c>
      <c r="B1277" t="s">
        <v>47</v>
      </c>
      <c r="C1277" s="2">
        <v>0.01</v>
      </c>
      <c r="D1277" s="2">
        <v>7.59</v>
      </c>
      <c r="E1277" s="2">
        <v>4</v>
      </c>
      <c r="F1277">
        <v>2289</v>
      </c>
      <c r="G1277" t="s">
        <v>2164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438</v>
      </c>
      <c r="N1277">
        <v>0.42</v>
      </c>
      <c r="O1277" t="s">
        <v>33</v>
      </c>
      <c r="P1277" t="s">
        <v>61</v>
      </c>
      <c r="Q1277" t="s">
        <v>62</v>
      </c>
      <c r="R1277" t="s">
        <v>2087</v>
      </c>
      <c r="S1277">
        <v>55337</v>
      </c>
      <c r="T1277" s="1">
        <v>42128</v>
      </c>
      <c r="U1277" s="1">
        <v>42128</v>
      </c>
      <c r="V1277" s="2">
        <v>2.97</v>
      </c>
      <c r="W1277">
        <v>17</v>
      </c>
      <c r="X1277" s="2">
        <v>136.25</v>
      </c>
      <c r="Y1277">
        <v>88165</v>
      </c>
      <c r="Z1277">
        <f t="shared" si="19"/>
        <v>2316.25</v>
      </c>
    </row>
    <row r="1278" spans="1:26" x14ac:dyDescent="0.25">
      <c r="A1278">
        <v>21334</v>
      </c>
      <c r="B1278" t="s">
        <v>37</v>
      </c>
      <c r="C1278" s="2">
        <v>0</v>
      </c>
      <c r="D1278" s="2">
        <v>42.98</v>
      </c>
      <c r="E1278" s="2">
        <v>4.62</v>
      </c>
      <c r="F1278">
        <v>2290</v>
      </c>
      <c r="G1278" t="s">
        <v>2165</v>
      </c>
      <c r="H1278" t="s">
        <v>49</v>
      </c>
      <c r="I1278" t="s">
        <v>40</v>
      </c>
      <c r="J1278" t="s">
        <v>29</v>
      </c>
      <c r="K1278" t="s">
        <v>252</v>
      </c>
      <c r="L1278" t="s">
        <v>59</v>
      </c>
      <c r="M1278" t="s">
        <v>1873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2166</v>
      </c>
      <c r="S1278">
        <v>55433</v>
      </c>
      <c r="T1278" s="1">
        <v>42010</v>
      </c>
      <c r="U1278" s="1">
        <v>42012</v>
      </c>
      <c r="V1278" s="2">
        <v>385.30290000000002</v>
      </c>
      <c r="W1278">
        <v>12</v>
      </c>
      <c r="X1278" s="2">
        <v>558.41</v>
      </c>
      <c r="Y1278">
        <v>88163</v>
      </c>
      <c r="Z1278">
        <f t="shared" si="19"/>
        <v>6700.92</v>
      </c>
    </row>
    <row r="1279" spans="1:26" x14ac:dyDescent="0.25">
      <c r="A1279">
        <v>21335</v>
      </c>
      <c r="B1279" t="s">
        <v>37</v>
      </c>
      <c r="C1279" s="2">
        <v>0.03</v>
      </c>
      <c r="D1279" s="2">
        <v>21.78</v>
      </c>
      <c r="E1279" s="2">
        <v>5.94</v>
      </c>
      <c r="F1279">
        <v>2290</v>
      </c>
      <c r="G1279" t="s">
        <v>2165</v>
      </c>
      <c r="H1279" t="s">
        <v>49</v>
      </c>
      <c r="I1279" t="s">
        <v>40</v>
      </c>
      <c r="J1279" t="s">
        <v>29</v>
      </c>
      <c r="K1279" t="s">
        <v>252</v>
      </c>
      <c r="L1279" t="s">
        <v>86</v>
      </c>
      <c r="M1279" t="s">
        <v>2167</v>
      </c>
      <c r="N1279">
        <v>0.5</v>
      </c>
      <c r="O1279" t="s">
        <v>33</v>
      </c>
      <c r="P1279" t="s">
        <v>61</v>
      </c>
      <c r="Q1279" t="s">
        <v>62</v>
      </c>
      <c r="R1279" t="s">
        <v>2166</v>
      </c>
      <c r="S1279">
        <v>55433</v>
      </c>
      <c r="T1279" s="1">
        <v>42010</v>
      </c>
      <c r="U1279" s="1">
        <v>42012</v>
      </c>
      <c r="V1279" s="2">
        <v>187.2</v>
      </c>
      <c r="W1279">
        <v>13</v>
      </c>
      <c r="X1279" s="2">
        <v>290.22000000000003</v>
      </c>
      <c r="Y1279">
        <v>88163</v>
      </c>
      <c r="Z1279">
        <f t="shared" si="19"/>
        <v>3772.8600000000006</v>
      </c>
    </row>
    <row r="1280" spans="1:26" x14ac:dyDescent="0.25">
      <c r="A1280">
        <v>19723</v>
      </c>
      <c r="B1280" t="s">
        <v>56</v>
      </c>
      <c r="C1280" s="2">
        <v>7.0000000000000007E-2</v>
      </c>
      <c r="D1280" s="2">
        <v>80.98</v>
      </c>
      <c r="E1280" s="2">
        <v>7.18</v>
      </c>
      <c r="F1280">
        <v>2290</v>
      </c>
      <c r="G1280" t="s">
        <v>2165</v>
      </c>
      <c r="H1280" t="s">
        <v>49</v>
      </c>
      <c r="I1280" t="s">
        <v>28</v>
      </c>
      <c r="J1280" t="s">
        <v>77</v>
      </c>
      <c r="K1280" t="s">
        <v>177</v>
      </c>
      <c r="L1280" t="s">
        <v>59</v>
      </c>
      <c r="M1280" t="s">
        <v>2168</v>
      </c>
      <c r="N1280">
        <v>0.48</v>
      </c>
      <c r="O1280" t="s">
        <v>33</v>
      </c>
      <c r="P1280" t="s">
        <v>61</v>
      </c>
      <c r="Q1280" t="s">
        <v>62</v>
      </c>
      <c r="R1280" t="s">
        <v>2166</v>
      </c>
      <c r="S1280">
        <v>55433</v>
      </c>
      <c r="T1280" s="1">
        <v>42039</v>
      </c>
      <c r="U1280" s="1">
        <v>42041</v>
      </c>
      <c r="V1280" s="2">
        <v>779.47230000000002</v>
      </c>
      <c r="W1280">
        <v>15</v>
      </c>
      <c r="X1280" s="2">
        <v>1129.67</v>
      </c>
      <c r="Y1280">
        <v>88164</v>
      </c>
      <c r="Z1280">
        <f t="shared" si="19"/>
        <v>16945.050000000003</v>
      </c>
    </row>
    <row r="1281" spans="1:26" x14ac:dyDescent="0.25">
      <c r="A1281">
        <v>24673</v>
      </c>
      <c r="B1281" t="s">
        <v>47</v>
      </c>
      <c r="C1281" s="2">
        <v>7.0000000000000007E-2</v>
      </c>
      <c r="D1281" s="2">
        <v>270.98</v>
      </c>
      <c r="E1281" s="2">
        <v>50</v>
      </c>
      <c r="F1281">
        <v>2302</v>
      </c>
      <c r="G1281" t="s">
        <v>2169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2170</v>
      </c>
      <c r="N1281">
        <v>0.77</v>
      </c>
      <c r="O1281" t="s">
        <v>33</v>
      </c>
      <c r="P1281" t="s">
        <v>135</v>
      </c>
      <c r="Q1281" t="s">
        <v>356</v>
      </c>
      <c r="R1281" t="s">
        <v>2171</v>
      </c>
      <c r="S1281">
        <v>32404</v>
      </c>
      <c r="T1281" s="1">
        <v>42046</v>
      </c>
      <c r="U1281" s="1">
        <v>42048</v>
      </c>
      <c r="V1281" s="2">
        <v>27.725999999999999</v>
      </c>
      <c r="W1281">
        <v>9</v>
      </c>
      <c r="X1281" s="2">
        <v>2439.37</v>
      </c>
      <c r="Y1281">
        <v>87695</v>
      </c>
      <c r="Z1281">
        <f t="shared" si="19"/>
        <v>21954.329999999998</v>
      </c>
    </row>
    <row r="1282" spans="1:26" x14ac:dyDescent="0.25">
      <c r="A1282">
        <v>23344</v>
      </c>
      <c r="B1282" t="s">
        <v>25</v>
      </c>
      <c r="C1282" s="2">
        <v>0.1</v>
      </c>
      <c r="D1282" s="2">
        <v>12.53</v>
      </c>
      <c r="E1282" s="2">
        <v>0.49</v>
      </c>
      <c r="F1282">
        <v>2302</v>
      </c>
      <c r="G1282" t="s">
        <v>2169</v>
      </c>
      <c r="H1282" t="s">
        <v>49</v>
      </c>
      <c r="I1282" t="s">
        <v>28</v>
      </c>
      <c r="J1282" t="s">
        <v>29</v>
      </c>
      <c r="K1282" t="s">
        <v>133</v>
      </c>
      <c r="L1282" t="s">
        <v>59</v>
      </c>
      <c r="M1282" t="s">
        <v>1006</v>
      </c>
      <c r="N1282">
        <v>0.38</v>
      </c>
      <c r="O1282" t="s">
        <v>33</v>
      </c>
      <c r="P1282" t="s">
        <v>135</v>
      </c>
      <c r="Q1282" t="s">
        <v>356</v>
      </c>
      <c r="R1282" t="s">
        <v>2171</v>
      </c>
      <c r="S1282">
        <v>32404</v>
      </c>
      <c r="T1282" s="1">
        <v>42007</v>
      </c>
      <c r="U1282" s="1">
        <v>42008</v>
      </c>
      <c r="V1282" s="2">
        <v>244.464</v>
      </c>
      <c r="W1282">
        <v>8</v>
      </c>
      <c r="X1282" s="2">
        <v>92.02</v>
      </c>
      <c r="Y1282">
        <v>87696</v>
      </c>
      <c r="Z1282">
        <f t="shared" si="19"/>
        <v>736.16</v>
      </c>
    </row>
    <row r="1283" spans="1:26" x14ac:dyDescent="0.25">
      <c r="A1283">
        <v>23345</v>
      </c>
      <c r="B1283" t="s">
        <v>25</v>
      </c>
      <c r="C1283" s="2">
        <v>0.1</v>
      </c>
      <c r="D1283" s="2">
        <v>146.34</v>
      </c>
      <c r="E1283" s="2">
        <v>43.75</v>
      </c>
      <c r="F1283">
        <v>2302</v>
      </c>
      <c r="G1283" t="s">
        <v>2169</v>
      </c>
      <c r="H1283" t="s">
        <v>39</v>
      </c>
      <c r="I1283" t="s">
        <v>28</v>
      </c>
      <c r="J1283" t="s">
        <v>41</v>
      </c>
      <c r="K1283" t="s">
        <v>150</v>
      </c>
      <c r="L1283" t="s">
        <v>120</v>
      </c>
      <c r="M1283" t="s">
        <v>2172</v>
      </c>
      <c r="N1283">
        <v>0.64</v>
      </c>
      <c r="O1283" t="s">
        <v>33</v>
      </c>
      <c r="P1283" t="s">
        <v>135</v>
      </c>
      <c r="Q1283" t="s">
        <v>356</v>
      </c>
      <c r="R1283" t="s">
        <v>2171</v>
      </c>
      <c r="S1283">
        <v>32404</v>
      </c>
      <c r="T1283" s="1">
        <v>42007</v>
      </c>
      <c r="U1283" s="1">
        <v>42008</v>
      </c>
      <c r="V1283" s="2">
        <v>-473.57799999999997</v>
      </c>
      <c r="W1283">
        <v>2</v>
      </c>
      <c r="X1283" s="2">
        <v>283.55</v>
      </c>
      <c r="Y1283">
        <v>87696</v>
      </c>
      <c r="Z1283">
        <f t="shared" ref="Z1283:Z1346" si="20">W1283*X1283</f>
        <v>567.1</v>
      </c>
    </row>
    <row r="1284" spans="1:26" x14ac:dyDescent="0.25">
      <c r="A1284">
        <v>6673</v>
      </c>
      <c r="B1284" t="s">
        <v>47</v>
      </c>
      <c r="C1284" s="2">
        <v>7.0000000000000007E-2</v>
      </c>
      <c r="D1284" s="2">
        <v>270.98</v>
      </c>
      <c r="E1284" s="2">
        <v>50</v>
      </c>
      <c r="F1284">
        <v>2303</v>
      </c>
      <c r="G1284" t="s">
        <v>2173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2170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1">
        <v>42046</v>
      </c>
      <c r="U1284" s="1">
        <v>42048</v>
      </c>
      <c r="V1284" s="2">
        <v>-96.05</v>
      </c>
      <c r="W1284">
        <v>36</v>
      </c>
      <c r="X1284" s="2">
        <v>9757.48</v>
      </c>
      <c r="Y1284">
        <v>47493</v>
      </c>
      <c r="Z1284">
        <f t="shared" si="20"/>
        <v>351269.27999999997</v>
      </c>
    </row>
    <row r="1285" spans="1:26" x14ac:dyDescent="0.25">
      <c r="A1285">
        <v>5345</v>
      </c>
      <c r="B1285" t="s">
        <v>25</v>
      </c>
      <c r="C1285" s="2">
        <v>0.1</v>
      </c>
      <c r="D1285" s="2">
        <v>146.34</v>
      </c>
      <c r="E1285" s="2">
        <v>43.75</v>
      </c>
      <c r="F1285">
        <v>2303</v>
      </c>
      <c r="G1285" t="s">
        <v>2173</v>
      </c>
      <c r="H1285" t="s">
        <v>39</v>
      </c>
      <c r="I1285" t="s">
        <v>28</v>
      </c>
      <c r="J1285" t="s">
        <v>41</v>
      </c>
      <c r="K1285" t="s">
        <v>150</v>
      </c>
      <c r="L1285" t="s">
        <v>120</v>
      </c>
      <c r="M1285" t="s">
        <v>2172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1">
        <v>42007</v>
      </c>
      <c r="U1285" s="1">
        <v>42008</v>
      </c>
      <c r="V1285" s="2">
        <v>-270.85000000000002</v>
      </c>
      <c r="W1285">
        <v>6</v>
      </c>
      <c r="X1285" s="2">
        <v>850.64</v>
      </c>
      <c r="Y1285">
        <v>37987</v>
      </c>
      <c r="Z1285">
        <f t="shared" si="20"/>
        <v>5103.84</v>
      </c>
    </row>
    <row r="1286" spans="1:26" x14ac:dyDescent="0.25">
      <c r="A1286">
        <v>19934</v>
      </c>
      <c r="B1286" t="s">
        <v>25</v>
      </c>
      <c r="C1286" s="2">
        <v>0</v>
      </c>
      <c r="D1286" s="2">
        <v>90.48</v>
      </c>
      <c r="E1286" s="2">
        <v>19.989999999999998</v>
      </c>
      <c r="F1286">
        <v>2305</v>
      </c>
      <c r="G1286" t="s">
        <v>2174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1825</v>
      </c>
      <c r="N1286">
        <v>0.4</v>
      </c>
      <c r="O1286" t="s">
        <v>33</v>
      </c>
      <c r="P1286" t="s">
        <v>61</v>
      </c>
      <c r="Q1286" t="s">
        <v>2175</v>
      </c>
      <c r="R1286" t="s">
        <v>450</v>
      </c>
      <c r="S1286">
        <v>57201</v>
      </c>
      <c r="T1286" s="1">
        <v>42176</v>
      </c>
      <c r="U1286" s="1">
        <v>42179</v>
      </c>
      <c r="V1286" s="2">
        <v>800.25509999999997</v>
      </c>
      <c r="W1286">
        <v>12</v>
      </c>
      <c r="X1286" s="2">
        <v>1159.79</v>
      </c>
      <c r="Y1286">
        <v>89869</v>
      </c>
      <c r="Z1286">
        <f t="shared" si="20"/>
        <v>13917.48</v>
      </c>
    </row>
    <row r="1287" spans="1:26" x14ac:dyDescent="0.25">
      <c r="A1287">
        <v>23313</v>
      </c>
      <c r="B1287" t="s">
        <v>106</v>
      </c>
      <c r="C1287" s="2">
        <v>0.08</v>
      </c>
      <c r="D1287" s="2">
        <v>9.48</v>
      </c>
      <c r="E1287" s="2">
        <v>7.29</v>
      </c>
      <c r="F1287">
        <v>2308</v>
      </c>
      <c r="G1287" t="s">
        <v>2176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135</v>
      </c>
      <c r="Q1287" t="s">
        <v>356</v>
      </c>
      <c r="R1287" t="s">
        <v>2177</v>
      </c>
      <c r="S1287">
        <v>33971</v>
      </c>
      <c r="T1287" s="1">
        <v>42087</v>
      </c>
      <c r="U1287" s="1">
        <v>42089</v>
      </c>
      <c r="V1287" s="2">
        <v>-50.4</v>
      </c>
      <c r="W1287">
        <v>2</v>
      </c>
      <c r="X1287" s="2">
        <v>20.22</v>
      </c>
      <c r="Y1287">
        <v>90557</v>
      </c>
      <c r="Z1287">
        <f t="shared" si="20"/>
        <v>40.44</v>
      </c>
    </row>
    <row r="1288" spans="1:26" x14ac:dyDescent="0.25">
      <c r="A1288">
        <v>23314</v>
      </c>
      <c r="B1288" t="s">
        <v>106</v>
      </c>
      <c r="C1288" s="2">
        <v>0.03</v>
      </c>
      <c r="D1288" s="2">
        <v>193.17</v>
      </c>
      <c r="E1288" s="2">
        <v>19.989999999999998</v>
      </c>
      <c r="F1288">
        <v>2308</v>
      </c>
      <c r="G1288" t="s">
        <v>2176</v>
      </c>
      <c r="H1288" t="s">
        <v>49</v>
      </c>
      <c r="I1288" t="s">
        <v>58</v>
      </c>
      <c r="J1288" t="s">
        <v>29</v>
      </c>
      <c r="K1288" t="s">
        <v>139</v>
      </c>
      <c r="L1288" t="s">
        <v>59</v>
      </c>
      <c r="M1288" t="s">
        <v>1510</v>
      </c>
      <c r="N1288">
        <v>0.71</v>
      </c>
      <c r="O1288" t="s">
        <v>33</v>
      </c>
      <c r="P1288" t="s">
        <v>135</v>
      </c>
      <c r="Q1288" t="s">
        <v>356</v>
      </c>
      <c r="R1288" t="s">
        <v>2177</v>
      </c>
      <c r="S1288">
        <v>33971</v>
      </c>
      <c r="T1288" s="1">
        <v>42087</v>
      </c>
      <c r="U1288" s="1">
        <v>42091</v>
      </c>
      <c r="V1288" s="2">
        <v>-348.75400000000002</v>
      </c>
      <c r="W1288">
        <v>8</v>
      </c>
      <c r="X1288" s="2">
        <v>1548.97</v>
      </c>
      <c r="Y1288">
        <v>90557</v>
      </c>
      <c r="Z1288">
        <f t="shared" si="20"/>
        <v>12391.76</v>
      </c>
    </row>
    <row r="1289" spans="1:26" x14ac:dyDescent="0.25">
      <c r="A1289">
        <v>26048</v>
      </c>
      <c r="B1289" t="s">
        <v>25</v>
      </c>
      <c r="C1289" s="2">
        <v>0.08</v>
      </c>
      <c r="D1289" s="2">
        <v>68.81</v>
      </c>
      <c r="E1289" s="2">
        <v>60</v>
      </c>
      <c r="F1289">
        <v>2323</v>
      </c>
      <c r="G1289" t="s">
        <v>2178</v>
      </c>
      <c r="H1289" t="s">
        <v>39</v>
      </c>
      <c r="I1289" t="s">
        <v>58</v>
      </c>
      <c r="J1289" t="s">
        <v>29</v>
      </c>
      <c r="K1289" t="s">
        <v>252</v>
      </c>
      <c r="L1289" t="s">
        <v>43</v>
      </c>
      <c r="M1289" t="s">
        <v>2179</v>
      </c>
      <c r="N1289">
        <v>0.41</v>
      </c>
      <c r="O1289" t="s">
        <v>33</v>
      </c>
      <c r="P1289" t="s">
        <v>34</v>
      </c>
      <c r="Q1289" t="s">
        <v>45</v>
      </c>
      <c r="R1289" t="s">
        <v>2180</v>
      </c>
      <c r="S1289">
        <v>92236</v>
      </c>
      <c r="T1289" s="1">
        <v>42079</v>
      </c>
      <c r="U1289" s="1">
        <v>42080</v>
      </c>
      <c r="V1289" s="2">
        <v>-550.42999999999995</v>
      </c>
      <c r="W1289">
        <v>5</v>
      </c>
      <c r="X1289" s="2">
        <v>337.86</v>
      </c>
      <c r="Y1289">
        <v>88721</v>
      </c>
      <c r="Z1289">
        <f t="shared" si="20"/>
        <v>1689.3000000000002</v>
      </c>
    </row>
    <row r="1290" spans="1:26" x14ac:dyDescent="0.25">
      <c r="A1290">
        <v>26049</v>
      </c>
      <c r="B1290" t="s">
        <v>25</v>
      </c>
      <c r="C1290" s="2">
        <v>0.04</v>
      </c>
      <c r="D1290" s="2">
        <v>21.38</v>
      </c>
      <c r="E1290" s="2">
        <v>8.99</v>
      </c>
      <c r="F1290">
        <v>2323</v>
      </c>
      <c r="G1290" t="s">
        <v>2178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2181</v>
      </c>
      <c r="N1290">
        <v>0.59</v>
      </c>
      <c r="O1290" t="s">
        <v>33</v>
      </c>
      <c r="P1290" t="s">
        <v>34</v>
      </c>
      <c r="Q1290" t="s">
        <v>45</v>
      </c>
      <c r="R1290" t="s">
        <v>2180</v>
      </c>
      <c r="S1290">
        <v>92236</v>
      </c>
      <c r="T1290" s="1">
        <v>42079</v>
      </c>
      <c r="U1290" s="1">
        <v>42081</v>
      </c>
      <c r="V1290" s="2">
        <v>-52.12</v>
      </c>
      <c r="W1290">
        <v>4</v>
      </c>
      <c r="X1290" s="2">
        <v>84.21</v>
      </c>
      <c r="Y1290">
        <v>88721</v>
      </c>
      <c r="Z1290">
        <f t="shared" si="20"/>
        <v>336.84</v>
      </c>
    </row>
    <row r="1291" spans="1:26" x14ac:dyDescent="0.25">
      <c r="A1291">
        <v>23053</v>
      </c>
      <c r="B1291" t="s">
        <v>37</v>
      </c>
      <c r="C1291" s="2">
        <v>0.06</v>
      </c>
      <c r="D1291" s="2">
        <v>4.9800000000000004</v>
      </c>
      <c r="E1291" s="2">
        <v>4.62</v>
      </c>
      <c r="F1291">
        <v>2323</v>
      </c>
      <c r="G1291" t="s">
        <v>2178</v>
      </c>
      <c r="H1291" t="s">
        <v>27</v>
      </c>
      <c r="I1291" t="s">
        <v>58</v>
      </c>
      <c r="J1291" t="s">
        <v>77</v>
      </c>
      <c r="K1291" t="s">
        <v>177</v>
      </c>
      <c r="L1291" t="s">
        <v>51</v>
      </c>
      <c r="M1291" t="s">
        <v>405</v>
      </c>
      <c r="N1291">
        <v>0.64</v>
      </c>
      <c r="O1291" t="s">
        <v>33</v>
      </c>
      <c r="P1291" t="s">
        <v>34</v>
      </c>
      <c r="Q1291" t="s">
        <v>45</v>
      </c>
      <c r="R1291" t="s">
        <v>2180</v>
      </c>
      <c r="S1291">
        <v>92236</v>
      </c>
      <c r="T1291" s="1">
        <v>42174</v>
      </c>
      <c r="U1291" s="1">
        <v>42174</v>
      </c>
      <c r="V1291" s="2">
        <v>-27.004999999999999</v>
      </c>
      <c r="W1291">
        <v>7</v>
      </c>
      <c r="X1291" s="2">
        <v>38.74</v>
      </c>
      <c r="Y1291">
        <v>88722</v>
      </c>
      <c r="Z1291">
        <f t="shared" si="20"/>
        <v>271.18</v>
      </c>
    </row>
    <row r="1292" spans="1:26" x14ac:dyDescent="0.25">
      <c r="A1292">
        <v>25456</v>
      </c>
      <c r="B1292" t="s">
        <v>56</v>
      </c>
      <c r="C1292" s="2">
        <v>0.06</v>
      </c>
      <c r="D1292" s="2">
        <v>28.53</v>
      </c>
      <c r="E1292" s="2">
        <v>1.49</v>
      </c>
      <c r="F1292">
        <v>2330</v>
      </c>
      <c r="G1292" t="s">
        <v>2182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326</v>
      </c>
      <c r="N1292">
        <v>0.38</v>
      </c>
      <c r="O1292" t="s">
        <v>33</v>
      </c>
      <c r="P1292" t="s">
        <v>61</v>
      </c>
      <c r="Q1292" t="s">
        <v>324</v>
      </c>
      <c r="R1292" t="s">
        <v>2183</v>
      </c>
      <c r="S1292">
        <v>52302</v>
      </c>
      <c r="T1292" s="1">
        <v>42087</v>
      </c>
      <c r="U1292" s="1">
        <v>42090</v>
      </c>
      <c r="V1292" s="2">
        <v>74.638499999999993</v>
      </c>
      <c r="W1292">
        <v>5</v>
      </c>
      <c r="X1292" s="2">
        <v>134.09</v>
      </c>
      <c r="Y1292">
        <v>90964</v>
      </c>
      <c r="Z1292">
        <f t="shared" si="20"/>
        <v>670.45</v>
      </c>
    </row>
    <row r="1293" spans="1:26" x14ac:dyDescent="0.25">
      <c r="A1293">
        <v>19441</v>
      </c>
      <c r="B1293" t="s">
        <v>25</v>
      </c>
      <c r="C1293" s="2">
        <v>0.06</v>
      </c>
      <c r="D1293" s="2">
        <v>180.98</v>
      </c>
      <c r="E1293" s="2">
        <v>26.2</v>
      </c>
      <c r="F1293">
        <v>2333</v>
      </c>
      <c r="G1293" t="s">
        <v>2184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236</v>
      </c>
      <c r="N1293">
        <v>0.59</v>
      </c>
      <c r="O1293" t="s">
        <v>33</v>
      </c>
      <c r="P1293" t="s">
        <v>61</v>
      </c>
      <c r="Q1293" t="s">
        <v>1843</v>
      </c>
      <c r="R1293" t="s">
        <v>2185</v>
      </c>
      <c r="S1293">
        <v>54302</v>
      </c>
      <c r="T1293" s="1">
        <v>42178</v>
      </c>
      <c r="U1293" s="1">
        <v>42179</v>
      </c>
      <c r="V1293" s="2">
        <v>-122.235</v>
      </c>
      <c r="W1293">
        <v>1</v>
      </c>
      <c r="X1293" s="2">
        <v>191.73</v>
      </c>
      <c r="Y1293">
        <v>89611</v>
      </c>
      <c r="Z1293">
        <f t="shared" si="20"/>
        <v>191.73</v>
      </c>
    </row>
    <row r="1294" spans="1:26" x14ac:dyDescent="0.25">
      <c r="A1294">
        <v>23721</v>
      </c>
      <c r="B1294" t="s">
        <v>106</v>
      </c>
      <c r="C1294" s="2">
        <v>0.06</v>
      </c>
      <c r="D1294" s="2">
        <v>60.65</v>
      </c>
      <c r="E1294" s="2">
        <v>12.23</v>
      </c>
      <c r="F1294">
        <v>2334</v>
      </c>
      <c r="G1294" t="s">
        <v>2186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1747</v>
      </c>
      <c r="N1294">
        <v>0.64</v>
      </c>
      <c r="O1294" t="s">
        <v>33</v>
      </c>
      <c r="P1294" t="s">
        <v>61</v>
      </c>
      <c r="Q1294" t="s">
        <v>1843</v>
      </c>
      <c r="R1294" t="s">
        <v>2187</v>
      </c>
      <c r="S1294">
        <v>53220</v>
      </c>
      <c r="T1294" s="1">
        <v>42100</v>
      </c>
      <c r="U1294" s="1">
        <v>42102</v>
      </c>
      <c r="V1294" s="2">
        <v>427.00650000000002</v>
      </c>
      <c r="W1294">
        <v>10</v>
      </c>
      <c r="X1294" s="2">
        <v>618.85</v>
      </c>
      <c r="Y1294">
        <v>89608</v>
      </c>
      <c r="Z1294">
        <f t="shared" si="20"/>
        <v>6188.5</v>
      </c>
    </row>
    <row r="1295" spans="1:26" x14ac:dyDescent="0.25">
      <c r="A1295">
        <v>23693</v>
      </c>
      <c r="B1295" t="s">
        <v>37</v>
      </c>
      <c r="C1295" s="2">
        <v>0.05</v>
      </c>
      <c r="D1295" s="2">
        <v>14.81</v>
      </c>
      <c r="E1295" s="2">
        <v>13.32</v>
      </c>
      <c r="F1295">
        <v>2334</v>
      </c>
      <c r="G1295" t="s">
        <v>2186</v>
      </c>
      <c r="H1295" t="s">
        <v>49</v>
      </c>
      <c r="I1295" t="s">
        <v>58</v>
      </c>
      <c r="J1295" t="s">
        <v>29</v>
      </c>
      <c r="K1295" t="s">
        <v>252</v>
      </c>
      <c r="L1295" t="s">
        <v>59</v>
      </c>
      <c r="M1295" t="s">
        <v>824</v>
      </c>
      <c r="N1295">
        <v>0.43</v>
      </c>
      <c r="O1295" t="s">
        <v>33</v>
      </c>
      <c r="P1295" t="s">
        <v>61</v>
      </c>
      <c r="Q1295" t="s">
        <v>1843</v>
      </c>
      <c r="R1295" t="s">
        <v>2187</v>
      </c>
      <c r="S1295">
        <v>53220</v>
      </c>
      <c r="T1295" s="1">
        <v>42103</v>
      </c>
      <c r="U1295" s="1">
        <v>42105</v>
      </c>
      <c r="V1295" s="2">
        <v>-190.49</v>
      </c>
      <c r="W1295">
        <v>8</v>
      </c>
      <c r="X1295" s="2">
        <v>115.99</v>
      </c>
      <c r="Y1295">
        <v>89609</v>
      </c>
      <c r="Z1295">
        <f t="shared" si="20"/>
        <v>927.92</v>
      </c>
    </row>
    <row r="1296" spans="1:26" x14ac:dyDescent="0.25">
      <c r="A1296">
        <v>23694</v>
      </c>
      <c r="B1296" t="s">
        <v>37</v>
      </c>
      <c r="C1296" s="2">
        <v>0.08</v>
      </c>
      <c r="D1296" s="2">
        <v>2.78</v>
      </c>
      <c r="E1296" s="2">
        <v>1.25</v>
      </c>
      <c r="F1296">
        <v>2334</v>
      </c>
      <c r="G1296" t="s">
        <v>2186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2188</v>
      </c>
      <c r="N1296">
        <v>0.59</v>
      </c>
      <c r="O1296" t="s">
        <v>33</v>
      </c>
      <c r="P1296" t="s">
        <v>61</v>
      </c>
      <c r="Q1296" t="s">
        <v>1843</v>
      </c>
      <c r="R1296" t="s">
        <v>2187</v>
      </c>
      <c r="S1296">
        <v>53220</v>
      </c>
      <c r="T1296" s="1">
        <v>42103</v>
      </c>
      <c r="U1296" s="1">
        <v>42104</v>
      </c>
      <c r="V1296" s="2">
        <v>-8.77</v>
      </c>
      <c r="W1296">
        <v>7</v>
      </c>
      <c r="X1296" s="2">
        <v>19.46</v>
      </c>
      <c r="Y1296">
        <v>89609</v>
      </c>
      <c r="Z1296">
        <f t="shared" si="20"/>
        <v>136.22</v>
      </c>
    </row>
    <row r="1297" spans="1:26" x14ac:dyDescent="0.25">
      <c r="A1297">
        <v>24952</v>
      </c>
      <c r="B1297" t="s">
        <v>106</v>
      </c>
      <c r="C1297" s="2">
        <v>0.06</v>
      </c>
      <c r="D1297" s="2">
        <v>3.74</v>
      </c>
      <c r="E1297" s="2">
        <v>0.94</v>
      </c>
      <c r="F1297">
        <v>2334</v>
      </c>
      <c r="G1297" t="s">
        <v>2186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2189</v>
      </c>
      <c r="N1297">
        <v>0.83</v>
      </c>
      <c r="O1297" t="s">
        <v>33</v>
      </c>
      <c r="P1297" t="s">
        <v>61</v>
      </c>
      <c r="Q1297" t="s">
        <v>1843</v>
      </c>
      <c r="R1297" t="s">
        <v>2187</v>
      </c>
      <c r="S1297">
        <v>53220</v>
      </c>
      <c r="T1297" s="1">
        <v>42157</v>
      </c>
      <c r="U1297" s="1">
        <v>42164</v>
      </c>
      <c r="V1297" s="2">
        <v>-7.6849999999999996</v>
      </c>
      <c r="W1297">
        <v>12</v>
      </c>
      <c r="X1297" s="2">
        <v>44.75</v>
      </c>
      <c r="Y1297">
        <v>89610</v>
      </c>
      <c r="Z1297">
        <f t="shared" si="20"/>
        <v>537</v>
      </c>
    </row>
    <row r="1298" spans="1:26" x14ac:dyDescent="0.25">
      <c r="A1298">
        <v>25241</v>
      </c>
      <c r="B1298" t="s">
        <v>47</v>
      </c>
      <c r="C1298" s="2">
        <v>0.06</v>
      </c>
      <c r="D1298" s="2">
        <v>2.08</v>
      </c>
      <c r="E1298" s="2">
        <v>5.33</v>
      </c>
      <c r="F1298">
        <v>2338</v>
      </c>
      <c r="G1298" t="s">
        <v>2190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736</v>
      </c>
      <c r="N1298">
        <v>0.43</v>
      </c>
      <c r="O1298" t="s">
        <v>33</v>
      </c>
      <c r="P1298" t="s">
        <v>53</v>
      </c>
      <c r="Q1298" t="s">
        <v>409</v>
      </c>
      <c r="R1298" t="s">
        <v>2091</v>
      </c>
      <c r="S1298">
        <v>20740</v>
      </c>
      <c r="T1298" s="1">
        <v>42017</v>
      </c>
      <c r="U1298" s="1">
        <v>42017</v>
      </c>
      <c r="V1298" s="2">
        <v>-82.559200000000004</v>
      </c>
      <c r="W1298">
        <v>4</v>
      </c>
      <c r="X1298" s="2">
        <v>9.23</v>
      </c>
      <c r="Y1298">
        <v>91480</v>
      </c>
      <c r="Z1298">
        <f t="shared" si="20"/>
        <v>36.92</v>
      </c>
    </row>
    <row r="1299" spans="1:26" x14ac:dyDescent="0.25">
      <c r="A1299">
        <v>26137</v>
      </c>
      <c r="B1299" t="s">
        <v>25</v>
      </c>
      <c r="C1299" s="2">
        <v>0.1</v>
      </c>
      <c r="D1299" s="2">
        <v>6.75</v>
      </c>
      <c r="E1299" s="2">
        <v>2.99</v>
      </c>
      <c r="F1299">
        <v>2338</v>
      </c>
      <c r="G1299" t="s">
        <v>2190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2191</v>
      </c>
      <c r="N1299">
        <v>0.35</v>
      </c>
      <c r="O1299" t="s">
        <v>33</v>
      </c>
      <c r="P1299" t="s">
        <v>53</v>
      </c>
      <c r="Q1299" t="s">
        <v>409</v>
      </c>
      <c r="R1299" t="s">
        <v>2091</v>
      </c>
      <c r="S1299">
        <v>20740</v>
      </c>
      <c r="T1299" s="1">
        <v>42092</v>
      </c>
      <c r="U1299" s="1">
        <v>42092</v>
      </c>
      <c r="V1299" s="2">
        <v>18.147500000000001</v>
      </c>
      <c r="W1299">
        <v>15</v>
      </c>
      <c r="X1299" s="2">
        <v>96.13</v>
      </c>
      <c r="Y1299">
        <v>91481</v>
      </c>
      <c r="Z1299">
        <f t="shared" si="20"/>
        <v>1441.9499999999998</v>
      </c>
    </row>
    <row r="1300" spans="1:26" x14ac:dyDescent="0.25">
      <c r="A1300">
        <v>22526</v>
      </c>
      <c r="B1300" t="s">
        <v>56</v>
      </c>
      <c r="C1300" s="2">
        <v>0.05</v>
      </c>
      <c r="D1300" s="2">
        <v>11.58</v>
      </c>
      <c r="E1300" s="2">
        <v>6.97</v>
      </c>
      <c r="F1300">
        <v>2339</v>
      </c>
      <c r="G1300" t="s">
        <v>2192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678</v>
      </c>
      <c r="N1300">
        <v>0.35</v>
      </c>
      <c r="O1300" t="s">
        <v>33</v>
      </c>
      <c r="P1300" t="s">
        <v>61</v>
      </c>
      <c r="Q1300" t="s">
        <v>129</v>
      </c>
      <c r="R1300" t="s">
        <v>2193</v>
      </c>
      <c r="S1300">
        <v>77015</v>
      </c>
      <c r="T1300" s="1">
        <v>42149</v>
      </c>
      <c r="U1300" s="1">
        <v>42152</v>
      </c>
      <c r="V1300" s="2">
        <v>2.806</v>
      </c>
      <c r="W1300">
        <v>6</v>
      </c>
      <c r="X1300" s="2">
        <v>73.959999999999994</v>
      </c>
      <c r="Y1300">
        <v>91482</v>
      </c>
      <c r="Z1300">
        <f t="shared" si="20"/>
        <v>443.76</v>
      </c>
    </row>
    <row r="1301" spans="1:26" x14ac:dyDescent="0.25">
      <c r="A1301">
        <v>19052</v>
      </c>
      <c r="B1301" t="s">
        <v>56</v>
      </c>
      <c r="C1301" s="2">
        <v>7.0000000000000007E-2</v>
      </c>
      <c r="D1301" s="2">
        <v>200.98</v>
      </c>
      <c r="E1301" s="2">
        <v>23.76</v>
      </c>
      <c r="F1301">
        <v>2345</v>
      </c>
      <c r="G1301" t="s">
        <v>2194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2195</v>
      </c>
      <c r="N1301">
        <v>0.57999999999999996</v>
      </c>
      <c r="O1301" t="s">
        <v>33</v>
      </c>
      <c r="P1301" t="s">
        <v>135</v>
      </c>
      <c r="Q1301" t="s">
        <v>606</v>
      </c>
      <c r="R1301" t="s">
        <v>2111</v>
      </c>
      <c r="S1301">
        <v>42003</v>
      </c>
      <c r="T1301" s="1">
        <v>42077</v>
      </c>
      <c r="U1301" s="1">
        <v>42078</v>
      </c>
      <c r="V1301" s="2">
        <v>-132.42599999999999</v>
      </c>
      <c r="W1301">
        <v>9</v>
      </c>
      <c r="X1301" s="2">
        <v>1805.9</v>
      </c>
      <c r="Y1301">
        <v>89504</v>
      </c>
      <c r="Z1301">
        <f t="shared" si="20"/>
        <v>16253.1</v>
      </c>
    </row>
    <row r="1302" spans="1:26" x14ac:dyDescent="0.25">
      <c r="A1302">
        <v>19053</v>
      </c>
      <c r="B1302" t="s">
        <v>56</v>
      </c>
      <c r="C1302" s="2">
        <v>0.02</v>
      </c>
      <c r="D1302" s="2">
        <v>179.29</v>
      </c>
      <c r="E1302" s="2">
        <v>29.21</v>
      </c>
      <c r="F1302">
        <v>2345</v>
      </c>
      <c r="G1302" t="s">
        <v>2194</v>
      </c>
      <c r="H1302" t="s">
        <v>39</v>
      </c>
      <c r="I1302" t="s">
        <v>28</v>
      </c>
      <c r="J1302" t="s">
        <v>41</v>
      </c>
      <c r="K1302" t="s">
        <v>150</v>
      </c>
      <c r="L1302" t="s">
        <v>120</v>
      </c>
      <c r="M1302" t="s">
        <v>622</v>
      </c>
      <c r="N1302">
        <v>0.76</v>
      </c>
      <c r="O1302" t="s">
        <v>33</v>
      </c>
      <c r="P1302" t="s">
        <v>135</v>
      </c>
      <c r="Q1302" t="s">
        <v>606</v>
      </c>
      <c r="R1302" t="s">
        <v>2111</v>
      </c>
      <c r="S1302">
        <v>42003</v>
      </c>
      <c r="T1302" s="1">
        <v>42077</v>
      </c>
      <c r="U1302" s="1">
        <v>42077</v>
      </c>
      <c r="V1302" s="2">
        <v>-411.23599999999999</v>
      </c>
      <c r="W1302">
        <v>2</v>
      </c>
      <c r="X1302" s="2">
        <v>311.41000000000003</v>
      </c>
      <c r="Y1302">
        <v>89504</v>
      </c>
      <c r="Z1302">
        <f t="shared" si="20"/>
        <v>622.82000000000005</v>
      </c>
    </row>
    <row r="1303" spans="1:26" x14ac:dyDescent="0.25">
      <c r="A1303">
        <v>20776</v>
      </c>
      <c r="B1303" t="s">
        <v>106</v>
      </c>
      <c r="C1303" s="2">
        <v>0.03</v>
      </c>
      <c r="D1303" s="2">
        <v>297.64</v>
      </c>
      <c r="E1303" s="2">
        <v>14.7</v>
      </c>
      <c r="F1303">
        <v>2346</v>
      </c>
      <c r="G1303" t="s">
        <v>2196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558</v>
      </c>
      <c r="N1303">
        <v>0.56999999999999995</v>
      </c>
      <c r="O1303" t="s">
        <v>33</v>
      </c>
      <c r="P1303" t="s">
        <v>135</v>
      </c>
      <c r="Q1303" t="s">
        <v>606</v>
      </c>
      <c r="R1303" t="s">
        <v>2197</v>
      </c>
      <c r="S1303">
        <v>40258</v>
      </c>
      <c r="T1303" s="1">
        <v>42014</v>
      </c>
      <c r="U1303" s="1">
        <v>42019</v>
      </c>
      <c r="V1303" s="2">
        <v>-48.972000000000001</v>
      </c>
      <c r="W1303">
        <v>12</v>
      </c>
      <c r="X1303" s="2">
        <v>3707.05</v>
      </c>
      <c r="Y1303">
        <v>89503</v>
      </c>
      <c r="Z1303">
        <f t="shared" si="20"/>
        <v>44484.600000000006</v>
      </c>
    </row>
    <row r="1304" spans="1:26" x14ac:dyDescent="0.25">
      <c r="A1304">
        <v>21627</v>
      </c>
      <c r="B1304" t="s">
        <v>25</v>
      </c>
      <c r="C1304" s="2">
        <v>0.1</v>
      </c>
      <c r="D1304" s="2">
        <v>218.75</v>
      </c>
      <c r="E1304" s="2">
        <v>69.64</v>
      </c>
      <c r="F1304">
        <v>2346</v>
      </c>
      <c r="G1304" t="s">
        <v>2196</v>
      </c>
      <c r="H1304" t="s">
        <v>39</v>
      </c>
      <c r="I1304" t="s">
        <v>28</v>
      </c>
      <c r="J1304" t="s">
        <v>41</v>
      </c>
      <c r="K1304" t="s">
        <v>150</v>
      </c>
      <c r="L1304" t="s">
        <v>120</v>
      </c>
      <c r="M1304" t="s">
        <v>648</v>
      </c>
      <c r="N1304">
        <v>0.77</v>
      </c>
      <c r="O1304" t="s">
        <v>33</v>
      </c>
      <c r="P1304" t="s">
        <v>135</v>
      </c>
      <c r="Q1304" t="s">
        <v>606</v>
      </c>
      <c r="R1304" t="s">
        <v>2197</v>
      </c>
      <c r="S1304">
        <v>40258</v>
      </c>
      <c r="T1304" s="1">
        <v>42144</v>
      </c>
      <c r="U1304" s="1">
        <v>42145</v>
      </c>
      <c r="V1304" s="2">
        <v>62.298000000000002</v>
      </c>
      <c r="W1304">
        <v>17</v>
      </c>
      <c r="X1304" s="2">
        <v>2805.18</v>
      </c>
      <c r="Y1304">
        <v>89505</v>
      </c>
      <c r="Z1304">
        <f t="shared" si="20"/>
        <v>47688.06</v>
      </c>
    </row>
    <row r="1305" spans="1:26" x14ac:dyDescent="0.25">
      <c r="A1305">
        <v>18675</v>
      </c>
      <c r="B1305" t="s">
        <v>47</v>
      </c>
      <c r="C1305" s="2">
        <v>0.08</v>
      </c>
      <c r="D1305" s="2">
        <v>6.48</v>
      </c>
      <c r="E1305" s="2">
        <v>7.49</v>
      </c>
      <c r="F1305">
        <v>2351</v>
      </c>
      <c r="G1305" t="s">
        <v>2198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1935</v>
      </c>
      <c r="N1305">
        <v>0.37</v>
      </c>
      <c r="O1305" t="s">
        <v>33</v>
      </c>
      <c r="P1305" t="s">
        <v>53</v>
      </c>
      <c r="Q1305" t="s">
        <v>409</v>
      </c>
      <c r="R1305" t="s">
        <v>2199</v>
      </c>
      <c r="S1305">
        <v>21114</v>
      </c>
      <c r="T1305" s="1">
        <v>42093</v>
      </c>
      <c r="U1305" s="1">
        <v>42096</v>
      </c>
      <c r="V1305" s="2">
        <v>-119.32</v>
      </c>
      <c r="W1305">
        <v>13</v>
      </c>
      <c r="X1305" s="2">
        <v>80.86</v>
      </c>
      <c r="Y1305">
        <v>86163</v>
      </c>
      <c r="Z1305">
        <f t="shared" si="20"/>
        <v>1051.18</v>
      </c>
    </row>
    <row r="1306" spans="1:26" x14ac:dyDescent="0.25">
      <c r="A1306">
        <v>20904</v>
      </c>
      <c r="B1306" t="s">
        <v>47</v>
      </c>
      <c r="C1306" s="2">
        <v>0.06</v>
      </c>
      <c r="D1306" s="2">
        <v>59.76</v>
      </c>
      <c r="E1306" s="2">
        <v>9.7100000000000009</v>
      </c>
      <c r="F1306">
        <v>2352</v>
      </c>
      <c r="G1306" t="s">
        <v>2200</v>
      </c>
      <c r="H1306" t="s">
        <v>49</v>
      </c>
      <c r="I1306" t="s">
        <v>114</v>
      </c>
      <c r="J1306" t="s">
        <v>29</v>
      </c>
      <c r="K1306" t="s">
        <v>139</v>
      </c>
      <c r="L1306" t="s">
        <v>59</v>
      </c>
      <c r="M1306" t="s">
        <v>1018</v>
      </c>
      <c r="N1306">
        <v>0.56999999999999995</v>
      </c>
      <c r="O1306" t="s">
        <v>33</v>
      </c>
      <c r="P1306" t="s">
        <v>53</v>
      </c>
      <c r="Q1306" t="s">
        <v>409</v>
      </c>
      <c r="R1306" t="s">
        <v>2201</v>
      </c>
      <c r="S1306">
        <v>21501</v>
      </c>
      <c r="T1306" s="1">
        <v>42175</v>
      </c>
      <c r="U1306" s="1">
        <v>42178</v>
      </c>
      <c r="V1306" s="2">
        <v>756.67470000000003</v>
      </c>
      <c r="W1306">
        <v>18</v>
      </c>
      <c r="X1306" s="2">
        <v>1096.6300000000001</v>
      </c>
      <c r="Y1306">
        <v>86165</v>
      </c>
      <c r="Z1306">
        <f t="shared" si="20"/>
        <v>19739.340000000004</v>
      </c>
    </row>
    <row r="1307" spans="1:26" x14ac:dyDescent="0.25">
      <c r="A1307">
        <v>20905</v>
      </c>
      <c r="B1307" t="s">
        <v>47</v>
      </c>
      <c r="C1307" s="2">
        <v>7.0000000000000007E-2</v>
      </c>
      <c r="D1307" s="2">
        <v>195.99</v>
      </c>
      <c r="E1307" s="2">
        <v>4.2</v>
      </c>
      <c r="F1307">
        <v>2352</v>
      </c>
      <c r="G1307" t="s">
        <v>2200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2202</v>
      </c>
      <c r="N1307">
        <v>0.56000000000000005</v>
      </c>
      <c r="O1307" t="s">
        <v>33</v>
      </c>
      <c r="P1307" t="s">
        <v>53</v>
      </c>
      <c r="Q1307" t="s">
        <v>409</v>
      </c>
      <c r="R1307" t="s">
        <v>2201</v>
      </c>
      <c r="S1307">
        <v>21501</v>
      </c>
      <c r="T1307" s="1">
        <v>42175</v>
      </c>
      <c r="U1307" s="1">
        <v>42178</v>
      </c>
      <c r="V1307" s="2">
        <v>-222.34299999999999</v>
      </c>
      <c r="W1307">
        <v>4</v>
      </c>
      <c r="X1307" s="2">
        <v>632.12</v>
      </c>
      <c r="Y1307">
        <v>86165</v>
      </c>
      <c r="Z1307">
        <f t="shared" si="20"/>
        <v>2528.48</v>
      </c>
    </row>
    <row r="1308" spans="1:26" x14ac:dyDescent="0.25">
      <c r="A1308">
        <v>19270</v>
      </c>
      <c r="B1308" t="s">
        <v>37</v>
      </c>
      <c r="C1308" s="2">
        <v>0.09</v>
      </c>
      <c r="D1308" s="2">
        <v>71.37</v>
      </c>
      <c r="E1308" s="2">
        <v>69</v>
      </c>
      <c r="F1308">
        <v>2352</v>
      </c>
      <c r="G1308" t="s">
        <v>2200</v>
      </c>
      <c r="H1308" t="s">
        <v>49</v>
      </c>
      <c r="I1308" t="s">
        <v>40</v>
      </c>
      <c r="J1308" t="s">
        <v>41</v>
      </c>
      <c r="K1308" t="s">
        <v>150</v>
      </c>
      <c r="L1308" t="s">
        <v>231</v>
      </c>
      <c r="M1308" t="s">
        <v>2203</v>
      </c>
      <c r="N1308">
        <v>0.68</v>
      </c>
      <c r="O1308" t="s">
        <v>33</v>
      </c>
      <c r="P1308" t="s">
        <v>53</v>
      </c>
      <c r="Q1308" t="s">
        <v>409</v>
      </c>
      <c r="R1308" t="s">
        <v>2201</v>
      </c>
      <c r="S1308">
        <v>21501</v>
      </c>
      <c r="T1308" s="1">
        <v>42178</v>
      </c>
      <c r="U1308" s="1">
        <v>42179</v>
      </c>
      <c r="V1308" s="2">
        <v>-1537.1356000000001</v>
      </c>
      <c r="W1308">
        <v>19</v>
      </c>
      <c r="X1308" s="2">
        <v>1302.98</v>
      </c>
      <c r="Y1308">
        <v>86166</v>
      </c>
      <c r="Z1308">
        <f t="shared" si="20"/>
        <v>24756.62</v>
      </c>
    </row>
    <row r="1309" spans="1:26" x14ac:dyDescent="0.25">
      <c r="A1309">
        <v>25338</v>
      </c>
      <c r="B1309" t="s">
        <v>47</v>
      </c>
      <c r="C1309" s="2">
        <v>0.04</v>
      </c>
      <c r="D1309" s="2">
        <v>5.98</v>
      </c>
      <c r="E1309" s="2">
        <v>0.96</v>
      </c>
      <c r="F1309">
        <v>2353</v>
      </c>
      <c r="G1309" t="s">
        <v>2204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1804</v>
      </c>
      <c r="N1309">
        <v>0.6</v>
      </c>
      <c r="O1309" t="s">
        <v>33</v>
      </c>
      <c r="P1309" t="s">
        <v>53</v>
      </c>
      <c r="Q1309" t="s">
        <v>409</v>
      </c>
      <c r="R1309" t="s">
        <v>2205</v>
      </c>
      <c r="S1309">
        <v>21040</v>
      </c>
      <c r="T1309" s="1">
        <v>42123</v>
      </c>
      <c r="U1309" s="1">
        <v>42124</v>
      </c>
      <c r="V1309" s="2">
        <v>52.697600000000001</v>
      </c>
      <c r="W1309">
        <v>22</v>
      </c>
      <c r="X1309" s="2">
        <v>131.79</v>
      </c>
      <c r="Y1309">
        <v>86164</v>
      </c>
      <c r="Z1309">
        <f t="shared" si="20"/>
        <v>2899.3799999999997</v>
      </c>
    </row>
    <row r="1310" spans="1:26" x14ac:dyDescent="0.25">
      <c r="A1310">
        <v>25339</v>
      </c>
      <c r="B1310" t="s">
        <v>47</v>
      </c>
      <c r="C1310" s="2">
        <v>0.01</v>
      </c>
      <c r="D1310" s="2">
        <v>20.99</v>
      </c>
      <c r="E1310" s="2">
        <v>0.99</v>
      </c>
      <c r="F1310">
        <v>2353</v>
      </c>
      <c r="G1310" t="s">
        <v>2204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589</v>
      </c>
      <c r="N1310">
        <v>0.56999999999999995</v>
      </c>
      <c r="O1310" t="s">
        <v>33</v>
      </c>
      <c r="P1310" t="s">
        <v>53</v>
      </c>
      <c r="Q1310" t="s">
        <v>409</v>
      </c>
      <c r="R1310" t="s">
        <v>2205</v>
      </c>
      <c r="S1310">
        <v>21040</v>
      </c>
      <c r="T1310" s="1">
        <v>42123</v>
      </c>
      <c r="U1310" s="1">
        <v>42124</v>
      </c>
      <c r="V1310" s="2">
        <v>-78.194159999999997</v>
      </c>
      <c r="W1310">
        <v>2</v>
      </c>
      <c r="X1310" s="2">
        <v>35.33</v>
      </c>
      <c r="Y1310">
        <v>86164</v>
      </c>
      <c r="Z1310">
        <f t="shared" si="20"/>
        <v>70.66</v>
      </c>
    </row>
    <row r="1311" spans="1:26" x14ac:dyDescent="0.25">
      <c r="A1311">
        <v>22649</v>
      </c>
      <c r="B1311" t="s">
        <v>37</v>
      </c>
      <c r="C1311" s="2">
        <v>0.1</v>
      </c>
      <c r="D1311" s="2">
        <v>78.69</v>
      </c>
      <c r="E1311" s="2">
        <v>19.989999999999998</v>
      </c>
      <c r="F1311">
        <v>2355</v>
      </c>
      <c r="G1311" t="s">
        <v>2206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2180</v>
      </c>
      <c r="S1311">
        <v>92236</v>
      </c>
      <c r="T1311" s="1">
        <v>42050</v>
      </c>
      <c r="U1311" s="1">
        <v>42051</v>
      </c>
      <c r="V1311" s="2">
        <v>465.43950000000001</v>
      </c>
      <c r="W1311">
        <v>9</v>
      </c>
      <c r="X1311" s="2">
        <v>674.55</v>
      </c>
      <c r="Y1311">
        <v>91304</v>
      </c>
      <c r="Z1311">
        <f t="shared" si="20"/>
        <v>6070.95</v>
      </c>
    </row>
    <row r="1312" spans="1:26" x14ac:dyDescent="0.25">
      <c r="A1312">
        <v>21511</v>
      </c>
      <c r="B1312" t="s">
        <v>56</v>
      </c>
      <c r="C1312" s="2">
        <v>0.06</v>
      </c>
      <c r="D1312" s="2">
        <v>146.34</v>
      </c>
      <c r="E1312" s="2">
        <v>43.75</v>
      </c>
      <c r="F1312">
        <v>2355</v>
      </c>
      <c r="G1312" t="s">
        <v>2206</v>
      </c>
      <c r="H1312" t="s">
        <v>39</v>
      </c>
      <c r="I1312" t="s">
        <v>114</v>
      </c>
      <c r="J1312" t="s">
        <v>41</v>
      </c>
      <c r="K1312" t="s">
        <v>150</v>
      </c>
      <c r="L1312" t="s">
        <v>120</v>
      </c>
      <c r="M1312" t="s">
        <v>2172</v>
      </c>
      <c r="N1312">
        <v>0.65</v>
      </c>
      <c r="O1312" t="s">
        <v>33</v>
      </c>
      <c r="P1312" t="s">
        <v>34</v>
      </c>
      <c r="Q1312" t="s">
        <v>45</v>
      </c>
      <c r="R1312" t="s">
        <v>2180</v>
      </c>
      <c r="S1312">
        <v>92236</v>
      </c>
      <c r="T1312" s="1">
        <v>42171</v>
      </c>
      <c r="U1312" s="1">
        <v>42173</v>
      </c>
      <c r="V1312" s="2">
        <v>-89.27</v>
      </c>
      <c r="W1312">
        <v>12</v>
      </c>
      <c r="X1312" s="2">
        <v>1721.24</v>
      </c>
      <c r="Y1312">
        <v>91306</v>
      </c>
      <c r="Z1312">
        <f t="shared" si="20"/>
        <v>20654.88</v>
      </c>
    </row>
    <row r="1313" spans="1:26" x14ac:dyDescent="0.25">
      <c r="A1313">
        <v>24526</v>
      </c>
      <c r="B1313" t="s">
        <v>56</v>
      </c>
      <c r="C1313" s="2">
        <v>0</v>
      </c>
      <c r="D1313" s="2">
        <v>29.34</v>
      </c>
      <c r="E1313" s="2">
        <v>7.87</v>
      </c>
      <c r="F1313">
        <v>2356</v>
      </c>
      <c r="G1313" t="s">
        <v>2207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549</v>
      </c>
      <c r="N1313">
        <v>0.54</v>
      </c>
      <c r="O1313" t="s">
        <v>33</v>
      </c>
      <c r="P1313" t="s">
        <v>34</v>
      </c>
      <c r="Q1313" t="s">
        <v>2208</v>
      </c>
      <c r="R1313" t="s">
        <v>2209</v>
      </c>
      <c r="S1313">
        <v>82901</v>
      </c>
      <c r="T1313" s="1">
        <v>42078</v>
      </c>
      <c r="U1313" s="1">
        <v>42080</v>
      </c>
      <c r="V1313" s="2">
        <v>385.37</v>
      </c>
      <c r="W1313">
        <v>22</v>
      </c>
      <c r="X1313" s="2">
        <v>668.38</v>
      </c>
      <c r="Y1313">
        <v>91305</v>
      </c>
      <c r="Z1313">
        <f t="shared" si="20"/>
        <v>14704.36</v>
      </c>
    </row>
    <row r="1314" spans="1:26" x14ac:dyDescent="0.25">
      <c r="A1314">
        <v>20798</v>
      </c>
      <c r="B1314" t="s">
        <v>106</v>
      </c>
      <c r="C1314" s="2">
        <v>0.1</v>
      </c>
      <c r="D1314" s="2">
        <v>205.99</v>
      </c>
      <c r="E1314" s="2">
        <v>8.99</v>
      </c>
      <c r="F1314">
        <v>2358</v>
      </c>
      <c r="G1314" t="s">
        <v>2210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135</v>
      </c>
      <c r="Q1314" t="s">
        <v>356</v>
      </c>
      <c r="R1314" t="s">
        <v>2040</v>
      </c>
      <c r="S1314">
        <v>33311</v>
      </c>
      <c r="T1314" s="1">
        <v>42067</v>
      </c>
      <c r="U1314" s="1">
        <v>42071</v>
      </c>
      <c r="V1314" s="2">
        <v>147</v>
      </c>
      <c r="W1314">
        <v>2</v>
      </c>
      <c r="X1314" s="2">
        <v>324.62</v>
      </c>
      <c r="Y1314">
        <v>88267</v>
      </c>
      <c r="Z1314">
        <f t="shared" si="20"/>
        <v>649.24</v>
      </c>
    </row>
    <row r="1315" spans="1:26" x14ac:dyDescent="0.25">
      <c r="A1315">
        <v>18892</v>
      </c>
      <c r="B1315" t="s">
        <v>47</v>
      </c>
      <c r="C1315" s="2">
        <v>0.05</v>
      </c>
      <c r="D1315" s="2">
        <v>2.08</v>
      </c>
      <c r="E1315" s="2">
        <v>2.56</v>
      </c>
      <c r="F1315">
        <v>2358</v>
      </c>
      <c r="G1315" t="s">
        <v>2210</v>
      </c>
      <c r="H1315" t="s">
        <v>49</v>
      </c>
      <c r="I1315" t="s">
        <v>40</v>
      </c>
      <c r="J1315" t="s">
        <v>29</v>
      </c>
      <c r="K1315" t="s">
        <v>171</v>
      </c>
      <c r="L1315" t="s">
        <v>51</v>
      </c>
      <c r="M1315" t="s">
        <v>310</v>
      </c>
      <c r="N1315">
        <v>0.55000000000000004</v>
      </c>
      <c r="O1315" t="s">
        <v>33</v>
      </c>
      <c r="P1315" t="s">
        <v>135</v>
      </c>
      <c r="Q1315" t="s">
        <v>356</v>
      </c>
      <c r="R1315" t="s">
        <v>2040</v>
      </c>
      <c r="S1315">
        <v>33311</v>
      </c>
      <c r="T1315" s="1">
        <v>42049</v>
      </c>
      <c r="U1315" s="1">
        <v>42051</v>
      </c>
      <c r="V1315" s="2">
        <v>-1045.0160000000001</v>
      </c>
      <c r="W1315">
        <v>19</v>
      </c>
      <c r="X1315" s="2">
        <v>40.93</v>
      </c>
      <c r="Y1315">
        <v>88268</v>
      </c>
      <c r="Z1315">
        <f t="shared" si="20"/>
        <v>777.67</v>
      </c>
    </row>
    <row r="1316" spans="1:26" x14ac:dyDescent="0.25">
      <c r="A1316">
        <v>21772</v>
      </c>
      <c r="B1316" t="s">
        <v>47</v>
      </c>
      <c r="C1316" s="2">
        <v>0</v>
      </c>
      <c r="D1316" s="2">
        <v>7.28</v>
      </c>
      <c r="E1316" s="2">
        <v>1.77</v>
      </c>
      <c r="F1316">
        <v>2359</v>
      </c>
      <c r="G1316" t="s">
        <v>2211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2212</v>
      </c>
      <c r="N1316">
        <v>0.37</v>
      </c>
      <c r="O1316" t="s">
        <v>33</v>
      </c>
      <c r="P1316" t="s">
        <v>135</v>
      </c>
      <c r="Q1316" t="s">
        <v>356</v>
      </c>
      <c r="R1316" t="s">
        <v>2213</v>
      </c>
      <c r="S1316">
        <v>33917</v>
      </c>
      <c r="T1316" s="1">
        <v>42040</v>
      </c>
      <c r="U1316" s="1">
        <v>42040</v>
      </c>
      <c r="V1316" s="2">
        <v>167.16</v>
      </c>
      <c r="W1316">
        <v>7</v>
      </c>
      <c r="X1316" s="2">
        <v>53.42</v>
      </c>
      <c r="Y1316">
        <v>88265</v>
      </c>
      <c r="Z1316">
        <f t="shared" si="20"/>
        <v>373.94</v>
      </c>
    </row>
    <row r="1317" spans="1:26" x14ac:dyDescent="0.25">
      <c r="A1317">
        <v>24890</v>
      </c>
      <c r="B1317" t="s">
        <v>25</v>
      </c>
      <c r="C1317" s="2">
        <v>0.06</v>
      </c>
      <c r="D1317" s="2">
        <v>8.33</v>
      </c>
      <c r="E1317" s="2">
        <v>1.99</v>
      </c>
      <c r="F1317">
        <v>2361</v>
      </c>
      <c r="G1317" t="s">
        <v>2214</v>
      </c>
      <c r="H1317" t="s">
        <v>49</v>
      </c>
      <c r="I1317" t="s">
        <v>28</v>
      </c>
      <c r="J1317" t="s">
        <v>77</v>
      </c>
      <c r="K1317" t="s">
        <v>177</v>
      </c>
      <c r="L1317" t="s">
        <v>51</v>
      </c>
      <c r="M1317" t="s">
        <v>408</v>
      </c>
      <c r="N1317">
        <v>0.52</v>
      </c>
      <c r="O1317" t="s">
        <v>33</v>
      </c>
      <c r="P1317" t="s">
        <v>135</v>
      </c>
      <c r="Q1317" t="s">
        <v>356</v>
      </c>
      <c r="R1317" t="s">
        <v>2215</v>
      </c>
      <c r="S1317">
        <v>32259</v>
      </c>
      <c r="T1317" s="1">
        <v>42060</v>
      </c>
      <c r="U1317" s="1">
        <v>42061</v>
      </c>
      <c r="V1317" s="2">
        <v>-344.82</v>
      </c>
      <c r="W1317">
        <v>1</v>
      </c>
      <c r="X1317" s="2">
        <v>8.49</v>
      </c>
      <c r="Y1317">
        <v>88266</v>
      </c>
      <c r="Z1317">
        <f t="shared" si="20"/>
        <v>8.49</v>
      </c>
    </row>
    <row r="1318" spans="1:26" x14ac:dyDescent="0.25">
      <c r="A1318">
        <v>19369</v>
      </c>
      <c r="B1318" t="s">
        <v>25</v>
      </c>
      <c r="C1318" s="2">
        <v>0</v>
      </c>
      <c r="D1318" s="2">
        <v>5.77</v>
      </c>
      <c r="E1318" s="2">
        <v>5.92</v>
      </c>
      <c r="F1318">
        <v>2363</v>
      </c>
      <c r="G1318" t="s">
        <v>2216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2217</v>
      </c>
      <c r="N1318">
        <v>0.55000000000000004</v>
      </c>
      <c r="O1318" t="s">
        <v>33</v>
      </c>
      <c r="P1318" t="s">
        <v>53</v>
      </c>
      <c r="Q1318" t="s">
        <v>152</v>
      </c>
      <c r="R1318" t="s">
        <v>2100</v>
      </c>
      <c r="S1318">
        <v>44256</v>
      </c>
      <c r="T1318" s="1">
        <v>42105</v>
      </c>
      <c r="U1318" s="1">
        <v>42107</v>
      </c>
      <c r="V1318" s="2">
        <v>-61.5276</v>
      </c>
      <c r="W1318">
        <v>11</v>
      </c>
      <c r="X1318" s="2">
        <v>69.89</v>
      </c>
      <c r="Y1318">
        <v>90040</v>
      </c>
      <c r="Z1318">
        <f t="shared" si="20"/>
        <v>768.79</v>
      </c>
    </row>
    <row r="1319" spans="1:26" x14ac:dyDescent="0.25">
      <c r="A1319">
        <v>21582</v>
      </c>
      <c r="B1319" t="s">
        <v>106</v>
      </c>
      <c r="C1319" s="2">
        <v>7.0000000000000007E-2</v>
      </c>
      <c r="D1319" s="2">
        <v>5.98</v>
      </c>
      <c r="E1319" s="2">
        <v>5.79</v>
      </c>
      <c r="F1319">
        <v>2369</v>
      </c>
      <c r="G1319" t="s">
        <v>2218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122</v>
      </c>
      <c r="N1319">
        <v>0.36</v>
      </c>
      <c r="O1319" t="s">
        <v>33</v>
      </c>
      <c r="P1319" t="s">
        <v>135</v>
      </c>
      <c r="Q1319" t="s">
        <v>356</v>
      </c>
      <c r="R1319" t="s">
        <v>2219</v>
      </c>
      <c r="S1319">
        <v>33024</v>
      </c>
      <c r="T1319" s="1">
        <v>42017</v>
      </c>
      <c r="U1319" s="1">
        <v>42019</v>
      </c>
      <c r="V1319" s="2">
        <v>-41.972700000000003</v>
      </c>
      <c r="W1319">
        <v>13</v>
      </c>
      <c r="X1319" s="2">
        <v>77.42</v>
      </c>
      <c r="Y1319">
        <v>90408</v>
      </c>
      <c r="Z1319">
        <f t="shared" si="20"/>
        <v>1006.46</v>
      </c>
    </row>
    <row r="1320" spans="1:26" x14ac:dyDescent="0.25">
      <c r="A1320">
        <v>21988</v>
      </c>
      <c r="B1320" t="s">
        <v>56</v>
      </c>
      <c r="C1320" s="2">
        <v>0.01</v>
      </c>
      <c r="D1320" s="2">
        <v>1.76</v>
      </c>
      <c r="E1320" s="2">
        <v>0.7</v>
      </c>
      <c r="F1320">
        <v>2372</v>
      </c>
      <c r="G1320" t="s">
        <v>2220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126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2221</v>
      </c>
      <c r="S1320">
        <v>55803</v>
      </c>
      <c r="T1320" s="1">
        <v>42078</v>
      </c>
      <c r="U1320" s="1">
        <v>42079</v>
      </c>
      <c r="V1320" s="2">
        <v>-1.56</v>
      </c>
      <c r="W1320">
        <v>4</v>
      </c>
      <c r="X1320" s="2">
        <v>7.2</v>
      </c>
      <c r="Y1320">
        <v>90714</v>
      </c>
      <c r="Z1320">
        <f t="shared" si="20"/>
        <v>28.8</v>
      </c>
    </row>
    <row r="1321" spans="1:26" x14ac:dyDescent="0.25">
      <c r="A1321">
        <v>22827</v>
      </c>
      <c r="B1321" t="s">
        <v>25</v>
      </c>
      <c r="C1321" s="2">
        <v>0.05</v>
      </c>
      <c r="D1321" s="2">
        <v>3.28</v>
      </c>
      <c r="E1321" s="2">
        <v>3.97</v>
      </c>
      <c r="F1321">
        <v>2376</v>
      </c>
      <c r="G1321" t="s">
        <v>2222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1778</v>
      </c>
      <c r="N1321">
        <v>0.56000000000000005</v>
      </c>
      <c r="O1321" t="s">
        <v>33</v>
      </c>
      <c r="P1321" t="s">
        <v>34</v>
      </c>
      <c r="Q1321" t="s">
        <v>1727</v>
      </c>
      <c r="R1321" t="s">
        <v>1728</v>
      </c>
      <c r="S1321">
        <v>83843</v>
      </c>
      <c r="T1321" s="1">
        <v>42068</v>
      </c>
      <c r="U1321" s="1">
        <v>42069</v>
      </c>
      <c r="V1321" s="2">
        <v>-100.24</v>
      </c>
      <c r="W1321">
        <v>18</v>
      </c>
      <c r="X1321" s="2">
        <v>61.29</v>
      </c>
      <c r="Y1321">
        <v>91321</v>
      </c>
      <c r="Z1321">
        <f t="shared" si="20"/>
        <v>1103.22</v>
      </c>
    </row>
    <row r="1322" spans="1:26" x14ac:dyDescent="0.25">
      <c r="A1322">
        <v>22828</v>
      </c>
      <c r="B1322" t="s">
        <v>25</v>
      </c>
      <c r="C1322" s="2">
        <v>0.03</v>
      </c>
      <c r="D1322" s="2">
        <v>6.98</v>
      </c>
      <c r="E1322" s="2">
        <v>9.69</v>
      </c>
      <c r="F1322">
        <v>2376</v>
      </c>
      <c r="G1322" t="s">
        <v>2222</v>
      </c>
      <c r="H1322" t="s">
        <v>49</v>
      </c>
      <c r="I1322" t="s">
        <v>28</v>
      </c>
      <c r="J1322" t="s">
        <v>29</v>
      </c>
      <c r="K1322" t="s">
        <v>139</v>
      </c>
      <c r="L1322" t="s">
        <v>59</v>
      </c>
      <c r="M1322" t="s">
        <v>2223</v>
      </c>
      <c r="N1322">
        <v>0.83</v>
      </c>
      <c r="O1322" t="s">
        <v>33</v>
      </c>
      <c r="P1322" t="s">
        <v>34</v>
      </c>
      <c r="Q1322" t="s">
        <v>1727</v>
      </c>
      <c r="R1322" t="s">
        <v>1728</v>
      </c>
      <c r="S1322">
        <v>83843</v>
      </c>
      <c r="T1322" s="1">
        <v>42068</v>
      </c>
      <c r="U1322" s="1">
        <v>42070</v>
      </c>
      <c r="V1322" s="2">
        <v>-262.62</v>
      </c>
      <c r="W1322">
        <v>15</v>
      </c>
      <c r="X1322" s="2">
        <v>109.15</v>
      </c>
      <c r="Y1322">
        <v>91321</v>
      </c>
      <c r="Z1322">
        <f t="shared" si="20"/>
        <v>1637.25</v>
      </c>
    </row>
    <row r="1323" spans="1:26" x14ac:dyDescent="0.25">
      <c r="A1323">
        <v>18151</v>
      </c>
      <c r="B1323" t="s">
        <v>106</v>
      </c>
      <c r="C1323" s="2">
        <v>0.06</v>
      </c>
      <c r="D1323" s="2">
        <v>122.99</v>
      </c>
      <c r="E1323" s="2">
        <v>19.989999999999998</v>
      </c>
      <c r="F1323">
        <v>2379</v>
      </c>
      <c r="G1323" t="s">
        <v>2224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2225</v>
      </c>
      <c r="N1323">
        <v>0.37</v>
      </c>
      <c r="O1323" t="s">
        <v>33</v>
      </c>
      <c r="P1323" t="s">
        <v>61</v>
      </c>
      <c r="Q1323" t="s">
        <v>295</v>
      </c>
      <c r="R1323" t="s">
        <v>1985</v>
      </c>
      <c r="S1323">
        <v>48135</v>
      </c>
      <c r="T1323" s="1">
        <v>42129</v>
      </c>
      <c r="U1323" s="1">
        <v>42131</v>
      </c>
      <c r="V1323" s="2">
        <v>1019.7096</v>
      </c>
      <c r="W1323">
        <v>12</v>
      </c>
      <c r="X1323" s="2">
        <v>1477.84</v>
      </c>
      <c r="Y1323">
        <v>86655</v>
      </c>
      <c r="Z1323">
        <f t="shared" si="20"/>
        <v>17734.079999999998</v>
      </c>
    </row>
    <row r="1324" spans="1:26" x14ac:dyDescent="0.25">
      <c r="A1324">
        <v>19898</v>
      </c>
      <c r="B1324" t="s">
        <v>37</v>
      </c>
      <c r="C1324" s="2">
        <v>7.0000000000000007E-2</v>
      </c>
      <c r="D1324" s="2">
        <v>3.38</v>
      </c>
      <c r="E1324" s="2">
        <v>0.85</v>
      </c>
      <c r="F1324">
        <v>2380</v>
      </c>
      <c r="G1324" t="s">
        <v>2226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1456</v>
      </c>
      <c r="N1324">
        <v>0.48</v>
      </c>
      <c r="O1324" t="s">
        <v>33</v>
      </c>
      <c r="P1324" t="s">
        <v>61</v>
      </c>
      <c r="Q1324" t="s">
        <v>295</v>
      </c>
      <c r="R1324" t="s">
        <v>2227</v>
      </c>
      <c r="S1324">
        <v>49505</v>
      </c>
      <c r="T1324" s="1">
        <v>42120</v>
      </c>
      <c r="U1324" s="1">
        <v>42122</v>
      </c>
      <c r="V1324" s="2">
        <v>19.04</v>
      </c>
      <c r="W1324">
        <v>9</v>
      </c>
      <c r="X1324" s="2">
        <v>29.08</v>
      </c>
      <c r="Y1324">
        <v>86654</v>
      </c>
      <c r="Z1324">
        <f t="shared" si="20"/>
        <v>261.71999999999997</v>
      </c>
    </row>
    <row r="1325" spans="1:26" x14ac:dyDescent="0.25">
      <c r="A1325">
        <v>18152</v>
      </c>
      <c r="B1325" t="s">
        <v>106</v>
      </c>
      <c r="C1325" s="2">
        <v>0.08</v>
      </c>
      <c r="D1325" s="2">
        <v>68.81</v>
      </c>
      <c r="E1325" s="2">
        <v>60</v>
      </c>
      <c r="F1325">
        <v>2380</v>
      </c>
      <c r="G1325" t="s">
        <v>2226</v>
      </c>
      <c r="H1325" t="s">
        <v>39</v>
      </c>
      <c r="I1325" t="s">
        <v>58</v>
      </c>
      <c r="J1325" t="s">
        <v>29</v>
      </c>
      <c r="K1325" t="s">
        <v>252</v>
      </c>
      <c r="L1325" t="s">
        <v>43</v>
      </c>
      <c r="M1325" t="s">
        <v>2179</v>
      </c>
      <c r="N1325">
        <v>0.41</v>
      </c>
      <c r="O1325" t="s">
        <v>33</v>
      </c>
      <c r="P1325" t="s">
        <v>61</v>
      </c>
      <c r="Q1325" t="s">
        <v>295</v>
      </c>
      <c r="R1325" t="s">
        <v>2227</v>
      </c>
      <c r="S1325">
        <v>49505</v>
      </c>
      <c r="T1325" s="1">
        <v>42129</v>
      </c>
      <c r="U1325" s="1">
        <v>42131</v>
      </c>
      <c r="V1325" s="2">
        <v>-1069.72</v>
      </c>
      <c r="W1325">
        <v>17</v>
      </c>
      <c r="X1325" s="2">
        <v>1162.46</v>
      </c>
      <c r="Y1325">
        <v>86655</v>
      </c>
      <c r="Z1325">
        <f t="shared" si="20"/>
        <v>19761.82</v>
      </c>
    </row>
    <row r="1326" spans="1:26" x14ac:dyDescent="0.25">
      <c r="A1326">
        <v>1898</v>
      </c>
      <c r="B1326" t="s">
        <v>37</v>
      </c>
      <c r="C1326" s="2">
        <v>7.0000000000000007E-2</v>
      </c>
      <c r="D1326" s="2">
        <v>3.38</v>
      </c>
      <c r="E1326" s="2">
        <v>0.85</v>
      </c>
      <c r="F1326">
        <v>2382</v>
      </c>
      <c r="G1326" t="s">
        <v>2228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1456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1">
        <v>42120</v>
      </c>
      <c r="U1326" s="1">
        <v>42122</v>
      </c>
      <c r="V1326" s="2">
        <v>19.04</v>
      </c>
      <c r="W1326">
        <v>34</v>
      </c>
      <c r="X1326" s="2">
        <v>109.86</v>
      </c>
      <c r="Y1326">
        <v>13606</v>
      </c>
      <c r="Z1326">
        <f t="shared" si="20"/>
        <v>3735.24</v>
      </c>
    </row>
    <row r="1327" spans="1:26" x14ac:dyDescent="0.25">
      <c r="A1327">
        <v>151</v>
      </c>
      <c r="B1327" t="s">
        <v>106</v>
      </c>
      <c r="C1327" s="2">
        <v>0.06</v>
      </c>
      <c r="D1327" s="2">
        <v>122.99</v>
      </c>
      <c r="E1327" s="2">
        <v>19.989999999999998</v>
      </c>
      <c r="F1327">
        <v>2382</v>
      </c>
      <c r="G1327" t="s">
        <v>2228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2225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1">
        <v>42129</v>
      </c>
      <c r="U1327" s="1">
        <v>42131</v>
      </c>
      <c r="V1327" s="2">
        <v>1408.1865</v>
      </c>
      <c r="W1327">
        <v>48</v>
      </c>
      <c r="X1327" s="2">
        <v>5911.35</v>
      </c>
      <c r="Y1327">
        <v>962</v>
      </c>
      <c r="Z1327">
        <f t="shared" si="20"/>
        <v>283744.80000000005</v>
      </c>
    </row>
    <row r="1328" spans="1:26" x14ac:dyDescent="0.25">
      <c r="A1328">
        <v>152</v>
      </c>
      <c r="B1328" t="s">
        <v>106</v>
      </c>
      <c r="C1328" s="2">
        <v>0.08</v>
      </c>
      <c r="D1328" s="2">
        <v>68.81</v>
      </c>
      <c r="E1328" s="2">
        <v>60</v>
      </c>
      <c r="F1328">
        <v>2382</v>
      </c>
      <c r="G1328" t="s">
        <v>2228</v>
      </c>
      <c r="H1328" t="s">
        <v>39</v>
      </c>
      <c r="I1328" t="s">
        <v>58</v>
      </c>
      <c r="J1328" t="s">
        <v>29</v>
      </c>
      <c r="K1328" t="s">
        <v>252</v>
      </c>
      <c r="L1328" t="s">
        <v>43</v>
      </c>
      <c r="M1328" t="s">
        <v>2179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1">
        <v>42129</v>
      </c>
      <c r="U1328" s="1">
        <v>42131</v>
      </c>
      <c r="V1328" s="2">
        <v>-1069.72</v>
      </c>
      <c r="W1328">
        <v>68</v>
      </c>
      <c r="X1328" s="2">
        <v>4649.8500000000004</v>
      </c>
      <c r="Y1328">
        <v>962</v>
      </c>
      <c r="Z1328">
        <f t="shared" si="20"/>
        <v>316189.80000000005</v>
      </c>
    </row>
    <row r="1329" spans="1:26" x14ac:dyDescent="0.25">
      <c r="A1329">
        <v>21171</v>
      </c>
      <c r="B1329" t="s">
        <v>47</v>
      </c>
      <c r="C1329" s="2">
        <v>0.1</v>
      </c>
      <c r="D1329" s="2">
        <v>130.97999999999999</v>
      </c>
      <c r="E1329" s="2">
        <v>30</v>
      </c>
      <c r="F1329">
        <v>2385</v>
      </c>
      <c r="G1329" t="s">
        <v>2229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539</v>
      </c>
      <c r="N1329">
        <v>0.78</v>
      </c>
      <c r="O1329" t="s">
        <v>33</v>
      </c>
      <c r="P1329" t="s">
        <v>34</v>
      </c>
      <c r="Q1329" t="s">
        <v>360</v>
      </c>
      <c r="R1329" t="s">
        <v>2230</v>
      </c>
      <c r="S1329">
        <v>88001</v>
      </c>
      <c r="T1329" s="1">
        <v>42146</v>
      </c>
      <c r="U1329" s="1">
        <v>42148</v>
      </c>
      <c r="V1329" s="2">
        <v>2000.11</v>
      </c>
      <c r="W1329">
        <v>18</v>
      </c>
      <c r="X1329" s="2">
        <v>2259.9899999999998</v>
      </c>
      <c r="Y1329">
        <v>89184</v>
      </c>
      <c r="Z1329">
        <f t="shared" si="20"/>
        <v>40679.819999999992</v>
      </c>
    </row>
    <row r="1330" spans="1:26" x14ac:dyDescent="0.25">
      <c r="A1330">
        <v>23557</v>
      </c>
      <c r="B1330" t="s">
        <v>37</v>
      </c>
      <c r="C1330" s="2">
        <v>0.06</v>
      </c>
      <c r="D1330" s="2">
        <v>4.7699999999999996</v>
      </c>
      <c r="E1330" s="2">
        <v>2.39</v>
      </c>
      <c r="F1330">
        <v>2391</v>
      </c>
      <c r="G1330" t="s">
        <v>2231</v>
      </c>
      <c r="H1330" t="s">
        <v>49</v>
      </c>
      <c r="I1330" t="s">
        <v>28</v>
      </c>
      <c r="J1330" t="s">
        <v>77</v>
      </c>
      <c r="K1330" t="s">
        <v>177</v>
      </c>
      <c r="L1330" t="s">
        <v>51</v>
      </c>
      <c r="M1330" t="s">
        <v>2232</v>
      </c>
      <c r="N1330">
        <v>0.72</v>
      </c>
      <c r="O1330" t="s">
        <v>33</v>
      </c>
      <c r="P1330" t="s">
        <v>53</v>
      </c>
      <c r="Q1330" t="s">
        <v>71</v>
      </c>
      <c r="R1330" t="s">
        <v>2233</v>
      </c>
      <c r="S1330">
        <v>11572</v>
      </c>
      <c r="T1330" s="1">
        <v>42149</v>
      </c>
      <c r="U1330" s="1">
        <v>42150</v>
      </c>
      <c r="V1330" s="2">
        <v>-45.64</v>
      </c>
      <c r="W1330">
        <v>9</v>
      </c>
      <c r="X1330" s="2">
        <v>42.46</v>
      </c>
      <c r="Y1330">
        <v>91122</v>
      </c>
      <c r="Z1330">
        <f t="shared" si="20"/>
        <v>382.14</v>
      </c>
    </row>
    <row r="1331" spans="1:26" x14ac:dyDescent="0.25">
      <c r="A1331">
        <v>23558</v>
      </c>
      <c r="B1331" t="s">
        <v>37</v>
      </c>
      <c r="C1331" s="2">
        <v>0.1</v>
      </c>
      <c r="D1331" s="2">
        <v>27.18</v>
      </c>
      <c r="E1331" s="2">
        <v>8.23</v>
      </c>
      <c r="F1331">
        <v>2391</v>
      </c>
      <c r="G1331" t="s">
        <v>2231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2234</v>
      </c>
      <c r="N1331">
        <v>0.38</v>
      </c>
      <c r="O1331" t="s">
        <v>33</v>
      </c>
      <c r="P1331" t="s">
        <v>53</v>
      </c>
      <c r="Q1331" t="s">
        <v>71</v>
      </c>
      <c r="R1331" t="s">
        <v>2233</v>
      </c>
      <c r="S1331">
        <v>11572</v>
      </c>
      <c r="T1331" s="1">
        <v>42149</v>
      </c>
      <c r="U1331" s="1">
        <v>42151</v>
      </c>
      <c r="V1331" s="2">
        <v>204.49</v>
      </c>
      <c r="W1331">
        <v>12</v>
      </c>
      <c r="X1331" s="2">
        <v>314.06</v>
      </c>
      <c r="Y1331">
        <v>91122</v>
      </c>
      <c r="Z1331">
        <f t="shared" si="20"/>
        <v>3768.7200000000003</v>
      </c>
    </row>
    <row r="1332" spans="1:26" x14ac:dyDescent="0.25">
      <c r="A1332">
        <v>21462</v>
      </c>
      <c r="B1332" t="s">
        <v>37</v>
      </c>
      <c r="C1332" s="2">
        <v>0</v>
      </c>
      <c r="D1332" s="2">
        <v>999.99</v>
      </c>
      <c r="E1332" s="2">
        <v>13.99</v>
      </c>
      <c r="F1332">
        <v>2391</v>
      </c>
      <c r="G1332" t="s">
        <v>2231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523</v>
      </c>
      <c r="N1332">
        <v>0.36</v>
      </c>
      <c r="O1332" t="s">
        <v>33</v>
      </c>
      <c r="P1332" t="s">
        <v>53</v>
      </c>
      <c r="Q1332" t="s">
        <v>71</v>
      </c>
      <c r="R1332" t="s">
        <v>2233</v>
      </c>
      <c r="S1332">
        <v>11572</v>
      </c>
      <c r="T1332" s="1">
        <v>42159</v>
      </c>
      <c r="U1332" s="1">
        <v>42161</v>
      </c>
      <c r="V1332" s="2">
        <v>-1455.9972</v>
      </c>
      <c r="W1332">
        <v>1</v>
      </c>
      <c r="X1332" s="2">
        <v>1009.99</v>
      </c>
      <c r="Y1332">
        <v>91123</v>
      </c>
      <c r="Z1332">
        <f t="shared" si="20"/>
        <v>1009.99</v>
      </c>
    </row>
    <row r="1333" spans="1:26" x14ac:dyDescent="0.25">
      <c r="A1333">
        <v>21463</v>
      </c>
      <c r="B1333" t="s">
        <v>37</v>
      </c>
      <c r="C1333" s="2">
        <v>0.05</v>
      </c>
      <c r="D1333" s="2">
        <v>6.48</v>
      </c>
      <c r="E1333" s="2">
        <v>5.14</v>
      </c>
      <c r="F1333">
        <v>2391</v>
      </c>
      <c r="G1333" t="s">
        <v>2231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929</v>
      </c>
      <c r="N1333">
        <v>0.37</v>
      </c>
      <c r="O1333" t="s">
        <v>33</v>
      </c>
      <c r="P1333" t="s">
        <v>53</v>
      </c>
      <c r="Q1333" t="s">
        <v>71</v>
      </c>
      <c r="R1333" t="s">
        <v>2233</v>
      </c>
      <c r="S1333">
        <v>11572</v>
      </c>
      <c r="T1333" s="1">
        <v>42159</v>
      </c>
      <c r="U1333" s="1">
        <v>42160</v>
      </c>
      <c r="V1333" s="2">
        <v>-22.56</v>
      </c>
      <c r="W1333">
        <v>13</v>
      </c>
      <c r="X1333" s="2">
        <v>92.16</v>
      </c>
      <c r="Y1333">
        <v>91123</v>
      </c>
      <c r="Z1333">
        <f t="shared" si="20"/>
        <v>1198.08</v>
      </c>
    </row>
    <row r="1334" spans="1:26" x14ac:dyDescent="0.25">
      <c r="A1334">
        <v>18277</v>
      </c>
      <c r="B1334" t="s">
        <v>56</v>
      </c>
      <c r="C1334" s="2">
        <v>0.02</v>
      </c>
      <c r="D1334" s="2">
        <v>6.48</v>
      </c>
      <c r="E1334" s="2">
        <v>7.91</v>
      </c>
      <c r="F1334">
        <v>2393</v>
      </c>
      <c r="G1334" t="s">
        <v>2235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2236</v>
      </c>
      <c r="N1334">
        <v>0.37</v>
      </c>
      <c r="O1334" t="s">
        <v>33</v>
      </c>
      <c r="P1334" t="s">
        <v>135</v>
      </c>
      <c r="Q1334" t="s">
        <v>381</v>
      </c>
      <c r="R1334" t="s">
        <v>645</v>
      </c>
      <c r="S1334">
        <v>30076</v>
      </c>
      <c r="T1334" s="1">
        <v>42153</v>
      </c>
      <c r="U1334" s="1">
        <v>42155</v>
      </c>
      <c r="V1334" s="2">
        <v>-1191.5260000000001</v>
      </c>
      <c r="W1334">
        <v>2</v>
      </c>
      <c r="X1334" s="2">
        <v>16.5</v>
      </c>
      <c r="Y1334">
        <v>86950</v>
      </c>
      <c r="Z1334">
        <f t="shared" si="20"/>
        <v>33</v>
      </c>
    </row>
    <row r="1335" spans="1:26" x14ac:dyDescent="0.25">
      <c r="A1335">
        <v>18197</v>
      </c>
      <c r="B1335" t="s">
        <v>25</v>
      </c>
      <c r="C1335" s="2">
        <v>0.06</v>
      </c>
      <c r="D1335" s="2">
        <v>105.29</v>
      </c>
      <c r="E1335" s="2">
        <v>10.119999999999999</v>
      </c>
      <c r="F1335">
        <v>2393</v>
      </c>
      <c r="G1335" t="s">
        <v>2235</v>
      </c>
      <c r="H1335" t="s">
        <v>49</v>
      </c>
      <c r="I1335" t="s">
        <v>28</v>
      </c>
      <c r="J1335" t="s">
        <v>41</v>
      </c>
      <c r="K1335" t="s">
        <v>50</v>
      </c>
      <c r="L1335" t="s">
        <v>231</v>
      </c>
      <c r="M1335" t="s">
        <v>1494</v>
      </c>
      <c r="N1335">
        <v>0.79</v>
      </c>
      <c r="O1335" t="s">
        <v>33</v>
      </c>
      <c r="P1335" t="s">
        <v>135</v>
      </c>
      <c r="Q1335" t="s">
        <v>381</v>
      </c>
      <c r="R1335" t="s">
        <v>645</v>
      </c>
      <c r="S1335">
        <v>30076</v>
      </c>
      <c r="T1335" s="1">
        <v>42008</v>
      </c>
      <c r="U1335" s="1">
        <v>42010</v>
      </c>
      <c r="V1335" s="2">
        <v>-45.01</v>
      </c>
      <c r="W1335">
        <v>12</v>
      </c>
      <c r="X1335" s="2">
        <v>1202.6600000000001</v>
      </c>
      <c r="Y1335">
        <v>86951</v>
      </c>
      <c r="Z1335">
        <f t="shared" si="20"/>
        <v>14431.920000000002</v>
      </c>
    </row>
    <row r="1336" spans="1:26" x14ac:dyDescent="0.25">
      <c r="A1336">
        <v>20197</v>
      </c>
      <c r="B1336" t="s">
        <v>47</v>
      </c>
      <c r="C1336" s="2">
        <v>0.01</v>
      </c>
      <c r="D1336" s="2">
        <v>11.7</v>
      </c>
      <c r="E1336" s="2">
        <v>5.63</v>
      </c>
      <c r="F1336">
        <v>2394</v>
      </c>
      <c r="G1336" t="s">
        <v>2237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2238</v>
      </c>
      <c r="N1336">
        <v>0.4</v>
      </c>
      <c r="O1336" t="s">
        <v>33</v>
      </c>
      <c r="P1336" t="s">
        <v>135</v>
      </c>
      <c r="Q1336" t="s">
        <v>381</v>
      </c>
      <c r="R1336" t="s">
        <v>2239</v>
      </c>
      <c r="S1336">
        <v>30328</v>
      </c>
      <c r="T1336" s="1">
        <v>42125</v>
      </c>
      <c r="U1336" s="1">
        <v>42127</v>
      </c>
      <c r="V1336" s="2">
        <v>39.21</v>
      </c>
      <c r="W1336">
        <v>16</v>
      </c>
      <c r="X1336" s="2">
        <v>196.69</v>
      </c>
      <c r="Y1336">
        <v>86949</v>
      </c>
      <c r="Z1336">
        <f t="shared" si="20"/>
        <v>3147.04</v>
      </c>
    </row>
    <row r="1337" spans="1:26" x14ac:dyDescent="0.25">
      <c r="A1337">
        <v>20198</v>
      </c>
      <c r="B1337" t="s">
        <v>47</v>
      </c>
      <c r="C1337" s="2">
        <v>0.03</v>
      </c>
      <c r="D1337" s="2">
        <v>4.55</v>
      </c>
      <c r="E1337" s="2">
        <v>1.49</v>
      </c>
      <c r="F1337">
        <v>2394</v>
      </c>
      <c r="G1337" t="s">
        <v>2237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1428</v>
      </c>
      <c r="N1337">
        <v>0.35</v>
      </c>
      <c r="O1337" t="s">
        <v>33</v>
      </c>
      <c r="P1337" t="s">
        <v>135</v>
      </c>
      <c r="Q1337" t="s">
        <v>381</v>
      </c>
      <c r="R1337" t="s">
        <v>2239</v>
      </c>
      <c r="S1337">
        <v>30328</v>
      </c>
      <c r="T1337" s="1">
        <v>42125</v>
      </c>
      <c r="U1337" s="1">
        <v>42125</v>
      </c>
      <c r="V1337" s="2">
        <v>100.38</v>
      </c>
      <c r="W1337">
        <v>9</v>
      </c>
      <c r="X1337" s="2">
        <v>40.28</v>
      </c>
      <c r="Y1337">
        <v>86949</v>
      </c>
      <c r="Z1337">
        <f t="shared" si="20"/>
        <v>362.52</v>
      </c>
    </row>
    <row r="1338" spans="1:26" x14ac:dyDescent="0.25">
      <c r="A1338">
        <v>24954</v>
      </c>
      <c r="B1338" t="s">
        <v>37</v>
      </c>
      <c r="C1338" s="2">
        <v>0.04</v>
      </c>
      <c r="D1338" s="2">
        <v>60.97</v>
      </c>
      <c r="E1338" s="2">
        <v>4.5</v>
      </c>
      <c r="F1338">
        <v>2395</v>
      </c>
      <c r="G1338" t="s">
        <v>2240</v>
      </c>
      <c r="H1338" t="s">
        <v>49</v>
      </c>
      <c r="I1338" t="s">
        <v>28</v>
      </c>
      <c r="J1338" t="s">
        <v>29</v>
      </c>
      <c r="K1338" t="s">
        <v>252</v>
      </c>
      <c r="L1338" t="s">
        <v>59</v>
      </c>
      <c r="M1338" t="s">
        <v>2114</v>
      </c>
      <c r="N1338">
        <v>0.56000000000000005</v>
      </c>
      <c r="O1338" t="s">
        <v>33</v>
      </c>
      <c r="P1338" t="s">
        <v>135</v>
      </c>
      <c r="Q1338" t="s">
        <v>381</v>
      </c>
      <c r="R1338" t="s">
        <v>2241</v>
      </c>
      <c r="S1338">
        <v>31401</v>
      </c>
      <c r="T1338" s="1">
        <v>42086</v>
      </c>
      <c r="U1338" s="1">
        <v>42087</v>
      </c>
      <c r="V1338" s="2">
        <v>79.423199999999994</v>
      </c>
      <c r="W1338">
        <v>15</v>
      </c>
      <c r="X1338" s="2">
        <v>904.31</v>
      </c>
      <c r="Y1338">
        <v>86952</v>
      </c>
      <c r="Z1338">
        <f t="shared" si="20"/>
        <v>13564.65</v>
      </c>
    </row>
    <row r="1339" spans="1:26" x14ac:dyDescent="0.25">
      <c r="A1339">
        <v>22369</v>
      </c>
      <c r="B1339" t="s">
        <v>37</v>
      </c>
      <c r="C1339" s="2">
        <v>0.03</v>
      </c>
      <c r="D1339" s="2">
        <v>7.64</v>
      </c>
      <c r="E1339" s="2">
        <v>5.83</v>
      </c>
      <c r="F1339">
        <v>2398</v>
      </c>
      <c r="G1339" t="s">
        <v>2242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1016</v>
      </c>
      <c r="N1339">
        <v>0.36</v>
      </c>
      <c r="O1339" t="s">
        <v>33</v>
      </c>
      <c r="P1339" t="s">
        <v>61</v>
      </c>
      <c r="Q1339" t="s">
        <v>175</v>
      </c>
      <c r="R1339" t="s">
        <v>2243</v>
      </c>
      <c r="S1339">
        <v>60103</v>
      </c>
      <c r="T1339" s="1">
        <v>42059</v>
      </c>
      <c r="U1339" s="1">
        <v>42061</v>
      </c>
      <c r="V1339" s="2">
        <v>-15.090400000000001</v>
      </c>
      <c r="W1339">
        <v>12</v>
      </c>
      <c r="X1339" s="2">
        <v>96.86</v>
      </c>
      <c r="Y1339">
        <v>86373</v>
      </c>
      <c r="Z1339">
        <f t="shared" si="20"/>
        <v>1162.32</v>
      </c>
    </row>
    <row r="1340" spans="1:26" x14ac:dyDescent="0.25">
      <c r="A1340">
        <v>19001</v>
      </c>
      <c r="B1340" t="s">
        <v>56</v>
      </c>
      <c r="C1340" s="2">
        <v>0</v>
      </c>
      <c r="D1340" s="2">
        <v>65.989999999999995</v>
      </c>
      <c r="E1340" s="2">
        <v>3.99</v>
      </c>
      <c r="F1340">
        <v>2417</v>
      </c>
      <c r="G1340" t="s">
        <v>2244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1042</v>
      </c>
      <c r="N1340">
        <v>0.59</v>
      </c>
      <c r="O1340" t="s">
        <v>33</v>
      </c>
      <c r="P1340" t="s">
        <v>135</v>
      </c>
      <c r="Q1340" t="s">
        <v>136</v>
      </c>
      <c r="R1340" t="s">
        <v>2011</v>
      </c>
      <c r="S1340">
        <v>22124</v>
      </c>
      <c r="T1340" s="1">
        <v>42077</v>
      </c>
      <c r="U1340" s="1">
        <v>42078</v>
      </c>
      <c r="V1340" s="2">
        <v>-60.564</v>
      </c>
      <c r="W1340">
        <v>13</v>
      </c>
      <c r="X1340" s="2">
        <v>765.65</v>
      </c>
      <c r="Y1340">
        <v>86754</v>
      </c>
      <c r="Z1340">
        <f t="shared" si="20"/>
        <v>9953.4499999999989</v>
      </c>
    </row>
    <row r="1341" spans="1:26" x14ac:dyDescent="0.25">
      <c r="A1341">
        <v>20325</v>
      </c>
      <c r="B1341" t="s">
        <v>47</v>
      </c>
      <c r="C1341" s="2">
        <v>0.03</v>
      </c>
      <c r="D1341" s="2">
        <v>2.1</v>
      </c>
      <c r="E1341" s="2">
        <v>0.7</v>
      </c>
      <c r="F1341">
        <v>2418</v>
      </c>
      <c r="G1341" t="s">
        <v>2245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2246</v>
      </c>
      <c r="N1341">
        <v>0.56999999999999995</v>
      </c>
      <c r="O1341" t="s">
        <v>33</v>
      </c>
      <c r="P1341" t="s">
        <v>135</v>
      </c>
      <c r="Q1341" t="s">
        <v>136</v>
      </c>
      <c r="R1341" t="s">
        <v>2247</v>
      </c>
      <c r="S1341">
        <v>23805</v>
      </c>
      <c r="T1341" s="1">
        <v>42010</v>
      </c>
      <c r="U1341" s="1">
        <v>42011</v>
      </c>
      <c r="V1341" s="2">
        <v>-1473.9059999999999</v>
      </c>
      <c r="W1341">
        <v>4</v>
      </c>
      <c r="X1341" s="2">
        <v>8.7200000000000006</v>
      </c>
      <c r="Y1341">
        <v>86750</v>
      </c>
      <c r="Z1341">
        <f t="shared" si="20"/>
        <v>34.880000000000003</v>
      </c>
    </row>
    <row r="1342" spans="1:26" x14ac:dyDescent="0.25">
      <c r="A1342">
        <v>21724</v>
      </c>
      <c r="B1342" t="s">
        <v>25</v>
      </c>
      <c r="C1342" s="2">
        <v>0.1</v>
      </c>
      <c r="D1342" s="2">
        <v>599.99</v>
      </c>
      <c r="E1342" s="2">
        <v>24.49</v>
      </c>
      <c r="F1342">
        <v>2418</v>
      </c>
      <c r="G1342" t="s">
        <v>2245</v>
      </c>
      <c r="H1342" t="s">
        <v>49</v>
      </c>
      <c r="I1342" t="s">
        <v>114</v>
      </c>
      <c r="J1342" t="s">
        <v>77</v>
      </c>
      <c r="K1342" t="s">
        <v>580</v>
      </c>
      <c r="L1342" t="s">
        <v>231</v>
      </c>
      <c r="M1342" t="s">
        <v>2248</v>
      </c>
      <c r="N1342">
        <v>0.5</v>
      </c>
      <c r="O1342" t="s">
        <v>33</v>
      </c>
      <c r="P1342" t="s">
        <v>135</v>
      </c>
      <c r="Q1342" t="s">
        <v>136</v>
      </c>
      <c r="R1342" t="s">
        <v>2247</v>
      </c>
      <c r="S1342">
        <v>23805</v>
      </c>
      <c r="T1342" s="1">
        <v>42014</v>
      </c>
      <c r="U1342" s="1">
        <v>42015</v>
      </c>
      <c r="V1342" s="2">
        <v>-343.12599999999998</v>
      </c>
      <c r="W1342">
        <v>11</v>
      </c>
      <c r="X1342" s="2">
        <v>6355.69</v>
      </c>
      <c r="Y1342">
        <v>86753</v>
      </c>
      <c r="Z1342">
        <f t="shared" si="20"/>
        <v>69912.59</v>
      </c>
    </row>
    <row r="1343" spans="1:26" x14ac:dyDescent="0.25">
      <c r="A1343">
        <v>21725</v>
      </c>
      <c r="B1343" t="s">
        <v>25</v>
      </c>
      <c r="C1343" s="2">
        <v>0.06</v>
      </c>
      <c r="D1343" s="2">
        <v>2.78</v>
      </c>
      <c r="E1343" s="2">
        <v>1.25</v>
      </c>
      <c r="F1343">
        <v>2418</v>
      </c>
      <c r="G1343" t="s">
        <v>2245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2188</v>
      </c>
      <c r="N1343">
        <v>0.59</v>
      </c>
      <c r="O1343" t="s">
        <v>33</v>
      </c>
      <c r="P1343" t="s">
        <v>135</v>
      </c>
      <c r="Q1343" t="s">
        <v>136</v>
      </c>
      <c r="R1343" t="s">
        <v>2247</v>
      </c>
      <c r="S1343">
        <v>23805</v>
      </c>
      <c r="T1343" s="1">
        <v>42014</v>
      </c>
      <c r="U1343" s="1">
        <v>42016</v>
      </c>
      <c r="V1343" s="2">
        <v>66.36</v>
      </c>
      <c r="W1343">
        <v>10</v>
      </c>
      <c r="X1343" s="2">
        <v>28.09</v>
      </c>
      <c r="Y1343">
        <v>86753</v>
      </c>
      <c r="Z1343">
        <f t="shared" si="20"/>
        <v>280.89999999999998</v>
      </c>
    </row>
    <row r="1344" spans="1:26" x14ac:dyDescent="0.25">
      <c r="A1344">
        <v>22376</v>
      </c>
      <c r="B1344" t="s">
        <v>37</v>
      </c>
      <c r="C1344" s="2">
        <v>7.0000000000000007E-2</v>
      </c>
      <c r="D1344" s="2">
        <v>225.04</v>
      </c>
      <c r="E1344" s="2">
        <v>11.79</v>
      </c>
      <c r="F1344">
        <v>2419</v>
      </c>
      <c r="G1344" t="s">
        <v>2249</v>
      </c>
      <c r="H1344" t="s">
        <v>49</v>
      </c>
      <c r="I1344" t="s">
        <v>114</v>
      </c>
      <c r="J1344" t="s">
        <v>29</v>
      </c>
      <c r="K1344" t="s">
        <v>252</v>
      </c>
      <c r="L1344" t="s">
        <v>86</v>
      </c>
      <c r="M1344" t="s">
        <v>2250</v>
      </c>
      <c r="N1344">
        <v>0.42</v>
      </c>
      <c r="O1344" t="s">
        <v>33</v>
      </c>
      <c r="P1344" t="s">
        <v>135</v>
      </c>
      <c r="Q1344" t="s">
        <v>136</v>
      </c>
      <c r="R1344" t="s">
        <v>1436</v>
      </c>
      <c r="S1344">
        <v>23701</v>
      </c>
      <c r="T1344" s="1">
        <v>42089</v>
      </c>
      <c r="U1344" s="1">
        <v>42089</v>
      </c>
      <c r="V1344" s="2">
        <v>-162.91800000000001</v>
      </c>
      <c r="W1344">
        <v>5</v>
      </c>
      <c r="X1344" s="2">
        <v>1130.1500000000001</v>
      </c>
      <c r="Y1344">
        <v>86751</v>
      </c>
      <c r="Z1344">
        <f t="shared" si="20"/>
        <v>5650.75</v>
      </c>
    </row>
    <row r="1345" spans="1:26" x14ac:dyDescent="0.25">
      <c r="A1345">
        <v>22377</v>
      </c>
      <c r="B1345" t="s">
        <v>37</v>
      </c>
      <c r="C1345" s="2">
        <v>0.03</v>
      </c>
      <c r="D1345" s="2">
        <v>7.84</v>
      </c>
      <c r="E1345" s="2">
        <v>4.71</v>
      </c>
      <c r="F1345">
        <v>2419</v>
      </c>
      <c r="G1345" t="s">
        <v>2249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2251</v>
      </c>
      <c r="N1345">
        <v>0.35</v>
      </c>
      <c r="O1345" t="s">
        <v>33</v>
      </c>
      <c r="P1345" t="s">
        <v>135</v>
      </c>
      <c r="Q1345" t="s">
        <v>136</v>
      </c>
      <c r="R1345" t="s">
        <v>1436</v>
      </c>
      <c r="S1345">
        <v>23701</v>
      </c>
      <c r="T1345" s="1">
        <v>42089</v>
      </c>
      <c r="U1345" s="1">
        <v>42092</v>
      </c>
      <c r="V1345" s="2">
        <v>859.71780000000001</v>
      </c>
      <c r="W1345">
        <v>7</v>
      </c>
      <c r="X1345" s="2">
        <v>54.37</v>
      </c>
      <c r="Y1345">
        <v>86751</v>
      </c>
      <c r="Z1345">
        <f t="shared" si="20"/>
        <v>380.59</v>
      </c>
    </row>
    <row r="1346" spans="1:26" x14ac:dyDescent="0.25">
      <c r="A1346">
        <v>25271</v>
      </c>
      <c r="B1346" t="s">
        <v>25</v>
      </c>
      <c r="C1346" s="2">
        <v>0.04</v>
      </c>
      <c r="D1346" s="2">
        <v>9.11</v>
      </c>
      <c r="E1346" s="2">
        <v>2.15</v>
      </c>
      <c r="F1346">
        <v>2420</v>
      </c>
      <c r="G1346" t="s">
        <v>2252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1247</v>
      </c>
      <c r="N1346">
        <v>0.4</v>
      </c>
      <c r="O1346" t="s">
        <v>33</v>
      </c>
      <c r="P1346" t="s">
        <v>135</v>
      </c>
      <c r="Q1346" t="s">
        <v>136</v>
      </c>
      <c r="R1346" t="s">
        <v>1554</v>
      </c>
      <c r="S1346">
        <v>23223</v>
      </c>
      <c r="T1346" s="1">
        <v>42130</v>
      </c>
      <c r="U1346" s="1">
        <v>42130</v>
      </c>
      <c r="V1346" s="2">
        <v>-23.071999999999999</v>
      </c>
      <c r="W1346">
        <v>11</v>
      </c>
      <c r="X1346" s="2">
        <v>100.87</v>
      </c>
      <c r="Y1346">
        <v>86752</v>
      </c>
      <c r="Z1346">
        <f t="shared" si="20"/>
        <v>1109.5700000000002</v>
      </c>
    </row>
    <row r="1347" spans="1:26" x14ac:dyDescent="0.25">
      <c r="A1347">
        <v>18802</v>
      </c>
      <c r="B1347" t="s">
        <v>37</v>
      </c>
      <c r="C1347" s="2">
        <v>0.05</v>
      </c>
      <c r="D1347" s="2">
        <v>150.97999999999999</v>
      </c>
      <c r="E1347" s="2">
        <v>43.71</v>
      </c>
      <c r="F1347">
        <v>2422</v>
      </c>
      <c r="G1347" t="s">
        <v>2253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2254</v>
      </c>
      <c r="N1347">
        <v>0.55000000000000004</v>
      </c>
      <c r="O1347" t="s">
        <v>33</v>
      </c>
      <c r="P1347" t="s">
        <v>61</v>
      </c>
      <c r="Q1347" t="s">
        <v>129</v>
      </c>
      <c r="R1347" t="s">
        <v>2255</v>
      </c>
      <c r="S1347">
        <v>77340</v>
      </c>
      <c r="T1347" s="1">
        <v>42148</v>
      </c>
      <c r="U1347" s="1">
        <v>42149</v>
      </c>
      <c r="V1347" s="2">
        <v>650.29999999999995</v>
      </c>
      <c r="W1347">
        <v>12</v>
      </c>
      <c r="X1347" s="2">
        <v>1857.08</v>
      </c>
      <c r="Y1347">
        <v>89053</v>
      </c>
      <c r="Z1347">
        <f t="shared" ref="Z1347:Z1410" si="21">W1347*X1347</f>
        <v>22284.959999999999</v>
      </c>
    </row>
    <row r="1348" spans="1:26" x14ac:dyDescent="0.25">
      <c r="A1348">
        <v>19817</v>
      </c>
      <c r="B1348" t="s">
        <v>56</v>
      </c>
      <c r="C1348" s="2">
        <v>0.09</v>
      </c>
      <c r="D1348" s="2">
        <v>3.89</v>
      </c>
      <c r="E1348" s="2">
        <v>7.01</v>
      </c>
      <c r="F1348">
        <v>2422</v>
      </c>
      <c r="G1348" t="s">
        <v>2253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1328</v>
      </c>
      <c r="N1348">
        <v>0.37</v>
      </c>
      <c r="O1348" t="s">
        <v>33</v>
      </c>
      <c r="P1348" t="s">
        <v>61</v>
      </c>
      <c r="Q1348" t="s">
        <v>129</v>
      </c>
      <c r="R1348" t="s">
        <v>2255</v>
      </c>
      <c r="S1348">
        <v>77340</v>
      </c>
      <c r="T1348" s="1">
        <v>42026</v>
      </c>
      <c r="U1348" s="1">
        <v>42028</v>
      </c>
      <c r="V1348" s="2">
        <v>-154.30699999999999</v>
      </c>
      <c r="W1348">
        <v>10</v>
      </c>
      <c r="X1348" s="2">
        <v>42.56</v>
      </c>
      <c r="Y1348">
        <v>89055</v>
      </c>
      <c r="Z1348">
        <f t="shared" si="21"/>
        <v>425.6</v>
      </c>
    </row>
    <row r="1349" spans="1:26" x14ac:dyDescent="0.25">
      <c r="A1349">
        <v>25126</v>
      </c>
      <c r="B1349" t="s">
        <v>106</v>
      </c>
      <c r="C1349" s="2">
        <v>0.04</v>
      </c>
      <c r="D1349" s="2">
        <v>100.98</v>
      </c>
      <c r="E1349" s="2">
        <v>7.18</v>
      </c>
      <c r="F1349">
        <v>2423</v>
      </c>
      <c r="G1349" t="s">
        <v>2256</v>
      </c>
      <c r="H1349" t="s">
        <v>49</v>
      </c>
      <c r="I1349" t="s">
        <v>40</v>
      </c>
      <c r="J1349" t="s">
        <v>77</v>
      </c>
      <c r="K1349" t="s">
        <v>177</v>
      </c>
      <c r="L1349" t="s">
        <v>59</v>
      </c>
      <c r="M1349" t="s">
        <v>2257</v>
      </c>
      <c r="N1349">
        <v>0.4</v>
      </c>
      <c r="O1349" t="s">
        <v>33</v>
      </c>
      <c r="P1349" t="s">
        <v>61</v>
      </c>
      <c r="Q1349" t="s">
        <v>129</v>
      </c>
      <c r="R1349" t="s">
        <v>2258</v>
      </c>
      <c r="S1349">
        <v>76053</v>
      </c>
      <c r="T1349" s="1">
        <v>42025</v>
      </c>
      <c r="U1349" s="1">
        <v>42030</v>
      </c>
      <c r="V1349" s="2">
        <v>269.94</v>
      </c>
      <c r="W1349">
        <v>4</v>
      </c>
      <c r="X1349" s="2">
        <v>414.91</v>
      </c>
      <c r="Y1349">
        <v>89054</v>
      </c>
      <c r="Z1349">
        <f t="shared" si="21"/>
        <v>1659.64</v>
      </c>
    </row>
    <row r="1350" spans="1:26" x14ac:dyDescent="0.25">
      <c r="A1350">
        <v>21761</v>
      </c>
      <c r="B1350" t="s">
        <v>25</v>
      </c>
      <c r="C1350" s="2">
        <v>0.08</v>
      </c>
      <c r="D1350" s="2">
        <v>30.93</v>
      </c>
      <c r="E1350" s="2">
        <v>3.92</v>
      </c>
      <c r="F1350">
        <v>2426</v>
      </c>
      <c r="G1350" t="s">
        <v>2259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1736</v>
      </c>
      <c r="N1350">
        <v>0.44</v>
      </c>
      <c r="O1350" t="s">
        <v>33</v>
      </c>
      <c r="P1350" t="s">
        <v>61</v>
      </c>
      <c r="Q1350" t="s">
        <v>129</v>
      </c>
      <c r="R1350" t="s">
        <v>2260</v>
      </c>
      <c r="S1350">
        <v>75061</v>
      </c>
      <c r="T1350" s="1">
        <v>42078</v>
      </c>
      <c r="U1350" s="1">
        <v>42079</v>
      </c>
      <c r="V1350" s="2">
        <v>63.059100000000001</v>
      </c>
      <c r="W1350">
        <v>3</v>
      </c>
      <c r="X1350" s="2">
        <v>91.39</v>
      </c>
      <c r="Y1350">
        <v>90859</v>
      </c>
      <c r="Z1350">
        <f t="shared" si="21"/>
        <v>274.17</v>
      </c>
    </row>
    <row r="1351" spans="1:26" x14ac:dyDescent="0.25">
      <c r="A1351">
        <v>20496</v>
      </c>
      <c r="B1351" t="s">
        <v>106</v>
      </c>
      <c r="C1351" s="2">
        <v>0.08</v>
      </c>
      <c r="D1351" s="2">
        <v>4.4800000000000004</v>
      </c>
      <c r="E1351" s="2">
        <v>49</v>
      </c>
      <c r="F1351">
        <v>2426</v>
      </c>
      <c r="G1351" t="s">
        <v>2259</v>
      </c>
      <c r="H1351" t="s">
        <v>49</v>
      </c>
      <c r="I1351" t="s">
        <v>58</v>
      </c>
      <c r="J1351" t="s">
        <v>29</v>
      </c>
      <c r="K1351" t="s">
        <v>252</v>
      </c>
      <c r="L1351" t="s">
        <v>231</v>
      </c>
      <c r="M1351" t="s">
        <v>672</v>
      </c>
      <c r="N1351">
        <v>0.6</v>
      </c>
      <c r="O1351" t="s">
        <v>33</v>
      </c>
      <c r="P1351" t="s">
        <v>61</v>
      </c>
      <c r="Q1351" t="s">
        <v>129</v>
      </c>
      <c r="R1351" t="s">
        <v>2260</v>
      </c>
      <c r="S1351">
        <v>75061</v>
      </c>
      <c r="T1351" s="1">
        <v>42126</v>
      </c>
      <c r="U1351" s="1">
        <v>42126</v>
      </c>
      <c r="V1351" s="2">
        <v>139.58009999999999</v>
      </c>
      <c r="W1351">
        <v>37</v>
      </c>
      <c r="X1351" s="2">
        <v>202.29</v>
      </c>
      <c r="Y1351">
        <v>90861</v>
      </c>
      <c r="Z1351">
        <f t="shared" si="21"/>
        <v>7484.73</v>
      </c>
    </row>
    <row r="1352" spans="1:26" x14ac:dyDescent="0.25">
      <c r="A1352">
        <v>20497</v>
      </c>
      <c r="B1352" t="s">
        <v>106</v>
      </c>
      <c r="C1352" s="2">
        <v>0</v>
      </c>
      <c r="D1352" s="2">
        <v>17.670000000000002</v>
      </c>
      <c r="E1352" s="2">
        <v>8.99</v>
      </c>
      <c r="F1352">
        <v>2426</v>
      </c>
      <c r="G1352" t="s">
        <v>2259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798</v>
      </c>
      <c r="N1352">
        <v>0.47</v>
      </c>
      <c r="O1352" t="s">
        <v>33</v>
      </c>
      <c r="P1352" t="s">
        <v>61</v>
      </c>
      <c r="Q1352" t="s">
        <v>129</v>
      </c>
      <c r="R1352" t="s">
        <v>2260</v>
      </c>
      <c r="S1352">
        <v>75061</v>
      </c>
      <c r="T1352" s="1">
        <v>42126</v>
      </c>
      <c r="U1352" s="1">
        <v>42133</v>
      </c>
      <c r="V1352" s="2">
        <v>109.67</v>
      </c>
      <c r="W1352">
        <v>9</v>
      </c>
      <c r="X1352" s="2">
        <v>168.71</v>
      </c>
      <c r="Y1352">
        <v>90861</v>
      </c>
      <c r="Z1352">
        <f t="shared" si="21"/>
        <v>1518.39</v>
      </c>
    </row>
    <row r="1353" spans="1:26" x14ac:dyDescent="0.25">
      <c r="A1353">
        <v>23729</v>
      </c>
      <c r="B1353" t="s">
        <v>25</v>
      </c>
      <c r="C1353" s="2">
        <v>0.03</v>
      </c>
      <c r="D1353" s="2">
        <v>40.99</v>
      </c>
      <c r="E1353" s="2">
        <v>19.989999999999998</v>
      </c>
      <c r="F1353">
        <v>2427</v>
      </c>
      <c r="G1353" t="s">
        <v>2261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1919</v>
      </c>
      <c r="N1353">
        <v>0.36</v>
      </c>
      <c r="O1353" t="s">
        <v>33</v>
      </c>
      <c r="P1353" t="s">
        <v>61</v>
      </c>
      <c r="Q1353" t="s">
        <v>129</v>
      </c>
      <c r="R1353" t="s">
        <v>2262</v>
      </c>
      <c r="S1353">
        <v>76248</v>
      </c>
      <c r="T1353" s="1">
        <v>42052</v>
      </c>
      <c r="U1353" s="1">
        <v>42053</v>
      </c>
      <c r="V1353" s="2">
        <v>395.30799999999999</v>
      </c>
      <c r="W1353">
        <v>21</v>
      </c>
      <c r="X1353" s="2">
        <v>885.65</v>
      </c>
      <c r="Y1353">
        <v>90860</v>
      </c>
      <c r="Z1353">
        <f t="shared" si="21"/>
        <v>18598.649999999998</v>
      </c>
    </row>
    <row r="1354" spans="1:26" x14ac:dyDescent="0.25">
      <c r="A1354">
        <v>22562</v>
      </c>
      <c r="B1354" t="s">
        <v>37</v>
      </c>
      <c r="C1354" s="2">
        <v>0.1</v>
      </c>
      <c r="D1354" s="2">
        <v>14.28</v>
      </c>
      <c r="E1354" s="2">
        <v>2.99</v>
      </c>
      <c r="F1354">
        <v>2430</v>
      </c>
      <c r="G1354" t="s">
        <v>2263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1699</v>
      </c>
      <c r="N1354">
        <v>0.39</v>
      </c>
      <c r="O1354" t="s">
        <v>33</v>
      </c>
      <c r="P1354" t="s">
        <v>61</v>
      </c>
      <c r="Q1354" t="s">
        <v>129</v>
      </c>
      <c r="R1354" t="s">
        <v>2264</v>
      </c>
      <c r="S1354">
        <v>76541</v>
      </c>
      <c r="T1354" s="1">
        <v>42087</v>
      </c>
      <c r="U1354" s="1">
        <v>42088</v>
      </c>
      <c r="V1354" s="2">
        <v>104.9145</v>
      </c>
      <c r="W1354">
        <v>11</v>
      </c>
      <c r="X1354" s="2">
        <v>152.05000000000001</v>
      </c>
      <c r="Y1354">
        <v>91108</v>
      </c>
      <c r="Z1354">
        <f t="shared" si="21"/>
        <v>1672.5500000000002</v>
      </c>
    </row>
    <row r="1355" spans="1:26" x14ac:dyDescent="0.25">
      <c r="A1355">
        <v>22105</v>
      </c>
      <c r="B1355" t="s">
        <v>37</v>
      </c>
      <c r="C1355" s="2">
        <v>0.04</v>
      </c>
      <c r="D1355" s="2">
        <v>7.08</v>
      </c>
      <c r="E1355" s="2">
        <v>2.35</v>
      </c>
      <c r="F1355">
        <v>2430</v>
      </c>
      <c r="G1355" t="s">
        <v>2263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1133</v>
      </c>
      <c r="N1355">
        <v>0.47</v>
      </c>
      <c r="O1355" t="s">
        <v>33</v>
      </c>
      <c r="P1355" t="s">
        <v>61</v>
      </c>
      <c r="Q1355" t="s">
        <v>129</v>
      </c>
      <c r="R1355" t="s">
        <v>2264</v>
      </c>
      <c r="S1355">
        <v>76541</v>
      </c>
      <c r="T1355" s="1">
        <v>42104</v>
      </c>
      <c r="U1355" s="1">
        <v>42105</v>
      </c>
      <c r="V1355" s="2">
        <v>24.59</v>
      </c>
      <c r="W1355">
        <v>7</v>
      </c>
      <c r="X1355" s="2">
        <v>49.1</v>
      </c>
      <c r="Y1355">
        <v>91109</v>
      </c>
      <c r="Z1355">
        <f t="shared" si="21"/>
        <v>343.7</v>
      </c>
    </row>
    <row r="1356" spans="1:26" x14ac:dyDescent="0.25">
      <c r="A1356">
        <v>20731</v>
      </c>
      <c r="B1356" t="s">
        <v>106</v>
      </c>
      <c r="C1356" s="2">
        <v>0.03</v>
      </c>
      <c r="D1356" s="2">
        <v>140.99</v>
      </c>
      <c r="E1356" s="2">
        <v>4.2</v>
      </c>
      <c r="F1356">
        <v>2430</v>
      </c>
      <c r="G1356" t="s">
        <v>2263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>
        <v>7160</v>
      </c>
      <c r="N1356">
        <v>0.59</v>
      </c>
      <c r="O1356" t="s">
        <v>33</v>
      </c>
      <c r="P1356" t="s">
        <v>61</v>
      </c>
      <c r="Q1356" t="s">
        <v>129</v>
      </c>
      <c r="R1356" t="s">
        <v>2264</v>
      </c>
      <c r="S1356">
        <v>76541</v>
      </c>
      <c r="T1356" s="1">
        <v>42092</v>
      </c>
      <c r="U1356" s="1">
        <v>42100</v>
      </c>
      <c r="V1356" s="2">
        <v>-458.74400000000003</v>
      </c>
      <c r="W1356">
        <v>2</v>
      </c>
      <c r="X1356" s="2">
        <v>246.44</v>
      </c>
      <c r="Y1356">
        <v>91110</v>
      </c>
      <c r="Z1356">
        <f t="shared" si="21"/>
        <v>492.88</v>
      </c>
    </row>
    <row r="1357" spans="1:26" x14ac:dyDescent="0.25">
      <c r="A1357">
        <v>3490</v>
      </c>
      <c r="B1357" t="s">
        <v>37</v>
      </c>
      <c r="C1357" s="2">
        <v>0.05</v>
      </c>
      <c r="D1357" s="2">
        <v>8.85</v>
      </c>
      <c r="E1357" s="2">
        <v>5.6</v>
      </c>
      <c r="F1357">
        <v>2431</v>
      </c>
      <c r="G1357" t="s">
        <v>2265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2266</v>
      </c>
      <c r="N1357">
        <v>0.36</v>
      </c>
      <c r="O1357" t="s">
        <v>33</v>
      </c>
      <c r="P1357" t="s">
        <v>34</v>
      </c>
      <c r="Q1357" t="s">
        <v>45</v>
      </c>
      <c r="R1357" t="s">
        <v>655</v>
      </c>
      <c r="S1357">
        <v>90004</v>
      </c>
      <c r="T1357" s="1">
        <v>42165</v>
      </c>
      <c r="U1357" s="1">
        <v>42166</v>
      </c>
      <c r="V1357" s="2">
        <v>-9.1769999999999996</v>
      </c>
      <c r="W1357">
        <v>21</v>
      </c>
      <c r="X1357" s="2">
        <v>199.08</v>
      </c>
      <c r="Y1357">
        <v>24869</v>
      </c>
      <c r="Z1357">
        <f t="shared" si="21"/>
        <v>4180.68</v>
      </c>
    </row>
    <row r="1358" spans="1:26" x14ac:dyDescent="0.25">
      <c r="A1358">
        <v>819</v>
      </c>
      <c r="B1358" t="s">
        <v>25</v>
      </c>
      <c r="C1358" s="2">
        <v>7.0000000000000007E-2</v>
      </c>
      <c r="D1358" s="2">
        <v>155.06</v>
      </c>
      <c r="E1358" s="2">
        <v>7.07</v>
      </c>
      <c r="F1358">
        <v>2431</v>
      </c>
      <c r="G1358" t="s">
        <v>2265</v>
      </c>
      <c r="H1358" t="s">
        <v>49</v>
      </c>
      <c r="I1358" t="s">
        <v>114</v>
      </c>
      <c r="J1358" t="s">
        <v>29</v>
      </c>
      <c r="K1358" t="s">
        <v>139</v>
      </c>
      <c r="L1358" t="s">
        <v>59</v>
      </c>
      <c r="M1358" t="s">
        <v>140</v>
      </c>
      <c r="N1358">
        <v>0.59</v>
      </c>
      <c r="O1358" t="s">
        <v>33</v>
      </c>
      <c r="P1358" t="s">
        <v>34</v>
      </c>
      <c r="Q1358" t="s">
        <v>45</v>
      </c>
      <c r="R1358" t="s">
        <v>655</v>
      </c>
      <c r="S1358">
        <v>90004</v>
      </c>
      <c r="T1358" s="1">
        <v>42143</v>
      </c>
      <c r="U1358" s="1">
        <v>42143</v>
      </c>
      <c r="V1358" s="2">
        <v>-121.75</v>
      </c>
      <c r="W1358">
        <v>14</v>
      </c>
      <c r="X1358" s="2">
        <v>2039.07</v>
      </c>
      <c r="Y1358">
        <v>5920</v>
      </c>
      <c r="Z1358">
        <f t="shared" si="21"/>
        <v>28546.98</v>
      </c>
    </row>
    <row r="1359" spans="1:26" x14ac:dyDescent="0.25">
      <c r="A1359">
        <v>18819</v>
      </c>
      <c r="B1359" t="s">
        <v>25</v>
      </c>
      <c r="C1359" s="2">
        <v>7.0000000000000007E-2</v>
      </c>
      <c r="D1359" s="2">
        <v>155.06</v>
      </c>
      <c r="E1359" s="2">
        <v>7.07</v>
      </c>
      <c r="F1359">
        <v>2432</v>
      </c>
      <c r="G1359" t="s">
        <v>2267</v>
      </c>
      <c r="H1359" t="s">
        <v>49</v>
      </c>
      <c r="I1359" t="s">
        <v>114</v>
      </c>
      <c r="J1359" t="s">
        <v>29</v>
      </c>
      <c r="K1359" t="s">
        <v>139</v>
      </c>
      <c r="L1359" t="s">
        <v>59</v>
      </c>
      <c r="M1359" t="s">
        <v>140</v>
      </c>
      <c r="N1359">
        <v>0.59</v>
      </c>
      <c r="O1359" t="s">
        <v>33</v>
      </c>
      <c r="P1359" t="s">
        <v>61</v>
      </c>
      <c r="Q1359" t="s">
        <v>299</v>
      </c>
      <c r="R1359" t="s">
        <v>2268</v>
      </c>
      <c r="S1359">
        <v>73110</v>
      </c>
      <c r="T1359" s="1">
        <v>42143</v>
      </c>
      <c r="U1359" s="1">
        <v>42143</v>
      </c>
      <c r="V1359" s="2">
        <v>24.35</v>
      </c>
      <c r="W1359">
        <v>3</v>
      </c>
      <c r="X1359" s="2">
        <v>436.94</v>
      </c>
      <c r="Y1359">
        <v>89096</v>
      </c>
      <c r="Z1359">
        <f t="shared" si="21"/>
        <v>1310.82</v>
      </c>
    </row>
    <row r="1360" spans="1:26" x14ac:dyDescent="0.25">
      <c r="A1360">
        <v>20286</v>
      </c>
      <c r="B1360" t="s">
        <v>37</v>
      </c>
      <c r="C1360" s="2">
        <v>0.09</v>
      </c>
      <c r="D1360" s="2">
        <v>5.4</v>
      </c>
      <c r="E1360" s="2">
        <v>7.78</v>
      </c>
      <c r="F1360">
        <v>2432</v>
      </c>
      <c r="G1360" t="s">
        <v>2267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305</v>
      </c>
      <c r="N1360">
        <v>0.37</v>
      </c>
      <c r="O1360" t="s">
        <v>33</v>
      </c>
      <c r="P1360" t="s">
        <v>61</v>
      </c>
      <c r="Q1360" t="s">
        <v>299</v>
      </c>
      <c r="R1360" t="s">
        <v>2268</v>
      </c>
      <c r="S1360">
        <v>73110</v>
      </c>
      <c r="T1360" s="1">
        <v>42161</v>
      </c>
      <c r="U1360" s="1">
        <v>42163</v>
      </c>
      <c r="V1360" s="2">
        <v>-34.764499999999998</v>
      </c>
      <c r="W1360">
        <v>6</v>
      </c>
      <c r="X1360" s="2">
        <v>37.380000000000003</v>
      </c>
      <c r="Y1360">
        <v>89097</v>
      </c>
      <c r="Z1360">
        <f t="shared" si="21"/>
        <v>224.28000000000003</v>
      </c>
    </row>
    <row r="1361" spans="1:26" x14ac:dyDescent="0.25">
      <c r="A1361">
        <v>21490</v>
      </c>
      <c r="B1361" t="s">
        <v>37</v>
      </c>
      <c r="C1361" s="2">
        <v>0.05</v>
      </c>
      <c r="D1361" s="2">
        <v>8.85</v>
      </c>
      <c r="E1361" s="2">
        <v>5.6</v>
      </c>
      <c r="F1361">
        <v>2433</v>
      </c>
      <c r="G1361" t="s">
        <v>2269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2266</v>
      </c>
      <c r="N1361">
        <v>0.36</v>
      </c>
      <c r="O1361" t="s">
        <v>33</v>
      </c>
      <c r="P1361" t="s">
        <v>61</v>
      </c>
      <c r="Q1361" t="s">
        <v>299</v>
      </c>
      <c r="R1361" t="s">
        <v>2270</v>
      </c>
      <c r="S1361">
        <v>73160</v>
      </c>
      <c r="T1361" s="1">
        <v>42165</v>
      </c>
      <c r="U1361" s="1">
        <v>42166</v>
      </c>
      <c r="V1361" s="2">
        <v>-7.3415999999999997</v>
      </c>
      <c r="W1361">
        <v>5</v>
      </c>
      <c r="X1361" s="2">
        <v>47.4</v>
      </c>
      <c r="Y1361">
        <v>89095</v>
      </c>
      <c r="Z1361">
        <f t="shared" si="21"/>
        <v>237</v>
      </c>
    </row>
    <row r="1362" spans="1:26" x14ac:dyDescent="0.25">
      <c r="A1362">
        <v>19566</v>
      </c>
      <c r="B1362" t="s">
        <v>106</v>
      </c>
      <c r="C1362" s="2">
        <v>0.09</v>
      </c>
      <c r="D1362" s="2">
        <v>90.97</v>
      </c>
      <c r="E1362" s="2">
        <v>14</v>
      </c>
      <c r="F1362">
        <v>2437</v>
      </c>
      <c r="G1362" t="s">
        <v>2271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1790</v>
      </c>
      <c r="N1362">
        <v>0.36</v>
      </c>
      <c r="O1362" t="s">
        <v>33</v>
      </c>
      <c r="P1362" t="s">
        <v>61</v>
      </c>
      <c r="Q1362" t="s">
        <v>1843</v>
      </c>
      <c r="R1362" t="s">
        <v>2272</v>
      </c>
      <c r="S1362">
        <v>53150</v>
      </c>
      <c r="T1362" s="1">
        <v>42064</v>
      </c>
      <c r="U1362" s="1">
        <v>42066</v>
      </c>
      <c r="V1362" s="2">
        <v>35.29</v>
      </c>
      <c r="W1362">
        <v>3</v>
      </c>
      <c r="X1362" s="2">
        <v>260</v>
      </c>
      <c r="Y1362">
        <v>90301</v>
      </c>
      <c r="Z1362">
        <f t="shared" si="21"/>
        <v>780</v>
      </c>
    </row>
    <row r="1363" spans="1:26" x14ac:dyDescent="0.25">
      <c r="A1363">
        <v>20157</v>
      </c>
      <c r="B1363" t="s">
        <v>56</v>
      </c>
      <c r="C1363" s="2">
        <v>0.02</v>
      </c>
      <c r="D1363" s="2">
        <v>63.94</v>
      </c>
      <c r="E1363" s="2">
        <v>14.48</v>
      </c>
      <c r="F1363">
        <v>2441</v>
      </c>
      <c r="G1363" t="s">
        <v>2273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512</v>
      </c>
      <c r="N1363">
        <v>0.46</v>
      </c>
      <c r="O1363" t="s">
        <v>33</v>
      </c>
      <c r="P1363" t="s">
        <v>135</v>
      </c>
      <c r="Q1363" t="s">
        <v>356</v>
      </c>
      <c r="R1363" t="s">
        <v>2274</v>
      </c>
      <c r="S1363">
        <v>32935</v>
      </c>
      <c r="T1363" s="1">
        <v>42098</v>
      </c>
      <c r="U1363" s="1">
        <v>42098</v>
      </c>
      <c r="V1363" s="2">
        <v>-100.17</v>
      </c>
      <c r="W1363">
        <v>11</v>
      </c>
      <c r="X1363" s="2">
        <v>709.7</v>
      </c>
      <c r="Y1363">
        <v>89300</v>
      </c>
      <c r="Z1363">
        <f t="shared" si="21"/>
        <v>7806.7000000000007</v>
      </c>
    </row>
    <row r="1364" spans="1:26" x14ac:dyDescent="0.25">
      <c r="A1364">
        <v>20158</v>
      </c>
      <c r="B1364" t="s">
        <v>56</v>
      </c>
      <c r="C1364" s="2">
        <v>0.01</v>
      </c>
      <c r="D1364" s="2">
        <v>5.0199999999999996</v>
      </c>
      <c r="E1364" s="2">
        <v>5.14</v>
      </c>
      <c r="F1364">
        <v>2442</v>
      </c>
      <c r="G1364" t="s">
        <v>2275</v>
      </c>
      <c r="H1364" t="s">
        <v>49</v>
      </c>
      <c r="I1364" t="s">
        <v>114</v>
      </c>
      <c r="J1364" t="s">
        <v>77</v>
      </c>
      <c r="K1364" t="s">
        <v>177</v>
      </c>
      <c r="L1364" t="s">
        <v>51</v>
      </c>
      <c r="M1364" t="s">
        <v>831</v>
      </c>
      <c r="N1364">
        <v>0.79</v>
      </c>
      <c r="O1364" t="s">
        <v>33</v>
      </c>
      <c r="P1364" t="s">
        <v>135</v>
      </c>
      <c r="Q1364" t="s">
        <v>356</v>
      </c>
      <c r="R1364" t="s">
        <v>2276</v>
      </c>
      <c r="S1364">
        <v>32953</v>
      </c>
      <c r="T1364" s="1">
        <v>42098</v>
      </c>
      <c r="U1364" s="1">
        <v>42100</v>
      </c>
      <c r="V1364" s="2">
        <v>-3.948</v>
      </c>
      <c r="W1364">
        <v>5</v>
      </c>
      <c r="X1364" s="2">
        <v>27.42</v>
      </c>
      <c r="Y1364">
        <v>89300</v>
      </c>
      <c r="Z1364">
        <f t="shared" si="21"/>
        <v>137.10000000000002</v>
      </c>
    </row>
    <row r="1365" spans="1:26" x14ac:dyDescent="0.25">
      <c r="A1365">
        <v>21084</v>
      </c>
      <c r="B1365" t="s">
        <v>25</v>
      </c>
      <c r="C1365" s="2">
        <v>0.05</v>
      </c>
      <c r="D1365" s="2">
        <v>58.1</v>
      </c>
      <c r="E1365" s="2">
        <v>1.49</v>
      </c>
      <c r="F1365">
        <v>2443</v>
      </c>
      <c r="G1365" t="s">
        <v>2277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278</v>
      </c>
      <c r="N1365">
        <v>0.38</v>
      </c>
      <c r="O1365" t="s">
        <v>33</v>
      </c>
      <c r="P1365" t="s">
        <v>135</v>
      </c>
      <c r="Q1365" t="s">
        <v>356</v>
      </c>
      <c r="R1365" t="s">
        <v>441</v>
      </c>
      <c r="S1365">
        <v>33142</v>
      </c>
      <c r="T1365" s="1">
        <v>42022</v>
      </c>
      <c r="U1365" s="1">
        <v>42022</v>
      </c>
      <c r="V1365" s="2">
        <v>1633.9860000000001</v>
      </c>
      <c r="W1365">
        <v>13</v>
      </c>
      <c r="X1365" s="2">
        <v>739.06</v>
      </c>
      <c r="Y1365">
        <v>89299</v>
      </c>
      <c r="Z1365">
        <f t="shared" si="21"/>
        <v>9607.7799999999988</v>
      </c>
    </row>
    <row r="1366" spans="1:26" x14ac:dyDescent="0.25">
      <c r="A1366">
        <v>25304</v>
      </c>
      <c r="B1366" t="s">
        <v>37</v>
      </c>
      <c r="C1366" s="2">
        <v>0.06</v>
      </c>
      <c r="D1366" s="2">
        <v>2.2799999999999998</v>
      </c>
      <c r="E1366" s="2">
        <v>5.2</v>
      </c>
      <c r="F1366">
        <v>2443</v>
      </c>
      <c r="G1366" t="s">
        <v>2277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2278</v>
      </c>
      <c r="N1366">
        <v>0.41</v>
      </c>
      <c r="O1366" t="s">
        <v>33</v>
      </c>
      <c r="P1366" t="s">
        <v>135</v>
      </c>
      <c r="Q1366" t="s">
        <v>356</v>
      </c>
      <c r="R1366" t="s">
        <v>441</v>
      </c>
      <c r="S1366">
        <v>33142</v>
      </c>
      <c r="T1366" s="1">
        <v>42156</v>
      </c>
      <c r="U1366" s="1">
        <v>42158</v>
      </c>
      <c r="V1366" s="2">
        <v>-2002.6314</v>
      </c>
      <c r="W1366">
        <v>13</v>
      </c>
      <c r="X1366" s="2">
        <v>30.47</v>
      </c>
      <c r="Y1366">
        <v>89301</v>
      </c>
      <c r="Z1366">
        <f t="shared" si="21"/>
        <v>396.11</v>
      </c>
    </row>
    <row r="1367" spans="1:26" x14ac:dyDescent="0.25">
      <c r="A1367">
        <v>25742</v>
      </c>
      <c r="B1367" t="s">
        <v>25</v>
      </c>
      <c r="C1367" s="2">
        <v>0.09</v>
      </c>
      <c r="D1367" s="2">
        <v>6.48</v>
      </c>
      <c r="E1367" s="2">
        <v>7.03</v>
      </c>
      <c r="F1367">
        <v>2448</v>
      </c>
      <c r="G1367" t="s">
        <v>2279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368</v>
      </c>
      <c r="N1367">
        <v>0.37</v>
      </c>
      <c r="O1367" t="s">
        <v>33</v>
      </c>
      <c r="P1367" t="s">
        <v>61</v>
      </c>
      <c r="Q1367" t="s">
        <v>62</v>
      </c>
      <c r="R1367" t="s">
        <v>2280</v>
      </c>
      <c r="S1367">
        <v>55410</v>
      </c>
      <c r="T1367" s="1">
        <v>42184</v>
      </c>
      <c r="U1367" s="1">
        <v>42186</v>
      </c>
      <c r="V1367" s="2">
        <v>-126.208</v>
      </c>
      <c r="W1367">
        <v>16</v>
      </c>
      <c r="X1367" s="2">
        <v>96.96</v>
      </c>
      <c r="Y1367">
        <v>87790</v>
      </c>
      <c r="Z1367">
        <f t="shared" si="21"/>
        <v>1551.36</v>
      </c>
    </row>
    <row r="1368" spans="1:26" x14ac:dyDescent="0.25">
      <c r="A1368">
        <v>20687</v>
      </c>
      <c r="B1368" t="s">
        <v>37</v>
      </c>
      <c r="C1368" s="2">
        <v>0.08</v>
      </c>
      <c r="D1368" s="2">
        <v>4.13</v>
      </c>
      <c r="E1368" s="2">
        <v>1.17</v>
      </c>
      <c r="F1368">
        <v>2450</v>
      </c>
      <c r="G1368" t="s">
        <v>2281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2282</v>
      </c>
      <c r="N1368">
        <v>0.56999999999999995</v>
      </c>
      <c r="O1368" t="s">
        <v>33</v>
      </c>
      <c r="P1368" t="s">
        <v>61</v>
      </c>
      <c r="Q1368" t="s">
        <v>1843</v>
      </c>
      <c r="R1368" t="s">
        <v>2283</v>
      </c>
      <c r="S1368">
        <v>53545</v>
      </c>
      <c r="T1368" s="1">
        <v>42147</v>
      </c>
      <c r="U1368" s="1">
        <v>42149</v>
      </c>
      <c r="V1368" s="2">
        <v>-5.54</v>
      </c>
      <c r="W1368">
        <v>1</v>
      </c>
      <c r="X1368" s="2">
        <v>4.21</v>
      </c>
      <c r="Y1368">
        <v>90322</v>
      </c>
      <c r="Z1368">
        <f t="shared" si="21"/>
        <v>4.21</v>
      </c>
    </row>
    <row r="1369" spans="1:26" x14ac:dyDescent="0.25">
      <c r="A1369">
        <v>21198</v>
      </c>
      <c r="B1369" t="s">
        <v>56</v>
      </c>
      <c r="C1369" s="2">
        <v>0.06</v>
      </c>
      <c r="D1369" s="2">
        <v>3499.99</v>
      </c>
      <c r="E1369" s="2">
        <v>24.49</v>
      </c>
      <c r="F1369">
        <v>2454</v>
      </c>
      <c r="G1369" t="s">
        <v>2284</v>
      </c>
      <c r="H1369" t="s">
        <v>27</v>
      </c>
      <c r="I1369" t="s">
        <v>28</v>
      </c>
      <c r="J1369" t="s">
        <v>77</v>
      </c>
      <c r="K1369" t="s">
        <v>580</v>
      </c>
      <c r="L1369" t="s">
        <v>231</v>
      </c>
      <c r="M1369" t="s">
        <v>1297</v>
      </c>
      <c r="N1369">
        <v>0.37</v>
      </c>
      <c r="O1369" t="s">
        <v>33</v>
      </c>
      <c r="P1369" t="s">
        <v>135</v>
      </c>
      <c r="Q1369" t="s">
        <v>1266</v>
      </c>
      <c r="R1369" t="s">
        <v>2285</v>
      </c>
      <c r="S1369">
        <v>35244</v>
      </c>
      <c r="T1369" s="1">
        <v>42064</v>
      </c>
      <c r="U1369" s="1">
        <v>42067</v>
      </c>
      <c r="V1369" s="2">
        <v>-68.432000000000002</v>
      </c>
      <c r="W1369">
        <v>1</v>
      </c>
      <c r="X1369" s="2">
        <v>3550.28</v>
      </c>
      <c r="Y1369">
        <v>89219</v>
      </c>
      <c r="Z1369">
        <f t="shared" si="21"/>
        <v>3550.28</v>
      </c>
    </row>
    <row r="1370" spans="1:26" x14ac:dyDescent="0.25">
      <c r="A1370">
        <v>25536</v>
      </c>
      <c r="B1370" t="s">
        <v>25</v>
      </c>
      <c r="C1370" s="2">
        <v>7.0000000000000007E-2</v>
      </c>
      <c r="D1370" s="2">
        <v>179.99</v>
      </c>
      <c r="E1370" s="2">
        <v>19.989999999999998</v>
      </c>
      <c r="F1370">
        <v>2456</v>
      </c>
      <c r="G1370" t="s">
        <v>2286</v>
      </c>
      <c r="H1370" t="s">
        <v>49</v>
      </c>
      <c r="I1370" t="s">
        <v>40</v>
      </c>
      <c r="J1370" t="s">
        <v>77</v>
      </c>
      <c r="K1370" t="s">
        <v>177</v>
      </c>
      <c r="L1370" t="s">
        <v>59</v>
      </c>
      <c r="M1370" t="s">
        <v>572</v>
      </c>
      <c r="N1370">
        <v>0.48</v>
      </c>
      <c r="O1370" t="s">
        <v>33</v>
      </c>
      <c r="P1370" t="s">
        <v>135</v>
      </c>
      <c r="Q1370" t="s">
        <v>1266</v>
      </c>
      <c r="R1370" t="s">
        <v>2287</v>
      </c>
      <c r="S1370">
        <v>36608</v>
      </c>
      <c r="T1370" s="1">
        <v>42026</v>
      </c>
      <c r="U1370" s="1">
        <v>42027</v>
      </c>
      <c r="V1370" s="2">
        <v>733.28219999999999</v>
      </c>
      <c r="W1370">
        <v>7</v>
      </c>
      <c r="X1370" s="2">
        <v>1188.6300000000001</v>
      </c>
      <c r="Y1370">
        <v>89218</v>
      </c>
      <c r="Z1370">
        <f t="shared" si="21"/>
        <v>8320.41</v>
      </c>
    </row>
    <row r="1371" spans="1:26" x14ac:dyDescent="0.25">
      <c r="A1371">
        <v>25537</v>
      </c>
      <c r="B1371" t="s">
        <v>25</v>
      </c>
      <c r="C1371" s="2">
        <v>0.02</v>
      </c>
      <c r="D1371" s="2">
        <v>92.23</v>
      </c>
      <c r="E1371" s="2">
        <v>39.61</v>
      </c>
      <c r="F1371">
        <v>2456</v>
      </c>
      <c r="G1371" t="s">
        <v>2286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2288</v>
      </c>
      <c r="N1371">
        <v>0.67</v>
      </c>
      <c r="O1371" t="s">
        <v>33</v>
      </c>
      <c r="P1371" t="s">
        <v>135</v>
      </c>
      <c r="Q1371" t="s">
        <v>1266</v>
      </c>
      <c r="R1371" t="s">
        <v>2287</v>
      </c>
      <c r="S1371">
        <v>36608</v>
      </c>
      <c r="T1371" s="1">
        <v>42026</v>
      </c>
      <c r="U1371" s="1">
        <v>42027</v>
      </c>
      <c r="V1371" s="2">
        <v>-905.99040000000002</v>
      </c>
      <c r="W1371">
        <v>11</v>
      </c>
      <c r="X1371" s="2">
        <v>1009.93</v>
      </c>
      <c r="Y1371">
        <v>89218</v>
      </c>
      <c r="Z1371">
        <f t="shared" si="21"/>
        <v>11109.23</v>
      </c>
    </row>
    <row r="1372" spans="1:26" x14ac:dyDescent="0.25">
      <c r="A1372">
        <v>25535</v>
      </c>
      <c r="B1372" t="s">
        <v>25</v>
      </c>
      <c r="C1372" s="2">
        <v>0.02</v>
      </c>
      <c r="D1372" s="2">
        <v>15.22</v>
      </c>
      <c r="E1372" s="2">
        <v>9.73</v>
      </c>
      <c r="F1372">
        <v>2457</v>
      </c>
      <c r="G1372" t="s">
        <v>2289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2290</v>
      </c>
      <c r="N1372">
        <v>0.36</v>
      </c>
      <c r="O1372" t="s">
        <v>33</v>
      </c>
      <c r="P1372" t="s">
        <v>61</v>
      </c>
      <c r="Q1372" t="s">
        <v>62</v>
      </c>
      <c r="R1372" t="s">
        <v>2291</v>
      </c>
      <c r="S1372">
        <v>55014</v>
      </c>
      <c r="T1372" s="1">
        <v>42026</v>
      </c>
      <c r="U1372" s="1">
        <v>42026</v>
      </c>
      <c r="V1372" s="2">
        <v>-21.63242</v>
      </c>
      <c r="W1372">
        <v>9</v>
      </c>
      <c r="X1372" s="2">
        <v>140.69999999999999</v>
      </c>
      <c r="Y1372">
        <v>89218</v>
      </c>
      <c r="Z1372">
        <f t="shared" si="21"/>
        <v>1266.3</v>
      </c>
    </row>
    <row r="1373" spans="1:26" x14ac:dyDescent="0.25">
      <c r="A1373">
        <v>22321</v>
      </c>
      <c r="B1373" t="s">
        <v>25</v>
      </c>
      <c r="C1373" s="2">
        <v>0.03</v>
      </c>
      <c r="D1373" s="2">
        <v>6.48</v>
      </c>
      <c r="E1373" s="2">
        <v>8.73</v>
      </c>
      <c r="F1373">
        <v>2458</v>
      </c>
      <c r="G1373" t="s">
        <v>2292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2293</v>
      </c>
      <c r="N1373">
        <v>0.37</v>
      </c>
      <c r="O1373" t="s">
        <v>33</v>
      </c>
      <c r="P1373" t="s">
        <v>61</v>
      </c>
      <c r="Q1373" t="s">
        <v>62</v>
      </c>
      <c r="R1373" t="s">
        <v>2280</v>
      </c>
      <c r="S1373">
        <v>55410</v>
      </c>
      <c r="T1373" s="1">
        <v>42007</v>
      </c>
      <c r="U1373" s="1">
        <v>42009</v>
      </c>
      <c r="V1373" s="2">
        <v>-35.04</v>
      </c>
      <c r="W1373">
        <v>2</v>
      </c>
      <c r="X1373" s="2">
        <v>15.95</v>
      </c>
      <c r="Y1373">
        <v>91285</v>
      </c>
      <c r="Z1373">
        <f t="shared" si="21"/>
        <v>31.9</v>
      </c>
    </row>
    <row r="1374" spans="1:26" x14ac:dyDescent="0.25">
      <c r="A1374">
        <v>21190</v>
      </c>
      <c r="B1374" t="s">
        <v>56</v>
      </c>
      <c r="C1374" s="2">
        <v>0.05</v>
      </c>
      <c r="D1374" s="2">
        <v>12.88</v>
      </c>
      <c r="E1374" s="2">
        <v>4.59</v>
      </c>
      <c r="F1374">
        <v>2458</v>
      </c>
      <c r="G1374" t="s">
        <v>2292</v>
      </c>
      <c r="H1374" t="s">
        <v>49</v>
      </c>
      <c r="I1374" t="s">
        <v>40</v>
      </c>
      <c r="J1374" t="s">
        <v>29</v>
      </c>
      <c r="K1374" t="s">
        <v>171</v>
      </c>
      <c r="L1374" t="s">
        <v>31</v>
      </c>
      <c r="M1374" t="s">
        <v>1609</v>
      </c>
      <c r="N1374">
        <v>0.82</v>
      </c>
      <c r="O1374" t="s">
        <v>33</v>
      </c>
      <c r="P1374" t="s">
        <v>61</v>
      </c>
      <c r="Q1374" t="s">
        <v>62</v>
      </c>
      <c r="R1374" t="s">
        <v>2280</v>
      </c>
      <c r="S1374">
        <v>55410</v>
      </c>
      <c r="T1374" s="1">
        <v>42147</v>
      </c>
      <c r="U1374" s="1">
        <v>42149</v>
      </c>
      <c r="V1374" s="2">
        <v>5.98</v>
      </c>
      <c r="W1374">
        <v>3</v>
      </c>
      <c r="X1374" s="2">
        <v>42.35</v>
      </c>
      <c r="Y1374">
        <v>91286</v>
      </c>
      <c r="Z1374">
        <f t="shared" si="21"/>
        <v>127.05000000000001</v>
      </c>
    </row>
    <row r="1375" spans="1:26" x14ac:dyDescent="0.25">
      <c r="A1375">
        <v>4321</v>
      </c>
      <c r="B1375" t="s">
        <v>25</v>
      </c>
      <c r="C1375" s="2">
        <v>0.03</v>
      </c>
      <c r="D1375" s="2">
        <v>6.48</v>
      </c>
      <c r="E1375" s="2">
        <v>8.73</v>
      </c>
      <c r="F1375">
        <v>2460</v>
      </c>
      <c r="G1375" t="s">
        <v>2294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2293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1">
        <v>42007</v>
      </c>
      <c r="U1375" s="1">
        <v>42009</v>
      </c>
      <c r="V1375" s="2">
        <v>-35.04</v>
      </c>
      <c r="W1375">
        <v>8</v>
      </c>
      <c r="X1375" s="2">
        <v>63.78</v>
      </c>
      <c r="Y1375">
        <v>30785</v>
      </c>
      <c r="Z1375">
        <f t="shared" si="21"/>
        <v>510.24</v>
      </c>
    </row>
    <row r="1376" spans="1:26" x14ac:dyDescent="0.25">
      <c r="A1376">
        <v>4322</v>
      </c>
      <c r="B1376" t="s">
        <v>25</v>
      </c>
      <c r="C1376" s="2">
        <v>7.0000000000000007E-2</v>
      </c>
      <c r="D1376" s="2">
        <v>9.93</v>
      </c>
      <c r="E1376" s="2">
        <v>1.0900000000000001</v>
      </c>
      <c r="F1376">
        <v>2460</v>
      </c>
      <c r="G1376" t="s">
        <v>2294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2295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1">
        <v>42007</v>
      </c>
      <c r="U1376" s="1">
        <v>42010</v>
      </c>
      <c r="V1376" s="2">
        <v>149.53</v>
      </c>
      <c r="W1376">
        <v>46</v>
      </c>
      <c r="X1376" s="2">
        <v>451.61</v>
      </c>
      <c r="Y1376">
        <v>30785</v>
      </c>
      <c r="Z1376">
        <f t="shared" si="21"/>
        <v>20774.060000000001</v>
      </c>
    </row>
    <row r="1377" spans="1:26" x14ac:dyDescent="0.25">
      <c r="A1377">
        <v>25859</v>
      </c>
      <c r="B1377" t="s">
        <v>25</v>
      </c>
      <c r="C1377" s="2">
        <v>0.09</v>
      </c>
      <c r="D1377" s="2">
        <v>1.74</v>
      </c>
      <c r="E1377" s="2">
        <v>4.08</v>
      </c>
      <c r="F1377">
        <v>2464</v>
      </c>
      <c r="G1377" t="s">
        <v>2296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214</v>
      </c>
      <c r="N1377">
        <v>0.53</v>
      </c>
      <c r="O1377" t="s">
        <v>33</v>
      </c>
      <c r="P1377" t="s">
        <v>135</v>
      </c>
      <c r="Q1377" t="s">
        <v>168</v>
      </c>
      <c r="R1377" t="s">
        <v>2297</v>
      </c>
      <c r="S1377">
        <v>71111</v>
      </c>
      <c r="T1377" s="1">
        <v>42135</v>
      </c>
      <c r="U1377" s="1">
        <v>42137</v>
      </c>
      <c r="V1377" s="2">
        <v>608.26199999999994</v>
      </c>
      <c r="W1377">
        <v>4</v>
      </c>
      <c r="X1377" s="2">
        <v>10.41</v>
      </c>
      <c r="Y1377">
        <v>88713</v>
      </c>
      <c r="Z1377">
        <f t="shared" si="21"/>
        <v>41.64</v>
      </c>
    </row>
    <row r="1378" spans="1:26" x14ac:dyDescent="0.25">
      <c r="A1378">
        <v>25860</v>
      </c>
      <c r="B1378" t="s">
        <v>25</v>
      </c>
      <c r="C1378" s="2">
        <v>0.08</v>
      </c>
      <c r="D1378" s="2">
        <v>227.55</v>
      </c>
      <c r="E1378" s="2">
        <v>32.479999999999997</v>
      </c>
      <c r="F1378">
        <v>2464</v>
      </c>
      <c r="G1378" t="s">
        <v>2296</v>
      </c>
      <c r="H1378" t="s">
        <v>39</v>
      </c>
      <c r="I1378" t="s">
        <v>114</v>
      </c>
      <c r="J1378" t="s">
        <v>41</v>
      </c>
      <c r="K1378" t="s">
        <v>150</v>
      </c>
      <c r="L1378" t="s">
        <v>120</v>
      </c>
      <c r="M1378" t="s">
        <v>2298</v>
      </c>
      <c r="N1378">
        <v>0.68</v>
      </c>
      <c r="O1378" t="s">
        <v>33</v>
      </c>
      <c r="P1378" t="s">
        <v>135</v>
      </c>
      <c r="Q1378" t="s">
        <v>168</v>
      </c>
      <c r="R1378" t="s">
        <v>2297</v>
      </c>
      <c r="S1378">
        <v>71111</v>
      </c>
      <c r="T1378" s="1">
        <v>42135</v>
      </c>
      <c r="U1378" s="1">
        <v>42135</v>
      </c>
      <c r="V1378" s="2">
        <v>-570.16959999999995</v>
      </c>
      <c r="W1378">
        <v>16</v>
      </c>
      <c r="X1378" s="2">
        <v>2849.64</v>
      </c>
      <c r="Y1378">
        <v>88713</v>
      </c>
      <c r="Z1378">
        <f t="shared" si="21"/>
        <v>45594.239999999998</v>
      </c>
    </row>
    <row r="1379" spans="1:26" x14ac:dyDescent="0.25">
      <c r="A1379">
        <v>25807</v>
      </c>
      <c r="B1379" t="s">
        <v>37</v>
      </c>
      <c r="C1379" s="2">
        <v>0.05</v>
      </c>
      <c r="D1379" s="2">
        <v>6.28</v>
      </c>
      <c r="E1379" s="2">
        <v>5.36</v>
      </c>
      <c r="F1379">
        <v>2464</v>
      </c>
      <c r="G1379" t="s">
        <v>2296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2299</v>
      </c>
      <c r="N1379">
        <v>0.4</v>
      </c>
      <c r="O1379" t="s">
        <v>33</v>
      </c>
      <c r="P1379" t="s">
        <v>135</v>
      </c>
      <c r="Q1379" t="s">
        <v>168</v>
      </c>
      <c r="R1379" t="s">
        <v>2297</v>
      </c>
      <c r="S1379">
        <v>71111</v>
      </c>
      <c r="T1379" s="1">
        <v>42024</v>
      </c>
      <c r="U1379" s="1">
        <v>42027</v>
      </c>
      <c r="V1379" s="2">
        <v>1.278</v>
      </c>
      <c r="W1379">
        <v>6</v>
      </c>
      <c r="X1379" s="2">
        <v>38.04</v>
      </c>
      <c r="Y1379">
        <v>88714</v>
      </c>
      <c r="Z1379">
        <f t="shared" si="21"/>
        <v>228.24</v>
      </c>
    </row>
    <row r="1380" spans="1:26" x14ac:dyDescent="0.25">
      <c r="A1380">
        <v>25808</v>
      </c>
      <c r="B1380" t="s">
        <v>37</v>
      </c>
      <c r="C1380" s="2">
        <v>0.04</v>
      </c>
      <c r="D1380" s="2">
        <v>3.08</v>
      </c>
      <c r="E1380" s="2">
        <v>0.99</v>
      </c>
      <c r="F1380">
        <v>2464</v>
      </c>
      <c r="G1380" t="s">
        <v>2296</v>
      </c>
      <c r="H1380" t="s">
        <v>49</v>
      </c>
      <c r="I1380" t="s">
        <v>114</v>
      </c>
      <c r="J1380" t="s">
        <v>29</v>
      </c>
      <c r="K1380" t="s">
        <v>133</v>
      </c>
      <c r="L1380" t="s">
        <v>59</v>
      </c>
      <c r="M1380" t="s">
        <v>1978</v>
      </c>
      <c r="N1380">
        <v>0.37</v>
      </c>
      <c r="O1380" t="s">
        <v>33</v>
      </c>
      <c r="P1380" t="s">
        <v>135</v>
      </c>
      <c r="Q1380" t="s">
        <v>168</v>
      </c>
      <c r="R1380" t="s">
        <v>2297</v>
      </c>
      <c r="S1380">
        <v>71111</v>
      </c>
      <c r="T1380" s="1">
        <v>42024</v>
      </c>
      <c r="U1380" s="1">
        <v>42025</v>
      </c>
      <c r="V1380" s="2">
        <v>424.29</v>
      </c>
      <c r="W1380">
        <v>14</v>
      </c>
      <c r="X1380" s="2">
        <v>42.53</v>
      </c>
      <c r="Y1380">
        <v>88714</v>
      </c>
      <c r="Z1380">
        <f t="shared" si="21"/>
        <v>595.42000000000007</v>
      </c>
    </row>
    <row r="1381" spans="1:26" x14ac:dyDescent="0.25">
      <c r="A1381">
        <v>22580</v>
      </c>
      <c r="B1381" t="s">
        <v>56</v>
      </c>
      <c r="C1381" s="2">
        <v>0.04</v>
      </c>
      <c r="D1381" s="2">
        <v>2.08</v>
      </c>
      <c r="E1381" s="2">
        <v>1.49</v>
      </c>
      <c r="F1381">
        <v>2466</v>
      </c>
      <c r="G1381" t="s">
        <v>2300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1338</v>
      </c>
      <c r="N1381">
        <v>0.36</v>
      </c>
      <c r="O1381" t="s">
        <v>33</v>
      </c>
      <c r="P1381" t="s">
        <v>61</v>
      </c>
      <c r="Q1381" t="s">
        <v>295</v>
      </c>
      <c r="R1381" t="s">
        <v>2301</v>
      </c>
      <c r="S1381">
        <v>49783</v>
      </c>
      <c r="T1381" s="1">
        <v>42062</v>
      </c>
      <c r="U1381" s="1">
        <v>42063</v>
      </c>
      <c r="V1381" s="2">
        <v>-3.71956</v>
      </c>
      <c r="W1381">
        <v>7</v>
      </c>
      <c r="X1381" s="2">
        <v>14.77</v>
      </c>
      <c r="Y1381">
        <v>88136</v>
      </c>
      <c r="Z1381">
        <f t="shared" si="21"/>
        <v>103.39</v>
      </c>
    </row>
    <row r="1382" spans="1:26" x14ac:dyDescent="0.25">
      <c r="A1382">
        <v>22582</v>
      </c>
      <c r="B1382" t="s">
        <v>56</v>
      </c>
      <c r="C1382" s="2">
        <v>0.02</v>
      </c>
      <c r="D1382" s="2">
        <v>53.98</v>
      </c>
      <c r="E1382" s="2">
        <v>5.5</v>
      </c>
      <c r="F1382">
        <v>2466</v>
      </c>
      <c r="G1382" t="s">
        <v>2300</v>
      </c>
      <c r="H1382" t="s">
        <v>27</v>
      </c>
      <c r="I1382" t="s">
        <v>28</v>
      </c>
      <c r="J1382" t="s">
        <v>77</v>
      </c>
      <c r="K1382" t="s">
        <v>177</v>
      </c>
      <c r="L1382" t="s">
        <v>59</v>
      </c>
      <c r="M1382" t="s">
        <v>2302</v>
      </c>
      <c r="N1382">
        <v>0.62</v>
      </c>
      <c r="O1382" t="s">
        <v>33</v>
      </c>
      <c r="P1382" t="s">
        <v>61</v>
      </c>
      <c r="Q1382" t="s">
        <v>295</v>
      </c>
      <c r="R1382" t="s">
        <v>2301</v>
      </c>
      <c r="S1382">
        <v>49783</v>
      </c>
      <c r="T1382" s="1">
        <v>42062</v>
      </c>
      <c r="U1382" s="1">
        <v>42063</v>
      </c>
      <c r="V1382" s="2">
        <v>101.97199999999999</v>
      </c>
      <c r="W1382">
        <v>8</v>
      </c>
      <c r="X1382" s="2">
        <v>438.33</v>
      </c>
      <c r="Y1382">
        <v>88136</v>
      </c>
      <c r="Z1382">
        <f t="shared" si="21"/>
        <v>3506.64</v>
      </c>
    </row>
    <row r="1383" spans="1:26" x14ac:dyDescent="0.25">
      <c r="A1383">
        <v>22583</v>
      </c>
      <c r="B1383" t="s">
        <v>56</v>
      </c>
      <c r="C1383" s="2">
        <v>0.05</v>
      </c>
      <c r="D1383" s="2">
        <v>4.9800000000000004</v>
      </c>
      <c r="E1383" s="2">
        <v>5.0199999999999996</v>
      </c>
      <c r="F1383">
        <v>2466</v>
      </c>
      <c r="G1383" t="s">
        <v>2300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2303</v>
      </c>
      <c r="N1383">
        <v>0.38</v>
      </c>
      <c r="O1383" t="s">
        <v>33</v>
      </c>
      <c r="P1383" t="s">
        <v>61</v>
      </c>
      <c r="Q1383" t="s">
        <v>295</v>
      </c>
      <c r="R1383" t="s">
        <v>2301</v>
      </c>
      <c r="S1383">
        <v>49783</v>
      </c>
      <c r="T1383" s="1">
        <v>42062</v>
      </c>
      <c r="U1383" s="1">
        <v>42062</v>
      </c>
      <c r="V1383" s="2">
        <v>-16.634799999999998</v>
      </c>
      <c r="W1383">
        <v>7</v>
      </c>
      <c r="X1383" s="2">
        <v>38.11</v>
      </c>
      <c r="Y1383">
        <v>88136</v>
      </c>
      <c r="Z1383">
        <f t="shared" si="21"/>
        <v>266.77</v>
      </c>
    </row>
    <row r="1384" spans="1:26" x14ac:dyDescent="0.25">
      <c r="A1384">
        <v>19766</v>
      </c>
      <c r="B1384" t="s">
        <v>47</v>
      </c>
      <c r="C1384" s="2">
        <v>0.09</v>
      </c>
      <c r="D1384" s="2">
        <v>58.1</v>
      </c>
      <c r="E1384" s="2">
        <v>1.49</v>
      </c>
      <c r="F1384">
        <v>2468</v>
      </c>
      <c r="G1384" t="s">
        <v>2304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278</v>
      </c>
      <c r="N1384">
        <v>0.38</v>
      </c>
      <c r="O1384" t="s">
        <v>33</v>
      </c>
      <c r="P1384" t="s">
        <v>135</v>
      </c>
      <c r="Q1384" t="s">
        <v>316</v>
      </c>
      <c r="R1384" t="s">
        <v>2305</v>
      </c>
      <c r="S1384">
        <v>28144</v>
      </c>
      <c r="T1384" s="1">
        <v>42121</v>
      </c>
      <c r="U1384" s="1">
        <v>42123</v>
      </c>
      <c r="V1384" s="2">
        <v>765.75</v>
      </c>
      <c r="W1384">
        <v>3</v>
      </c>
      <c r="X1384" s="2">
        <v>169.46</v>
      </c>
      <c r="Y1384">
        <v>88135</v>
      </c>
      <c r="Z1384">
        <f t="shared" si="21"/>
        <v>508.38</v>
      </c>
    </row>
    <row r="1385" spans="1:26" x14ac:dyDescent="0.25">
      <c r="A1385">
        <v>18684</v>
      </c>
      <c r="B1385" t="s">
        <v>47</v>
      </c>
      <c r="C1385" s="2">
        <v>0.04</v>
      </c>
      <c r="D1385" s="2">
        <v>65.989999999999995</v>
      </c>
      <c r="E1385" s="2">
        <v>8.99</v>
      </c>
      <c r="F1385">
        <v>2468</v>
      </c>
      <c r="G1385" t="s">
        <v>2304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1652</v>
      </c>
      <c r="N1385">
        <v>0.55000000000000004</v>
      </c>
      <c r="O1385" t="s">
        <v>33</v>
      </c>
      <c r="P1385" t="s">
        <v>135</v>
      </c>
      <c r="Q1385" t="s">
        <v>316</v>
      </c>
      <c r="R1385" t="s">
        <v>2305</v>
      </c>
      <c r="S1385">
        <v>28144</v>
      </c>
      <c r="T1385" s="1">
        <v>42076</v>
      </c>
      <c r="U1385" s="1">
        <v>42077</v>
      </c>
      <c r="V1385" s="2">
        <v>-335.041</v>
      </c>
      <c r="W1385">
        <v>13</v>
      </c>
      <c r="X1385" s="2">
        <v>724.57</v>
      </c>
      <c r="Y1385">
        <v>88137</v>
      </c>
      <c r="Z1385">
        <f t="shared" si="21"/>
        <v>9419.41</v>
      </c>
    </row>
    <row r="1386" spans="1:26" x14ac:dyDescent="0.25">
      <c r="A1386">
        <v>26057</v>
      </c>
      <c r="B1386" t="s">
        <v>106</v>
      </c>
      <c r="C1386" s="2">
        <v>0.1</v>
      </c>
      <c r="D1386" s="2">
        <v>4.91</v>
      </c>
      <c r="E1386" s="2">
        <v>0.5</v>
      </c>
      <c r="F1386">
        <v>2472</v>
      </c>
      <c r="G1386" t="s">
        <v>2306</v>
      </c>
      <c r="H1386" t="s">
        <v>27</v>
      </c>
      <c r="I1386" t="s">
        <v>40</v>
      </c>
      <c r="J1386" t="s">
        <v>29</v>
      </c>
      <c r="K1386" t="s">
        <v>133</v>
      </c>
      <c r="L1386" t="s">
        <v>59</v>
      </c>
      <c r="M1386" t="s">
        <v>161</v>
      </c>
      <c r="N1386">
        <v>0.36</v>
      </c>
      <c r="O1386" t="s">
        <v>33</v>
      </c>
      <c r="P1386" t="s">
        <v>61</v>
      </c>
      <c r="Q1386" t="s">
        <v>175</v>
      </c>
      <c r="R1386" t="s">
        <v>2307</v>
      </c>
      <c r="S1386">
        <v>60432</v>
      </c>
      <c r="T1386" s="1">
        <v>42056</v>
      </c>
      <c r="U1386" s="1">
        <v>42056</v>
      </c>
      <c r="V1386" s="2">
        <v>35.279699999999998</v>
      </c>
      <c r="W1386">
        <v>10</v>
      </c>
      <c r="X1386" s="2">
        <v>51.13</v>
      </c>
      <c r="Y1386">
        <v>86514</v>
      </c>
      <c r="Z1386">
        <f t="shared" si="21"/>
        <v>511.3</v>
      </c>
    </row>
    <row r="1387" spans="1:26" x14ac:dyDescent="0.25">
      <c r="A1387">
        <v>24584</v>
      </c>
      <c r="B1387" t="s">
        <v>47</v>
      </c>
      <c r="C1387" s="2">
        <v>7.0000000000000007E-2</v>
      </c>
      <c r="D1387" s="2">
        <v>5.18</v>
      </c>
      <c r="E1387" s="2">
        <v>5.74</v>
      </c>
      <c r="F1387">
        <v>2481</v>
      </c>
      <c r="G1387" t="s">
        <v>2308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866</v>
      </c>
      <c r="N1387">
        <v>0.36</v>
      </c>
      <c r="O1387" t="s">
        <v>33</v>
      </c>
      <c r="P1387" t="s">
        <v>135</v>
      </c>
      <c r="Q1387" t="s">
        <v>168</v>
      </c>
      <c r="R1387" t="s">
        <v>1466</v>
      </c>
      <c r="S1387">
        <v>70506</v>
      </c>
      <c r="T1387" s="1">
        <v>42100</v>
      </c>
      <c r="U1387" s="1">
        <v>42102</v>
      </c>
      <c r="V1387" s="2">
        <v>-188.03399999999999</v>
      </c>
      <c r="W1387">
        <v>14</v>
      </c>
      <c r="X1387" s="2">
        <v>79.61</v>
      </c>
      <c r="Y1387">
        <v>91000</v>
      </c>
      <c r="Z1387">
        <f t="shared" si="21"/>
        <v>1114.54</v>
      </c>
    </row>
    <row r="1388" spans="1:26" x14ac:dyDescent="0.25">
      <c r="A1388">
        <v>24568</v>
      </c>
      <c r="B1388" t="s">
        <v>56</v>
      </c>
      <c r="C1388" s="2">
        <v>0.05</v>
      </c>
      <c r="D1388" s="2">
        <v>6.48</v>
      </c>
      <c r="E1388" s="2">
        <v>7.91</v>
      </c>
      <c r="F1388">
        <v>2484</v>
      </c>
      <c r="G1388" t="s">
        <v>2309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2236</v>
      </c>
      <c r="N1388">
        <v>0.37</v>
      </c>
      <c r="O1388" t="s">
        <v>33</v>
      </c>
      <c r="P1388" t="s">
        <v>135</v>
      </c>
      <c r="Q1388" t="s">
        <v>356</v>
      </c>
      <c r="R1388" t="s">
        <v>2310</v>
      </c>
      <c r="S1388">
        <v>33881</v>
      </c>
      <c r="T1388" s="1">
        <v>42076</v>
      </c>
      <c r="U1388" s="1">
        <v>42077</v>
      </c>
      <c r="V1388" s="2">
        <v>322.12200000000001</v>
      </c>
      <c r="W1388">
        <v>16</v>
      </c>
      <c r="X1388" s="2">
        <v>109.99</v>
      </c>
      <c r="Y1388">
        <v>88998</v>
      </c>
      <c r="Z1388">
        <f t="shared" si="21"/>
        <v>1759.84</v>
      </c>
    </row>
    <row r="1389" spans="1:26" x14ac:dyDescent="0.25">
      <c r="A1389">
        <v>24569</v>
      </c>
      <c r="B1389" t="s">
        <v>56</v>
      </c>
      <c r="C1389" s="2">
        <v>0.03</v>
      </c>
      <c r="D1389" s="2">
        <v>111.03</v>
      </c>
      <c r="E1389" s="2">
        <v>8.64</v>
      </c>
      <c r="F1389">
        <v>2484</v>
      </c>
      <c r="G1389" t="s">
        <v>2309</v>
      </c>
      <c r="H1389" t="s">
        <v>49</v>
      </c>
      <c r="I1389" t="s">
        <v>28</v>
      </c>
      <c r="J1389" t="s">
        <v>29</v>
      </c>
      <c r="K1389" t="s">
        <v>139</v>
      </c>
      <c r="L1389" t="s">
        <v>59</v>
      </c>
      <c r="M1389" t="s">
        <v>2311</v>
      </c>
      <c r="N1389">
        <v>0.78</v>
      </c>
      <c r="O1389" t="s">
        <v>33</v>
      </c>
      <c r="P1389" t="s">
        <v>135</v>
      </c>
      <c r="Q1389" t="s">
        <v>356</v>
      </c>
      <c r="R1389" t="s">
        <v>2310</v>
      </c>
      <c r="S1389">
        <v>33881</v>
      </c>
      <c r="T1389" s="1">
        <v>42076</v>
      </c>
      <c r="U1389" s="1">
        <v>42077</v>
      </c>
      <c r="V1389" s="2">
        <v>366.54</v>
      </c>
      <c r="W1389">
        <v>8</v>
      </c>
      <c r="X1389" s="2">
        <v>900.12</v>
      </c>
      <c r="Y1389">
        <v>88998</v>
      </c>
      <c r="Z1389">
        <f t="shared" si="21"/>
        <v>7200.96</v>
      </c>
    </row>
    <row r="1390" spans="1:26" x14ac:dyDescent="0.25">
      <c r="A1390">
        <v>22028</v>
      </c>
      <c r="B1390" t="s">
        <v>25</v>
      </c>
      <c r="C1390" s="2">
        <v>0.02</v>
      </c>
      <c r="D1390" s="2">
        <v>71.37</v>
      </c>
      <c r="E1390" s="2">
        <v>69</v>
      </c>
      <c r="F1390">
        <v>2486</v>
      </c>
      <c r="G1390" t="s">
        <v>2312</v>
      </c>
      <c r="H1390" t="s">
        <v>49</v>
      </c>
      <c r="I1390" t="s">
        <v>58</v>
      </c>
      <c r="J1390" t="s">
        <v>41</v>
      </c>
      <c r="K1390" t="s">
        <v>150</v>
      </c>
      <c r="L1390" t="s">
        <v>231</v>
      </c>
      <c r="M1390" t="s">
        <v>2203</v>
      </c>
      <c r="N1390">
        <v>0.68</v>
      </c>
      <c r="O1390" t="s">
        <v>33</v>
      </c>
      <c r="P1390" t="s">
        <v>135</v>
      </c>
      <c r="Q1390" t="s">
        <v>381</v>
      </c>
      <c r="R1390" t="s">
        <v>2313</v>
      </c>
      <c r="S1390">
        <v>30458</v>
      </c>
      <c r="T1390" s="1">
        <v>42041</v>
      </c>
      <c r="U1390" s="1">
        <v>42042</v>
      </c>
      <c r="V1390" s="2">
        <v>-439.90800000000002</v>
      </c>
      <c r="W1390">
        <v>4</v>
      </c>
      <c r="X1390" s="2">
        <v>237.62</v>
      </c>
      <c r="Y1390">
        <v>91414</v>
      </c>
      <c r="Z1390">
        <f t="shared" si="21"/>
        <v>950.48</v>
      </c>
    </row>
    <row r="1391" spans="1:26" x14ac:dyDescent="0.25">
      <c r="A1391">
        <v>22029</v>
      </c>
      <c r="B1391" t="s">
        <v>25</v>
      </c>
      <c r="C1391" s="2">
        <v>0.03</v>
      </c>
      <c r="D1391" s="2">
        <v>205.99</v>
      </c>
      <c r="E1391" s="2">
        <v>8.99</v>
      </c>
      <c r="F1391">
        <v>2486</v>
      </c>
      <c r="G1391" t="s">
        <v>2312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1529</v>
      </c>
      <c r="N1391">
        <v>0.6</v>
      </c>
      <c r="O1391" t="s">
        <v>33</v>
      </c>
      <c r="P1391" t="s">
        <v>135</v>
      </c>
      <c r="Q1391" t="s">
        <v>381</v>
      </c>
      <c r="R1391" t="s">
        <v>2313</v>
      </c>
      <c r="S1391">
        <v>30458</v>
      </c>
      <c r="T1391" s="1">
        <v>42041</v>
      </c>
      <c r="U1391" s="1">
        <v>42043</v>
      </c>
      <c r="V1391" s="2">
        <v>1087.7159999999999</v>
      </c>
      <c r="W1391">
        <v>1</v>
      </c>
      <c r="X1391" s="2">
        <v>176.42</v>
      </c>
      <c r="Y1391">
        <v>91414</v>
      </c>
      <c r="Z1391">
        <f t="shared" si="21"/>
        <v>176.42</v>
      </c>
    </row>
    <row r="1392" spans="1:26" x14ac:dyDescent="0.25">
      <c r="A1392">
        <v>23495</v>
      </c>
      <c r="B1392" t="s">
        <v>106</v>
      </c>
      <c r="C1392" s="2">
        <v>0</v>
      </c>
      <c r="D1392" s="2">
        <v>180.98</v>
      </c>
      <c r="E1392" s="2">
        <v>30</v>
      </c>
      <c r="F1392">
        <v>2486</v>
      </c>
      <c r="G1392" t="s">
        <v>2312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1871</v>
      </c>
      <c r="N1392">
        <v>0.69</v>
      </c>
      <c r="O1392" t="s">
        <v>33</v>
      </c>
      <c r="P1392" t="s">
        <v>135</v>
      </c>
      <c r="Q1392" t="s">
        <v>381</v>
      </c>
      <c r="R1392" t="s">
        <v>2313</v>
      </c>
      <c r="S1392">
        <v>30458</v>
      </c>
      <c r="T1392" s="1">
        <v>42038</v>
      </c>
      <c r="U1392" s="1">
        <v>42040</v>
      </c>
      <c r="V1392" s="2">
        <v>9.2040000000000006</v>
      </c>
      <c r="W1392">
        <v>11</v>
      </c>
      <c r="X1392" s="2">
        <v>2084.16</v>
      </c>
      <c r="Y1392">
        <v>91416</v>
      </c>
      <c r="Z1392">
        <f t="shared" si="21"/>
        <v>22925.759999999998</v>
      </c>
    </row>
    <row r="1393" spans="1:26" x14ac:dyDescent="0.25">
      <c r="A1393">
        <v>23983</v>
      </c>
      <c r="B1393" t="s">
        <v>37</v>
      </c>
      <c r="C1393" s="2">
        <v>0.04</v>
      </c>
      <c r="D1393" s="2">
        <v>3.08</v>
      </c>
      <c r="E1393" s="2">
        <v>0.99</v>
      </c>
      <c r="F1393">
        <v>2487</v>
      </c>
      <c r="G1393" t="s">
        <v>2314</v>
      </c>
      <c r="H1393" t="s">
        <v>49</v>
      </c>
      <c r="I1393" t="s">
        <v>58</v>
      </c>
      <c r="J1393" t="s">
        <v>29</v>
      </c>
      <c r="K1393" t="s">
        <v>133</v>
      </c>
      <c r="L1393" t="s">
        <v>59</v>
      </c>
      <c r="M1393" t="s">
        <v>1978</v>
      </c>
      <c r="N1393">
        <v>0.37</v>
      </c>
      <c r="O1393" t="s">
        <v>33</v>
      </c>
      <c r="P1393" t="s">
        <v>135</v>
      </c>
      <c r="Q1393" t="s">
        <v>381</v>
      </c>
      <c r="R1393" t="s">
        <v>2315</v>
      </c>
      <c r="S1393">
        <v>30084</v>
      </c>
      <c r="T1393" s="1">
        <v>42175</v>
      </c>
      <c r="U1393" s="1">
        <v>42176</v>
      </c>
      <c r="V1393" s="2">
        <v>257.08319999999998</v>
      </c>
      <c r="W1393">
        <v>14</v>
      </c>
      <c r="X1393" s="2">
        <v>43.41</v>
      </c>
      <c r="Y1393">
        <v>91415</v>
      </c>
      <c r="Z1393">
        <f t="shared" si="21"/>
        <v>607.74</v>
      </c>
    </row>
    <row r="1394" spans="1:26" x14ac:dyDescent="0.25">
      <c r="A1394">
        <v>23984</v>
      </c>
      <c r="B1394" t="s">
        <v>37</v>
      </c>
      <c r="C1394" s="2">
        <v>0.1</v>
      </c>
      <c r="D1394" s="2">
        <v>2.78</v>
      </c>
      <c r="E1394" s="2">
        <v>1.25</v>
      </c>
      <c r="F1394">
        <v>2487</v>
      </c>
      <c r="G1394" t="s">
        <v>2314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2188</v>
      </c>
      <c r="N1394">
        <v>0.59</v>
      </c>
      <c r="O1394" t="s">
        <v>33</v>
      </c>
      <c r="P1394" t="s">
        <v>135</v>
      </c>
      <c r="Q1394" t="s">
        <v>381</v>
      </c>
      <c r="R1394" t="s">
        <v>2315</v>
      </c>
      <c r="S1394">
        <v>30084</v>
      </c>
      <c r="T1394" s="1">
        <v>42175</v>
      </c>
      <c r="U1394" s="1">
        <v>42176</v>
      </c>
      <c r="V1394" s="2">
        <v>0.78539999999999999</v>
      </c>
      <c r="W1394">
        <v>18</v>
      </c>
      <c r="X1394" s="2">
        <v>46.42</v>
      </c>
      <c r="Y1394">
        <v>91415</v>
      </c>
      <c r="Z1394">
        <f t="shared" si="21"/>
        <v>835.56000000000006</v>
      </c>
    </row>
    <row r="1395" spans="1:26" x14ac:dyDescent="0.25">
      <c r="A1395">
        <v>24476</v>
      </c>
      <c r="B1395" t="s">
        <v>37</v>
      </c>
      <c r="C1395" s="2">
        <v>0.02</v>
      </c>
      <c r="D1395" s="2">
        <v>136.97999999999999</v>
      </c>
      <c r="E1395" s="2">
        <v>24.49</v>
      </c>
      <c r="F1395">
        <v>2487</v>
      </c>
      <c r="G1395" t="s">
        <v>2314</v>
      </c>
      <c r="H1395" t="s">
        <v>27</v>
      </c>
      <c r="I1395" t="s">
        <v>58</v>
      </c>
      <c r="J1395" t="s">
        <v>41</v>
      </c>
      <c r="K1395" t="s">
        <v>50</v>
      </c>
      <c r="L1395" t="s">
        <v>231</v>
      </c>
      <c r="M1395" t="s">
        <v>1635</v>
      </c>
      <c r="N1395">
        <v>0.59</v>
      </c>
      <c r="O1395" t="s">
        <v>33</v>
      </c>
      <c r="P1395" t="s">
        <v>135</v>
      </c>
      <c r="Q1395" t="s">
        <v>381</v>
      </c>
      <c r="R1395" t="s">
        <v>2315</v>
      </c>
      <c r="S1395">
        <v>30084</v>
      </c>
      <c r="T1395" s="1">
        <v>42157</v>
      </c>
      <c r="U1395" s="1">
        <v>42158</v>
      </c>
      <c r="V1395" s="2">
        <v>88.56</v>
      </c>
      <c r="W1395">
        <v>8</v>
      </c>
      <c r="X1395" s="2">
        <v>1140.95</v>
      </c>
      <c r="Y1395">
        <v>91417</v>
      </c>
      <c r="Z1395">
        <f t="shared" si="21"/>
        <v>9127.6</v>
      </c>
    </row>
    <row r="1396" spans="1:26" x14ac:dyDescent="0.25">
      <c r="A1396">
        <v>20065</v>
      </c>
      <c r="B1396" t="s">
        <v>25</v>
      </c>
      <c r="C1396" s="2">
        <v>0.08</v>
      </c>
      <c r="D1396" s="2">
        <v>4.91</v>
      </c>
      <c r="E1396" s="2">
        <v>0.5</v>
      </c>
      <c r="F1396">
        <v>2488</v>
      </c>
      <c r="G1396" t="s">
        <v>2316</v>
      </c>
      <c r="H1396" t="s">
        <v>49</v>
      </c>
      <c r="I1396" t="s">
        <v>114</v>
      </c>
      <c r="J1396" t="s">
        <v>29</v>
      </c>
      <c r="K1396" t="s">
        <v>133</v>
      </c>
      <c r="L1396" t="s">
        <v>59</v>
      </c>
      <c r="M1396" t="s">
        <v>161</v>
      </c>
      <c r="N1396">
        <v>0.36</v>
      </c>
      <c r="O1396" t="s">
        <v>33</v>
      </c>
      <c r="P1396" t="s">
        <v>135</v>
      </c>
      <c r="Q1396" t="s">
        <v>949</v>
      </c>
      <c r="R1396" t="s">
        <v>2317</v>
      </c>
      <c r="S1396">
        <v>72023</v>
      </c>
      <c r="T1396" s="1">
        <v>42103</v>
      </c>
      <c r="U1396" s="1">
        <v>42103</v>
      </c>
      <c r="V1396" s="2">
        <v>12.726000000000001</v>
      </c>
      <c r="W1396">
        <v>9</v>
      </c>
      <c r="X1396" s="2">
        <v>42.69</v>
      </c>
      <c r="Y1396">
        <v>86887</v>
      </c>
      <c r="Z1396">
        <f t="shared" si="21"/>
        <v>384.21</v>
      </c>
    </row>
    <row r="1397" spans="1:26" x14ac:dyDescent="0.25">
      <c r="A1397">
        <v>20066</v>
      </c>
      <c r="B1397" t="s">
        <v>25</v>
      </c>
      <c r="C1397" s="2">
        <v>0.02</v>
      </c>
      <c r="D1397" s="2">
        <v>28.15</v>
      </c>
      <c r="E1397" s="2">
        <v>6.17</v>
      </c>
      <c r="F1397">
        <v>2488</v>
      </c>
      <c r="G1397" t="s">
        <v>2316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2318</v>
      </c>
      <c r="N1397">
        <v>0.55000000000000004</v>
      </c>
      <c r="O1397" t="s">
        <v>33</v>
      </c>
      <c r="P1397" t="s">
        <v>135</v>
      </c>
      <c r="Q1397" t="s">
        <v>949</v>
      </c>
      <c r="R1397" t="s">
        <v>2317</v>
      </c>
      <c r="S1397">
        <v>72023</v>
      </c>
      <c r="T1397" s="1">
        <v>42103</v>
      </c>
      <c r="U1397" s="1">
        <v>42104</v>
      </c>
      <c r="V1397" s="2">
        <v>160.8066</v>
      </c>
      <c r="W1397">
        <v>11</v>
      </c>
      <c r="X1397" s="2">
        <v>327.41000000000003</v>
      </c>
      <c r="Y1397">
        <v>86887</v>
      </c>
      <c r="Z1397">
        <f t="shared" si="21"/>
        <v>3601.51</v>
      </c>
    </row>
    <row r="1398" spans="1:26" x14ac:dyDescent="0.25">
      <c r="A1398">
        <v>20602</v>
      </c>
      <c r="B1398" t="s">
        <v>25</v>
      </c>
      <c r="C1398" s="2">
        <v>0.01</v>
      </c>
      <c r="D1398" s="2">
        <v>2036.48</v>
      </c>
      <c r="E1398" s="2">
        <v>14.7</v>
      </c>
      <c r="F1398">
        <v>2489</v>
      </c>
      <c r="G1398" t="s">
        <v>2319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626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687</v>
      </c>
      <c r="S1398">
        <v>94521</v>
      </c>
      <c r="T1398" s="1">
        <v>42046</v>
      </c>
      <c r="U1398" s="1">
        <v>42048</v>
      </c>
      <c r="V1398" s="2">
        <v>-1596.7457999999999</v>
      </c>
      <c r="W1398">
        <v>2</v>
      </c>
      <c r="X1398" s="2">
        <v>3786.84</v>
      </c>
      <c r="Y1398">
        <v>86883</v>
      </c>
      <c r="Z1398">
        <f t="shared" si="21"/>
        <v>7573.68</v>
      </c>
    </row>
    <row r="1399" spans="1:26" x14ac:dyDescent="0.25">
      <c r="A1399">
        <v>21212</v>
      </c>
      <c r="B1399" t="s">
        <v>56</v>
      </c>
      <c r="C1399" s="2">
        <v>0.04</v>
      </c>
      <c r="D1399" s="2">
        <v>419.19</v>
      </c>
      <c r="E1399" s="2">
        <v>19.989999999999998</v>
      </c>
      <c r="F1399">
        <v>2489</v>
      </c>
      <c r="G1399" t="s">
        <v>2319</v>
      </c>
      <c r="H1399" t="s">
        <v>49</v>
      </c>
      <c r="I1399" t="s">
        <v>40</v>
      </c>
      <c r="J1399" t="s">
        <v>29</v>
      </c>
      <c r="K1399" t="s">
        <v>139</v>
      </c>
      <c r="L1399" t="s">
        <v>59</v>
      </c>
      <c r="M1399" t="s">
        <v>733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687</v>
      </c>
      <c r="S1399">
        <v>94521</v>
      </c>
      <c r="T1399" s="1">
        <v>42120</v>
      </c>
      <c r="U1399" s="1">
        <v>42121</v>
      </c>
      <c r="V1399" s="2">
        <v>1388.3559</v>
      </c>
      <c r="W1399">
        <v>5</v>
      </c>
      <c r="X1399" s="2">
        <v>2012.11</v>
      </c>
      <c r="Y1399">
        <v>86885</v>
      </c>
      <c r="Z1399">
        <f t="shared" si="21"/>
        <v>10060.549999999999</v>
      </c>
    </row>
    <row r="1400" spans="1:26" x14ac:dyDescent="0.25">
      <c r="A1400">
        <v>21338</v>
      </c>
      <c r="B1400" t="s">
        <v>37</v>
      </c>
      <c r="C1400" s="2">
        <v>7.0000000000000007E-2</v>
      </c>
      <c r="D1400" s="2">
        <v>65.989999999999995</v>
      </c>
      <c r="E1400" s="2">
        <v>8.8000000000000007</v>
      </c>
      <c r="F1400">
        <v>2489</v>
      </c>
      <c r="G1400" t="s">
        <v>2319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>
        <v>6120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687</v>
      </c>
      <c r="S1400">
        <v>94521</v>
      </c>
      <c r="T1400" s="1">
        <v>42016</v>
      </c>
      <c r="U1400" s="1">
        <v>42016</v>
      </c>
      <c r="V1400" s="2">
        <v>109.836</v>
      </c>
      <c r="W1400">
        <v>9</v>
      </c>
      <c r="X1400" s="2">
        <v>471.66</v>
      </c>
      <c r="Y1400">
        <v>86886</v>
      </c>
      <c r="Z1400">
        <f t="shared" si="21"/>
        <v>4244.9400000000005</v>
      </c>
    </row>
    <row r="1401" spans="1:26" x14ac:dyDescent="0.25">
      <c r="A1401">
        <v>24856</v>
      </c>
      <c r="B1401" t="s">
        <v>47</v>
      </c>
      <c r="C1401" s="2">
        <v>0.09</v>
      </c>
      <c r="D1401" s="2">
        <v>348.21</v>
      </c>
      <c r="E1401" s="2">
        <v>40.19</v>
      </c>
      <c r="F1401">
        <v>2490</v>
      </c>
      <c r="G1401" t="s">
        <v>2320</v>
      </c>
      <c r="H1401" t="s">
        <v>39</v>
      </c>
      <c r="I1401" t="s">
        <v>40</v>
      </c>
      <c r="J1401" t="s">
        <v>41</v>
      </c>
      <c r="K1401" t="s">
        <v>150</v>
      </c>
      <c r="L1401" t="s">
        <v>120</v>
      </c>
      <c r="M1401" t="s">
        <v>1559</v>
      </c>
      <c r="N1401">
        <v>0.62</v>
      </c>
      <c r="O1401" t="s">
        <v>33</v>
      </c>
      <c r="P1401" t="s">
        <v>34</v>
      </c>
      <c r="Q1401" t="s">
        <v>45</v>
      </c>
      <c r="R1401" t="s">
        <v>2321</v>
      </c>
      <c r="S1401">
        <v>92627</v>
      </c>
      <c r="T1401" s="1">
        <v>42049</v>
      </c>
      <c r="U1401" s="1">
        <v>42051</v>
      </c>
      <c r="V1401" s="2">
        <v>-93.85</v>
      </c>
      <c r="W1401">
        <v>2</v>
      </c>
      <c r="X1401" s="2">
        <v>662.8</v>
      </c>
      <c r="Y1401">
        <v>86884</v>
      </c>
      <c r="Z1401">
        <f t="shared" si="21"/>
        <v>1325.6</v>
      </c>
    </row>
    <row r="1402" spans="1:26" x14ac:dyDescent="0.25">
      <c r="A1402">
        <v>21339</v>
      </c>
      <c r="B1402" t="s">
        <v>37</v>
      </c>
      <c r="C1402" s="2">
        <v>0</v>
      </c>
      <c r="D1402" s="2">
        <v>10.01</v>
      </c>
      <c r="E1402" s="2">
        <v>1.99</v>
      </c>
      <c r="F1402">
        <v>2490</v>
      </c>
      <c r="G1402" t="s">
        <v>2320</v>
      </c>
      <c r="H1402" t="s">
        <v>27</v>
      </c>
      <c r="I1402" t="s">
        <v>40</v>
      </c>
      <c r="J1402" t="s">
        <v>77</v>
      </c>
      <c r="K1402" t="s">
        <v>177</v>
      </c>
      <c r="L1402" t="s">
        <v>51</v>
      </c>
      <c r="M1402" t="s">
        <v>2322</v>
      </c>
      <c r="N1402">
        <v>0.41</v>
      </c>
      <c r="O1402" t="s">
        <v>33</v>
      </c>
      <c r="P1402" t="s">
        <v>34</v>
      </c>
      <c r="Q1402" t="s">
        <v>45</v>
      </c>
      <c r="R1402" t="s">
        <v>2321</v>
      </c>
      <c r="S1402">
        <v>92627</v>
      </c>
      <c r="T1402" s="1">
        <v>42016</v>
      </c>
      <c r="U1402" s="1">
        <v>42018</v>
      </c>
      <c r="V1402" s="2">
        <v>82.703400000000002</v>
      </c>
      <c r="W1402">
        <v>11</v>
      </c>
      <c r="X1402" s="2">
        <v>119.86</v>
      </c>
      <c r="Y1402">
        <v>86886</v>
      </c>
      <c r="Z1402">
        <f t="shared" si="21"/>
        <v>1318.46</v>
      </c>
    </row>
    <row r="1403" spans="1:26" x14ac:dyDescent="0.25">
      <c r="A1403">
        <v>6856</v>
      </c>
      <c r="B1403" t="s">
        <v>47</v>
      </c>
      <c r="C1403" s="2">
        <v>0.09</v>
      </c>
      <c r="D1403" s="2">
        <v>348.21</v>
      </c>
      <c r="E1403" s="2">
        <v>40.19</v>
      </c>
      <c r="F1403">
        <v>2491</v>
      </c>
      <c r="G1403" t="s">
        <v>2323</v>
      </c>
      <c r="H1403" t="s">
        <v>39</v>
      </c>
      <c r="I1403" t="s">
        <v>40</v>
      </c>
      <c r="J1403" t="s">
        <v>41</v>
      </c>
      <c r="K1403" t="s">
        <v>150</v>
      </c>
      <c r="L1403" t="s">
        <v>120</v>
      </c>
      <c r="M1403" t="s">
        <v>1559</v>
      </c>
      <c r="N1403">
        <v>0.62</v>
      </c>
      <c r="O1403" t="s">
        <v>33</v>
      </c>
      <c r="P1403" t="s">
        <v>34</v>
      </c>
      <c r="Q1403" t="s">
        <v>45</v>
      </c>
      <c r="R1403" t="s">
        <v>655</v>
      </c>
      <c r="S1403">
        <v>90045</v>
      </c>
      <c r="T1403" s="1">
        <v>42049</v>
      </c>
      <c r="U1403" s="1">
        <v>42051</v>
      </c>
      <c r="V1403" s="2">
        <v>-93.85</v>
      </c>
      <c r="W1403">
        <v>8</v>
      </c>
      <c r="X1403" s="2">
        <v>2651.21</v>
      </c>
      <c r="Y1403">
        <v>48836</v>
      </c>
      <c r="Z1403">
        <f t="shared" si="21"/>
        <v>21209.68</v>
      </c>
    </row>
    <row r="1404" spans="1:26" x14ac:dyDescent="0.25">
      <c r="A1404">
        <v>1617</v>
      </c>
      <c r="B1404" t="s">
        <v>106</v>
      </c>
      <c r="C1404" s="2">
        <v>0.06</v>
      </c>
      <c r="D1404" s="2">
        <v>4.28</v>
      </c>
      <c r="E1404" s="2">
        <v>0.94</v>
      </c>
      <c r="F1404">
        <v>2491</v>
      </c>
      <c r="G1404" t="s">
        <v>2323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1634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655</v>
      </c>
      <c r="S1404">
        <v>90045</v>
      </c>
      <c r="T1404" s="1">
        <v>42120</v>
      </c>
      <c r="U1404" s="1">
        <v>42122</v>
      </c>
      <c r="V1404" s="2">
        <v>0.37</v>
      </c>
      <c r="W1404">
        <v>9</v>
      </c>
      <c r="X1404" s="2">
        <v>38.96</v>
      </c>
      <c r="Y1404">
        <v>11712</v>
      </c>
      <c r="Z1404">
        <f t="shared" si="21"/>
        <v>350.64</v>
      </c>
    </row>
    <row r="1405" spans="1:26" x14ac:dyDescent="0.25">
      <c r="A1405">
        <v>3212</v>
      </c>
      <c r="B1405" t="s">
        <v>56</v>
      </c>
      <c r="C1405" s="2">
        <v>0.04</v>
      </c>
      <c r="D1405" s="2">
        <v>419.19</v>
      </c>
      <c r="E1405" s="2">
        <v>19.989999999999998</v>
      </c>
      <c r="F1405">
        <v>2491</v>
      </c>
      <c r="G1405" t="s">
        <v>2323</v>
      </c>
      <c r="H1405" t="s">
        <v>49</v>
      </c>
      <c r="I1405" t="s">
        <v>40</v>
      </c>
      <c r="J1405" t="s">
        <v>29</v>
      </c>
      <c r="K1405" t="s">
        <v>139</v>
      </c>
      <c r="L1405" t="s">
        <v>59</v>
      </c>
      <c r="M1405" t="s">
        <v>733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655</v>
      </c>
      <c r="S1405">
        <v>90045</v>
      </c>
      <c r="T1405" s="1">
        <v>42120</v>
      </c>
      <c r="U1405" s="1">
        <v>42121</v>
      </c>
      <c r="V1405" s="2">
        <v>1947.67</v>
      </c>
      <c r="W1405">
        <v>20</v>
      </c>
      <c r="X1405" s="2">
        <v>8048.45</v>
      </c>
      <c r="Y1405">
        <v>23042</v>
      </c>
      <c r="Z1405">
        <f t="shared" si="21"/>
        <v>160969</v>
      </c>
    </row>
    <row r="1406" spans="1:26" x14ac:dyDescent="0.25">
      <c r="A1406">
        <v>3338</v>
      </c>
      <c r="B1406" t="s">
        <v>37</v>
      </c>
      <c r="C1406" s="2">
        <v>7.0000000000000007E-2</v>
      </c>
      <c r="D1406" s="2">
        <v>65.989999999999995</v>
      </c>
      <c r="E1406" s="2">
        <v>8.8000000000000007</v>
      </c>
      <c r="F1406">
        <v>2491</v>
      </c>
      <c r="G1406" t="s">
        <v>2323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>
        <v>6120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655</v>
      </c>
      <c r="S1406">
        <v>90045</v>
      </c>
      <c r="T1406" s="1">
        <v>42016</v>
      </c>
      <c r="U1406" s="1">
        <v>42016</v>
      </c>
      <c r="V1406" s="2">
        <v>109.836</v>
      </c>
      <c r="W1406">
        <v>37</v>
      </c>
      <c r="X1406" s="2">
        <v>1939.03</v>
      </c>
      <c r="Y1406">
        <v>23877</v>
      </c>
      <c r="Z1406">
        <f t="shared" si="21"/>
        <v>71744.11</v>
      </c>
    </row>
    <row r="1407" spans="1:26" x14ac:dyDescent="0.25">
      <c r="A1407">
        <v>3339</v>
      </c>
      <c r="B1407" t="s">
        <v>37</v>
      </c>
      <c r="C1407" s="2">
        <v>0</v>
      </c>
      <c r="D1407" s="2">
        <v>10.01</v>
      </c>
      <c r="E1407" s="2">
        <v>1.99</v>
      </c>
      <c r="F1407">
        <v>2491</v>
      </c>
      <c r="G1407" t="s">
        <v>2323</v>
      </c>
      <c r="H1407" t="s">
        <v>27</v>
      </c>
      <c r="I1407" t="s">
        <v>40</v>
      </c>
      <c r="J1407" t="s">
        <v>77</v>
      </c>
      <c r="K1407" t="s">
        <v>177</v>
      </c>
      <c r="L1407" t="s">
        <v>51</v>
      </c>
      <c r="M1407" t="s">
        <v>2322</v>
      </c>
      <c r="N1407">
        <v>0.41</v>
      </c>
      <c r="O1407" t="s">
        <v>33</v>
      </c>
      <c r="P1407" t="s">
        <v>34</v>
      </c>
      <c r="Q1407" t="s">
        <v>45</v>
      </c>
      <c r="R1407" t="s">
        <v>655</v>
      </c>
      <c r="S1407">
        <v>90045</v>
      </c>
      <c r="T1407" s="1">
        <v>42016</v>
      </c>
      <c r="U1407" s="1">
        <v>42018</v>
      </c>
      <c r="V1407" s="2">
        <v>128.03</v>
      </c>
      <c r="W1407">
        <v>42</v>
      </c>
      <c r="X1407" s="2">
        <v>457.63</v>
      </c>
      <c r="Y1407">
        <v>23877</v>
      </c>
      <c r="Z1407">
        <f t="shared" si="21"/>
        <v>19220.46</v>
      </c>
    </row>
    <row r="1408" spans="1:26" x14ac:dyDescent="0.25">
      <c r="A1408">
        <v>2065</v>
      </c>
      <c r="B1408" t="s">
        <v>25</v>
      </c>
      <c r="C1408" s="2">
        <v>0.08</v>
      </c>
      <c r="D1408" s="2">
        <v>4.91</v>
      </c>
      <c r="E1408" s="2">
        <v>0.5</v>
      </c>
      <c r="F1408">
        <v>2491</v>
      </c>
      <c r="G1408" t="s">
        <v>2323</v>
      </c>
      <c r="H1408" t="s">
        <v>49</v>
      </c>
      <c r="I1408" t="s">
        <v>114</v>
      </c>
      <c r="J1408" t="s">
        <v>29</v>
      </c>
      <c r="K1408" t="s">
        <v>133</v>
      </c>
      <c r="L1408" t="s">
        <v>59</v>
      </c>
      <c r="M1408" t="s">
        <v>161</v>
      </c>
      <c r="N1408">
        <v>0.36</v>
      </c>
      <c r="O1408" t="s">
        <v>33</v>
      </c>
      <c r="P1408" t="s">
        <v>34</v>
      </c>
      <c r="Q1408" t="s">
        <v>45</v>
      </c>
      <c r="R1408" t="s">
        <v>655</v>
      </c>
      <c r="S1408">
        <v>90045</v>
      </c>
      <c r="T1408" s="1">
        <v>42103</v>
      </c>
      <c r="U1408" s="1">
        <v>42103</v>
      </c>
      <c r="V1408" s="2">
        <v>31.751999999999999</v>
      </c>
      <c r="W1408">
        <v>36</v>
      </c>
      <c r="X1408" s="2">
        <v>170.75</v>
      </c>
      <c r="Y1408">
        <v>14785</v>
      </c>
      <c r="Z1408">
        <f t="shared" si="21"/>
        <v>6147</v>
      </c>
    </row>
    <row r="1409" spans="1:26" x14ac:dyDescent="0.25">
      <c r="A1409">
        <v>2066</v>
      </c>
      <c r="B1409" t="s">
        <v>25</v>
      </c>
      <c r="C1409" s="2">
        <v>0.02</v>
      </c>
      <c r="D1409" s="2">
        <v>28.15</v>
      </c>
      <c r="E1409" s="2">
        <v>6.17</v>
      </c>
      <c r="F1409">
        <v>2491</v>
      </c>
      <c r="G1409" t="s">
        <v>2323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2318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655</v>
      </c>
      <c r="S1409">
        <v>90045</v>
      </c>
      <c r="T1409" s="1">
        <v>42103</v>
      </c>
      <c r="U1409" s="1">
        <v>42104</v>
      </c>
      <c r="V1409" s="2">
        <v>117.208</v>
      </c>
      <c r="W1409">
        <v>45</v>
      </c>
      <c r="X1409" s="2">
        <v>1339.42</v>
      </c>
      <c r="Y1409">
        <v>14785</v>
      </c>
      <c r="Z1409">
        <f t="shared" si="21"/>
        <v>60273.9</v>
      </c>
    </row>
    <row r="1410" spans="1:26" x14ac:dyDescent="0.25">
      <c r="A1410">
        <v>19617</v>
      </c>
      <c r="B1410" t="s">
        <v>106</v>
      </c>
      <c r="C1410" s="2">
        <v>0.06</v>
      </c>
      <c r="D1410" s="2">
        <v>4.28</v>
      </c>
      <c r="E1410" s="2">
        <v>0.94</v>
      </c>
      <c r="F1410">
        <v>2495</v>
      </c>
      <c r="G1410" t="s">
        <v>2324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1634</v>
      </c>
      <c r="N1410">
        <v>0.56000000000000005</v>
      </c>
      <c r="O1410" t="s">
        <v>33</v>
      </c>
      <c r="P1410" t="s">
        <v>34</v>
      </c>
      <c r="Q1410" t="s">
        <v>2208</v>
      </c>
      <c r="R1410" t="s">
        <v>2209</v>
      </c>
      <c r="S1410">
        <v>82901</v>
      </c>
      <c r="T1410" s="1">
        <v>42120</v>
      </c>
      <c r="U1410" s="1">
        <v>42122</v>
      </c>
      <c r="V1410" s="2">
        <v>0.37</v>
      </c>
      <c r="W1410">
        <v>2</v>
      </c>
      <c r="X1410" s="2">
        <v>8.66</v>
      </c>
      <c r="Y1410">
        <v>86885</v>
      </c>
      <c r="Z1410">
        <f t="shared" si="21"/>
        <v>17.32</v>
      </c>
    </row>
    <row r="1411" spans="1:26" x14ac:dyDescent="0.25">
      <c r="A1411">
        <v>2296</v>
      </c>
      <c r="B1411" t="s">
        <v>37</v>
      </c>
      <c r="C1411" s="2">
        <v>0.09</v>
      </c>
      <c r="D1411" s="2">
        <v>355.98</v>
      </c>
      <c r="E1411" s="2">
        <v>58.92</v>
      </c>
      <c r="F1411">
        <v>2498</v>
      </c>
      <c r="G1411" t="s">
        <v>2325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1282</v>
      </c>
      <c r="N1411">
        <v>0.64</v>
      </c>
      <c r="O1411" t="s">
        <v>33</v>
      </c>
      <c r="P1411" t="s">
        <v>34</v>
      </c>
      <c r="Q1411" t="s">
        <v>45</v>
      </c>
      <c r="R1411" t="s">
        <v>1718</v>
      </c>
      <c r="S1411">
        <v>92024</v>
      </c>
      <c r="T1411" s="1">
        <v>42053</v>
      </c>
      <c r="U1411" s="1">
        <v>42055</v>
      </c>
      <c r="V1411" s="2">
        <v>1240.25</v>
      </c>
      <c r="W1411">
        <v>30</v>
      </c>
      <c r="X1411" s="2">
        <v>10554.63</v>
      </c>
      <c r="Y1411">
        <v>16547</v>
      </c>
      <c r="Z1411">
        <f t="shared" ref="Z1411:Z1474" si="22">W1411*X1411</f>
        <v>316638.89999999997</v>
      </c>
    </row>
    <row r="1412" spans="1:26" x14ac:dyDescent="0.25">
      <c r="A1412">
        <v>2297</v>
      </c>
      <c r="B1412" t="s">
        <v>37</v>
      </c>
      <c r="C1412" s="2">
        <v>0.04</v>
      </c>
      <c r="D1412" s="2">
        <v>218.75</v>
      </c>
      <c r="E1412" s="2">
        <v>69.64</v>
      </c>
      <c r="F1412">
        <v>2498</v>
      </c>
      <c r="G1412" t="s">
        <v>2325</v>
      </c>
      <c r="H1412" t="s">
        <v>39</v>
      </c>
      <c r="I1412" t="s">
        <v>28</v>
      </c>
      <c r="J1412" t="s">
        <v>41</v>
      </c>
      <c r="K1412" t="s">
        <v>150</v>
      </c>
      <c r="L1412" t="s">
        <v>120</v>
      </c>
      <c r="M1412" t="s">
        <v>648</v>
      </c>
      <c r="N1412">
        <v>0.77</v>
      </c>
      <c r="O1412" t="s">
        <v>33</v>
      </c>
      <c r="P1412" t="s">
        <v>34</v>
      </c>
      <c r="Q1412" t="s">
        <v>45</v>
      </c>
      <c r="R1412" t="s">
        <v>1718</v>
      </c>
      <c r="S1412">
        <v>92024</v>
      </c>
      <c r="T1412" s="1">
        <v>42053</v>
      </c>
      <c r="U1412" s="1">
        <v>42053</v>
      </c>
      <c r="V1412" s="2">
        <v>-533.23199999999997</v>
      </c>
      <c r="W1412">
        <v>8</v>
      </c>
      <c r="X1412" s="2">
        <v>1749.64</v>
      </c>
      <c r="Y1412">
        <v>16547</v>
      </c>
      <c r="Z1412">
        <f t="shared" si="22"/>
        <v>13997.12</v>
      </c>
    </row>
    <row r="1413" spans="1:26" x14ac:dyDescent="0.25">
      <c r="A1413">
        <v>7628</v>
      </c>
      <c r="B1413" t="s">
        <v>56</v>
      </c>
      <c r="C1413" s="2">
        <v>0.09</v>
      </c>
      <c r="D1413" s="2">
        <v>6.28</v>
      </c>
      <c r="E1413" s="2">
        <v>5.41</v>
      </c>
      <c r="F1413">
        <v>2498</v>
      </c>
      <c r="G1413" t="s">
        <v>2325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1672</v>
      </c>
      <c r="N1413">
        <v>0.53</v>
      </c>
      <c r="O1413" t="s">
        <v>33</v>
      </c>
      <c r="P1413" t="s">
        <v>34</v>
      </c>
      <c r="Q1413" t="s">
        <v>45</v>
      </c>
      <c r="R1413" t="s">
        <v>1718</v>
      </c>
      <c r="S1413">
        <v>92024</v>
      </c>
      <c r="T1413" s="1">
        <v>42037</v>
      </c>
      <c r="U1413" s="1">
        <v>42039</v>
      </c>
      <c r="V1413" s="2">
        <v>-61.59</v>
      </c>
      <c r="W1413">
        <v>56</v>
      </c>
      <c r="X1413" s="2">
        <v>355.4</v>
      </c>
      <c r="Y1413">
        <v>54567</v>
      </c>
      <c r="Z1413">
        <f t="shared" si="22"/>
        <v>19902.399999999998</v>
      </c>
    </row>
    <row r="1414" spans="1:26" x14ac:dyDescent="0.25">
      <c r="A1414">
        <v>2768</v>
      </c>
      <c r="B1414" t="s">
        <v>37</v>
      </c>
      <c r="C1414" s="2">
        <v>0.08</v>
      </c>
      <c r="D1414" s="2">
        <v>1.68</v>
      </c>
      <c r="E1414" s="2">
        <v>1.57</v>
      </c>
      <c r="F1414">
        <v>2498</v>
      </c>
      <c r="G1414" t="s">
        <v>2325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1718</v>
      </c>
      <c r="S1414">
        <v>92024</v>
      </c>
      <c r="T1414" s="1">
        <v>42040</v>
      </c>
      <c r="U1414" s="1">
        <v>42041</v>
      </c>
      <c r="V1414" s="2">
        <v>-46.25</v>
      </c>
      <c r="W1414">
        <v>88</v>
      </c>
      <c r="X1414" s="2">
        <v>148.36000000000001</v>
      </c>
      <c r="Y1414">
        <v>20007</v>
      </c>
      <c r="Z1414">
        <f t="shared" si="22"/>
        <v>13055.68</v>
      </c>
    </row>
    <row r="1415" spans="1:26" x14ac:dyDescent="0.25">
      <c r="A1415">
        <v>20296</v>
      </c>
      <c r="B1415" t="s">
        <v>37</v>
      </c>
      <c r="C1415" s="2">
        <v>0.09</v>
      </c>
      <c r="D1415" s="2">
        <v>355.98</v>
      </c>
      <c r="E1415" s="2">
        <v>58.92</v>
      </c>
      <c r="F1415">
        <v>2499</v>
      </c>
      <c r="G1415" t="s">
        <v>2326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1282</v>
      </c>
      <c r="N1415">
        <v>0.64</v>
      </c>
      <c r="O1415" t="s">
        <v>33</v>
      </c>
      <c r="P1415" t="s">
        <v>61</v>
      </c>
      <c r="Q1415" t="s">
        <v>175</v>
      </c>
      <c r="R1415" t="s">
        <v>2327</v>
      </c>
      <c r="S1415">
        <v>60901</v>
      </c>
      <c r="T1415" s="1">
        <v>42053</v>
      </c>
      <c r="U1415" s="1">
        <v>42055</v>
      </c>
      <c r="V1415" s="2">
        <v>1240.25</v>
      </c>
      <c r="W1415">
        <v>8</v>
      </c>
      <c r="X1415" s="2">
        <v>2814.57</v>
      </c>
      <c r="Y1415">
        <v>88319</v>
      </c>
      <c r="Z1415">
        <f t="shared" si="22"/>
        <v>22516.560000000001</v>
      </c>
    </row>
    <row r="1416" spans="1:26" x14ac:dyDescent="0.25">
      <c r="A1416">
        <v>25628</v>
      </c>
      <c r="B1416" t="s">
        <v>56</v>
      </c>
      <c r="C1416" s="2">
        <v>0.09</v>
      </c>
      <c r="D1416" s="2">
        <v>6.28</v>
      </c>
      <c r="E1416" s="2">
        <v>5.41</v>
      </c>
      <c r="F1416">
        <v>2500</v>
      </c>
      <c r="G1416" t="s">
        <v>2328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1672</v>
      </c>
      <c r="N1416">
        <v>0.53</v>
      </c>
      <c r="O1416" t="s">
        <v>33</v>
      </c>
      <c r="P1416" t="s">
        <v>61</v>
      </c>
      <c r="Q1416" t="s">
        <v>175</v>
      </c>
      <c r="R1416" t="s">
        <v>2329</v>
      </c>
      <c r="S1416">
        <v>60102</v>
      </c>
      <c r="T1416" s="1">
        <v>42037</v>
      </c>
      <c r="U1416" s="1">
        <v>42039</v>
      </c>
      <c r="V1416" s="2">
        <v>-32.026800000000001</v>
      </c>
      <c r="W1416">
        <v>14</v>
      </c>
      <c r="X1416" s="2">
        <v>88.85</v>
      </c>
      <c r="Y1416">
        <v>88320</v>
      </c>
      <c r="Z1416">
        <f t="shared" si="22"/>
        <v>1243.8999999999999</v>
      </c>
    </row>
    <row r="1417" spans="1:26" x14ac:dyDescent="0.25">
      <c r="A1417">
        <v>24899</v>
      </c>
      <c r="B1417" t="s">
        <v>25</v>
      </c>
      <c r="C1417" s="2">
        <v>0.1</v>
      </c>
      <c r="D1417" s="2">
        <v>24.92</v>
      </c>
      <c r="E1417" s="2">
        <v>12.98</v>
      </c>
      <c r="F1417">
        <v>2502</v>
      </c>
      <c r="G1417" t="s">
        <v>2330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1925</v>
      </c>
      <c r="N1417">
        <v>0.39</v>
      </c>
      <c r="O1417" t="s">
        <v>33</v>
      </c>
      <c r="P1417" t="s">
        <v>61</v>
      </c>
      <c r="Q1417" t="s">
        <v>695</v>
      </c>
      <c r="R1417" t="s">
        <v>2331</v>
      </c>
      <c r="S1417">
        <v>46321</v>
      </c>
      <c r="T1417" s="1">
        <v>42082</v>
      </c>
      <c r="U1417" s="1">
        <v>42082</v>
      </c>
      <c r="V1417" s="2">
        <v>-45.816000000000003</v>
      </c>
      <c r="W1417">
        <v>3</v>
      </c>
      <c r="X1417" s="2">
        <v>70.819999999999993</v>
      </c>
      <c r="Y1417">
        <v>91310</v>
      </c>
      <c r="Z1417">
        <f t="shared" si="22"/>
        <v>212.45999999999998</v>
      </c>
    </row>
    <row r="1418" spans="1:26" x14ac:dyDescent="0.25">
      <c r="A1418">
        <v>24901</v>
      </c>
      <c r="B1418" t="s">
        <v>25</v>
      </c>
      <c r="C1418" s="2">
        <v>0</v>
      </c>
      <c r="D1418" s="2">
        <v>12.28</v>
      </c>
      <c r="E1418" s="2">
        <v>6.35</v>
      </c>
      <c r="F1418">
        <v>2502</v>
      </c>
      <c r="G1418" t="s">
        <v>2330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1562</v>
      </c>
      <c r="N1418">
        <v>0.38</v>
      </c>
      <c r="O1418" t="s">
        <v>33</v>
      </c>
      <c r="P1418" t="s">
        <v>61</v>
      </c>
      <c r="Q1418" t="s">
        <v>695</v>
      </c>
      <c r="R1418" t="s">
        <v>2331</v>
      </c>
      <c r="S1418">
        <v>46321</v>
      </c>
      <c r="T1418" s="1">
        <v>42082</v>
      </c>
      <c r="U1418" s="1">
        <v>42083</v>
      </c>
      <c r="V1418" s="2">
        <v>30.63</v>
      </c>
      <c r="W1418">
        <v>7</v>
      </c>
      <c r="X1418" s="2">
        <v>90.44</v>
      </c>
      <c r="Y1418">
        <v>91310</v>
      </c>
      <c r="Z1418">
        <f t="shared" si="22"/>
        <v>633.07999999999993</v>
      </c>
    </row>
    <row r="1419" spans="1:26" x14ac:dyDescent="0.25">
      <c r="A1419">
        <v>18219</v>
      </c>
      <c r="B1419" t="s">
        <v>56</v>
      </c>
      <c r="C1419" s="2">
        <v>0.02</v>
      </c>
      <c r="D1419" s="2">
        <v>6.48</v>
      </c>
      <c r="E1419" s="2">
        <v>8.74</v>
      </c>
      <c r="F1419">
        <v>2506</v>
      </c>
      <c r="G1419" t="s">
        <v>2332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2333</v>
      </c>
      <c r="N1419">
        <v>0.36</v>
      </c>
      <c r="O1419" t="s">
        <v>33</v>
      </c>
      <c r="P1419" t="s">
        <v>53</v>
      </c>
      <c r="Q1419" t="s">
        <v>223</v>
      </c>
      <c r="R1419" t="s">
        <v>2334</v>
      </c>
      <c r="S1419">
        <v>6408</v>
      </c>
      <c r="T1419" s="1">
        <v>42160</v>
      </c>
      <c r="U1419" s="1">
        <v>42162</v>
      </c>
      <c r="V1419" s="2">
        <v>-6.835</v>
      </c>
      <c r="W1419">
        <v>1</v>
      </c>
      <c r="X1419" s="2">
        <v>10.72</v>
      </c>
      <c r="Y1419">
        <v>87033</v>
      </c>
      <c r="Z1419">
        <f t="shared" si="22"/>
        <v>10.72</v>
      </c>
    </row>
    <row r="1420" spans="1:26" x14ac:dyDescent="0.25">
      <c r="A1420">
        <v>18217</v>
      </c>
      <c r="B1420" t="s">
        <v>56</v>
      </c>
      <c r="C1420" s="2">
        <v>0.06</v>
      </c>
      <c r="D1420" s="2">
        <v>699.99</v>
      </c>
      <c r="E1420" s="2">
        <v>24.49</v>
      </c>
      <c r="F1420">
        <v>2507</v>
      </c>
      <c r="G1420" t="s">
        <v>2335</v>
      </c>
      <c r="H1420" t="s">
        <v>27</v>
      </c>
      <c r="I1420" t="s">
        <v>40</v>
      </c>
      <c r="J1420" t="s">
        <v>77</v>
      </c>
      <c r="K1420" t="s">
        <v>580</v>
      </c>
      <c r="L1420" t="s">
        <v>231</v>
      </c>
      <c r="M1420" t="s">
        <v>581</v>
      </c>
      <c r="N1420">
        <v>0.41</v>
      </c>
      <c r="O1420" t="s">
        <v>33</v>
      </c>
      <c r="P1420" t="s">
        <v>53</v>
      </c>
      <c r="Q1420" t="s">
        <v>184</v>
      </c>
      <c r="R1420" t="s">
        <v>444</v>
      </c>
      <c r="S1420">
        <v>4401</v>
      </c>
      <c r="T1420" s="1">
        <v>42160</v>
      </c>
      <c r="U1420" s="1">
        <v>42162</v>
      </c>
      <c r="V1420" s="2">
        <v>7024.2069000000001</v>
      </c>
      <c r="W1420">
        <v>15</v>
      </c>
      <c r="X1420" s="2">
        <v>10180.01</v>
      </c>
      <c r="Y1420">
        <v>87033</v>
      </c>
      <c r="Z1420">
        <f t="shared" si="22"/>
        <v>152700.15</v>
      </c>
    </row>
    <row r="1421" spans="1:26" x14ac:dyDescent="0.25">
      <c r="A1421">
        <v>23265</v>
      </c>
      <c r="B1421" t="s">
        <v>106</v>
      </c>
      <c r="C1421" s="2">
        <v>0.02</v>
      </c>
      <c r="D1421" s="2">
        <v>5.81</v>
      </c>
      <c r="E1421" s="2">
        <v>8.49</v>
      </c>
      <c r="F1421">
        <v>2508</v>
      </c>
      <c r="G1421" t="s">
        <v>2336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319</v>
      </c>
      <c r="N1421">
        <v>0.39</v>
      </c>
      <c r="O1421" t="s">
        <v>33</v>
      </c>
      <c r="P1421" t="s">
        <v>53</v>
      </c>
      <c r="Q1421" t="s">
        <v>184</v>
      </c>
      <c r="R1421" t="s">
        <v>427</v>
      </c>
      <c r="S1421">
        <v>4073</v>
      </c>
      <c r="T1421" s="1">
        <v>42012</v>
      </c>
      <c r="U1421" s="1">
        <v>42016</v>
      </c>
      <c r="V1421" s="2">
        <v>-137.494</v>
      </c>
      <c r="W1421">
        <v>7</v>
      </c>
      <c r="X1421" s="2">
        <v>42.44</v>
      </c>
      <c r="Y1421">
        <v>87031</v>
      </c>
      <c r="Z1421">
        <f t="shared" si="22"/>
        <v>297.08</v>
      </c>
    </row>
    <row r="1422" spans="1:26" x14ac:dyDescent="0.25">
      <c r="A1422">
        <v>21918</v>
      </c>
      <c r="B1422" t="s">
        <v>56</v>
      </c>
      <c r="C1422" s="2">
        <v>0.05</v>
      </c>
      <c r="D1422" s="2">
        <v>30.98</v>
      </c>
      <c r="E1422" s="2">
        <v>9.18</v>
      </c>
      <c r="F1422">
        <v>2509</v>
      </c>
      <c r="G1422" t="s">
        <v>2337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2338</v>
      </c>
      <c r="N1422">
        <v>0.4</v>
      </c>
      <c r="O1422" t="s">
        <v>33</v>
      </c>
      <c r="P1422" t="s">
        <v>53</v>
      </c>
      <c r="Q1422" t="s">
        <v>184</v>
      </c>
      <c r="R1422" t="s">
        <v>587</v>
      </c>
      <c r="S1422">
        <v>4106</v>
      </c>
      <c r="T1422" s="1">
        <v>42129</v>
      </c>
      <c r="U1422" s="1">
        <v>42129</v>
      </c>
      <c r="V1422" s="2">
        <v>308.67</v>
      </c>
      <c r="W1422">
        <v>15</v>
      </c>
      <c r="X1422" s="2">
        <v>462.57</v>
      </c>
      <c r="Y1422">
        <v>87029</v>
      </c>
      <c r="Z1422">
        <f t="shared" si="22"/>
        <v>6938.55</v>
      </c>
    </row>
    <row r="1423" spans="1:26" x14ac:dyDescent="0.25">
      <c r="A1423">
        <v>21102</v>
      </c>
      <c r="B1423" t="s">
        <v>37</v>
      </c>
      <c r="C1423" s="2">
        <v>0.04</v>
      </c>
      <c r="D1423" s="2">
        <v>6.48</v>
      </c>
      <c r="E1423" s="2">
        <v>9.5399999999999991</v>
      </c>
      <c r="F1423">
        <v>2512</v>
      </c>
      <c r="G1423" t="s">
        <v>2339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2340</v>
      </c>
      <c r="N1423">
        <v>0.37</v>
      </c>
      <c r="O1423" t="s">
        <v>33</v>
      </c>
      <c r="P1423" t="s">
        <v>53</v>
      </c>
      <c r="Q1423" t="s">
        <v>189</v>
      </c>
      <c r="R1423" t="s">
        <v>2341</v>
      </c>
      <c r="S1423">
        <v>2138</v>
      </c>
      <c r="T1423" s="1">
        <v>42170</v>
      </c>
      <c r="U1423" s="1">
        <v>42172</v>
      </c>
      <c r="V1423" s="2">
        <v>-223.94399999999999</v>
      </c>
      <c r="W1423">
        <v>19</v>
      </c>
      <c r="X1423" s="2">
        <v>125.37</v>
      </c>
      <c r="Y1423">
        <v>87030</v>
      </c>
      <c r="Z1423">
        <f t="shared" si="22"/>
        <v>2382.0300000000002</v>
      </c>
    </row>
    <row r="1424" spans="1:26" x14ac:dyDescent="0.25">
      <c r="A1424">
        <v>18220</v>
      </c>
      <c r="B1424" t="s">
        <v>56</v>
      </c>
      <c r="C1424" s="2">
        <v>0.02</v>
      </c>
      <c r="D1424" s="2">
        <v>17.149999999999999</v>
      </c>
      <c r="E1424" s="2">
        <v>4.96</v>
      </c>
      <c r="F1424">
        <v>2516</v>
      </c>
      <c r="G1424" t="s">
        <v>2342</v>
      </c>
      <c r="H1424" t="s">
        <v>49</v>
      </c>
      <c r="I1424" t="s">
        <v>40</v>
      </c>
      <c r="J1424" t="s">
        <v>29</v>
      </c>
      <c r="K1424" t="s">
        <v>139</v>
      </c>
      <c r="L1424" t="s">
        <v>59</v>
      </c>
      <c r="M1424" t="s">
        <v>598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1468</v>
      </c>
      <c r="S1424">
        <v>7631</v>
      </c>
      <c r="T1424" s="1">
        <v>42160</v>
      </c>
      <c r="U1424" s="1">
        <v>42162</v>
      </c>
      <c r="V1424" s="2">
        <v>36.494999999999997</v>
      </c>
      <c r="W1424">
        <v>11</v>
      </c>
      <c r="X1424" s="2">
        <v>190.85</v>
      </c>
      <c r="Y1424">
        <v>87033</v>
      </c>
      <c r="Z1424">
        <f t="shared" si="22"/>
        <v>2099.35</v>
      </c>
    </row>
    <row r="1425" spans="1:26" x14ac:dyDescent="0.25">
      <c r="A1425">
        <v>18221</v>
      </c>
      <c r="B1425" t="s">
        <v>56</v>
      </c>
      <c r="C1425" s="2">
        <v>7.0000000000000007E-2</v>
      </c>
      <c r="D1425" s="2">
        <v>30.98</v>
      </c>
      <c r="E1425" s="2">
        <v>8.74</v>
      </c>
      <c r="F1425">
        <v>2520</v>
      </c>
      <c r="G1425" t="s">
        <v>2343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2050</v>
      </c>
      <c r="N1425">
        <v>0.4</v>
      </c>
      <c r="O1425" t="s">
        <v>33</v>
      </c>
      <c r="P1425" t="s">
        <v>53</v>
      </c>
      <c r="Q1425" t="s">
        <v>463</v>
      </c>
      <c r="R1425" t="s">
        <v>2344</v>
      </c>
      <c r="S1425">
        <v>2908</v>
      </c>
      <c r="T1425" s="1">
        <v>42160</v>
      </c>
      <c r="U1425" s="1">
        <v>42161</v>
      </c>
      <c r="V1425" s="2">
        <v>255.76920000000001</v>
      </c>
      <c r="W1425">
        <v>12</v>
      </c>
      <c r="X1425" s="2">
        <v>370.68</v>
      </c>
      <c r="Y1425">
        <v>87033</v>
      </c>
      <c r="Z1425">
        <f t="shared" si="22"/>
        <v>4448.16</v>
      </c>
    </row>
    <row r="1426" spans="1:26" x14ac:dyDescent="0.25">
      <c r="A1426">
        <v>25463</v>
      </c>
      <c r="B1426" t="s">
        <v>56</v>
      </c>
      <c r="C1426" s="2">
        <v>0</v>
      </c>
      <c r="D1426" s="2">
        <v>175.99</v>
      </c>
      <c r="E1426" s="2">
        <v>4.99</v>
      </c>
      <c r="F1426">
        <v>2521</v>
      </c>
      <c r="G1426" t="s">
        <v>2345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>
        <v>5165</v>
      </c>
      <c r="N1426">
        <v>0.59</v>
      </c>
      <c r="O1426" t="s">
        <v>33</v>
      </c>
      <c r="P1426" t="s">
        <v>61</v>
      </c>
      <c r="Q1426" t="s">
        <v>129</v>
      </c>
      <c r="R1426" t="s">
        <v>2346</v>
      </c>
      <c r="S1426">
        <v>75109</v>
      </c>
      <c r="T1426" s="1">
        <v>42053</v>
      </c>
      <c r="U1426" s="1">
        <v>42056</v>
      </c>
      <c r="V1426" s="2">
        <v>1656.6555000000001</v>
      </c>
      <c r="W1426">
        <v>15</v>
      </c>
      <c r="X1426" s="2">
        <v>2400.9499999999998</v>
      </c>
      <c r="Y1426">
        <v>87032</v>
      </c>
      <c r="Z1426">
        <f t="shared" si="22"/>
        <v>36014.25</v>
      </c>
    </row>
    <row r="1427" spans="1:26" x14ac:dyDescent="0.25">
      <c r="A1427">
        <v>18218</v>
      </c>
      <c r="B1427" t="s">
        <v>56</v>
      </c>
      <c r="C1427" s="2">
        <v>0.04</v>
      </c>
      <c r="D1427" s="2">
        <v>1360.14</v>
      </c>
      <c r="E1427" s="2">
        <v>14.7</v>
      </c>
      <c r="F1427">
        <v>2522</v>
      </c>
      <c r="G1427" t="s">
        <v>2347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593</v>
      </c>
      <c r="N1427">
        <v>0.59</v>
      </c>
      <c r="O1427" t="s">
        <v>33</v>
      </c>
      <c r="P1427" t="s">
        <v>53</v>
      </c>
      <c r="Q1427" t="s">
        <v>147</v>
      </c>
      <c r="R1427" t="s">
        <v>148</v>
      </c>
      <c r="S1427">
        <v>5401</v>
      </c>
      <c r="T1427" s="1">
        <v>42160</v>
      </c>
      <c r="U1427" s="1">
        <v>42163</v>
      </c>
      <c r="V1427" s="2">
        <v>2639.01</v>
      </c>
      <c r="W1427">
        <v>6</v>
      </c>
      <c r="X1427" s="2">
        <v>7303.05</v>
      </c>
      <c r="Y1427">
        <v>87033</v>
      </c>
      <c r="Z1427">
        <f t="shared" si="22"/>
        <v>43818.3</v>
      </c>
    </row>
    <row r="1428" spans="1:26" x14ac:dyDescent="0.25">
      <c r="A1428">
        <v>18866</v>
      </c>
      <c r="B1428" t="s">
        <v>47</v>
      </c>
      <c r="C1428" s="2">
        <v>0.01</v>
      </c>
      <c r="D1428" s="2">
        <v>2.16</v>
      </c>
      <c r="E1428" s="2">
        <v>6.05</v>
      </c>
      <c r="F1428">
        <v>2526</v>
      </c>
      <c r="G1428" t="s">
        <v>2348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1523</v>
      </c>
      <c r="N1428">
        <v>0.37</v>
      </c>
      <c r="O1428" t="s">
        <v>33</v>
      </c>
      <c r="P1428" t="s">
        <v>135</v>
      </c>
      <c r="Q1428" t="s">
        <v>168</v>
      </c>
      <c r="R1428" t="s">
        <v>1466</v>
      </c>
      <c r="S1428">
        <v>70506</v>
      </c>
      <c r="T1428" s="1">
        <v>42147</v>
      </c>
      <c r="U1428" s="1">
        <v>42149</v>
      </c>
      <c r="V1428" s="2">
        <v>395.76</v>
      </c>
      <c r="W1428">
        <v>24</v>
      </c>
      <c r="X1428" s="2">
        <v>58.05</v>
      </c>
      <c r="Y1428">
        <v>87208</v>
      </c>
      <c r="Z1428">
        <f t="shared" si="22"/>
        <v>1393.1999999999998</v>
      </c>
    </row>
    <row r="1429" spans="1:26" x14ac:dyDescent="0.25">
      <c r="A1429">
        <v>18867</v>
      </c>
      <c r="B1429" t="s">
        <v>47</v>
      </c>
      <c r="C1429" s="2">
        <v>7.0000000000000007E-2</v>
      </c>
      <c r="D1429" s="2">
        <v>21.38</v>
      </c>
      <c r="E1429" s="2">
        <v>8.99</v>
      </c>
      <c r="F1429">
        <v>2527</v>
      </c>
      <c r="G1429" t="s">
        <v>2349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2181</v>
      </c>
      <c r="N1429">
        <v>0.59</v>
      </c>
      <c r="O1429" t="s">
        <v>33</v>
      </c>
      <c r="P1429" t="s">
        <v>135</v>
      </c>
      <c r="Q1429" t="s">
        <v>168</v>
      </c>
      <c r="R1429" t="s">
        <v>2350</v>
      </c>
      <c r="S1429">
        <v>70601</v>
      </c>
      <c r="T1429" s="1">
        <v>42147</v>
      </c>
      <c r="U1429" s="1">
        <v>42149</v>
      </c>
      <c r="V1429" s="2">
        <v>-39.396000000000001</v>
      </c>
      <c r="W1429">
        <v>3</v>
      </c>
      <c r="X1429" s="2">
        <v>68.64</v>
      </c>
      <c r="Y1429">
        <v>87208</v>
      </c>
      <c r="Z1429">
        <f t="shared" si="22"/>
        <v>205.92000000000002</v>
      </c>
    </row>
    <row r="1430" spans="1:26" x14ac:dyDescent="0.25">
      <c r="A1430">
        <v>20254</v>
      </c>
      <c r="B1430" t="s">
        <v>25</v>
      </c>
      <c r="C1430" s="2">
        <v>0.04</v>
      </c>
      <c r="D1430" s="2">
        <v>40.98</v>
      </c>
      <c r="E1430" s="2">
        <v>6.5</v>
      </c>
      <c r="F1430">
        <v>2530</v>
      </c>
      <c r="G1430" t="s">
        <v>2351</v>
      </c>
      <c r="H1430" t="s">
        <v>49</v>
      </c>
      <c r="I1430" t="s">
        <v>58</v>
      </c>
      <c r="J1430" t="s">
        <v>77</v>
      </c>
      <c r="K1430" t="s">
        <v>177</v>
      </c>
      <c r="L1430" t="s">
        <v>59</v>
      </c>
      <c r="M1430" t="s">
        <v>1258</v>
      </c>
      <c r="N1430">
        <v>0.74</v>
      </c>
      <c r="O1430" t="s">
        <v>33</v>
      </c>
      <c r="P1430" t="s">
        <v>34</v>
      </c>
      <c r="Q1430" t="s">
        <v>45</v>
      </c>
      <c r="R1430" t="s">
        <v>2352</v>
      </c>
      <c r="S1430">
        <v>92307</v>
      </c>
      <c r="T1430" s="1">
        <v>42092</v>
      </c>
      <c r="U1430" s="1">
        <v>42093</v>
      </c>
      <c r="V1430" s="2">
        <v>-89.5</v>
      </c>
      <c r="W1430">
        <v>7</v>
      </c>
      <c r="X1430" s="2">
        <v>277.07</v>
      </c>
      <c r="Y1430">
        <v>87451</v>
      </c>
      <c r="Z1430">
        <f t="shared" si="22"/>
        <v>1939.49</v>
      </c>
    </row>
    <row r="1431" spans="1:26" x14ac:dyDescent="0.25">
      <c r="A1431">
        <v>23782</v>
      </c>
      <c r="B1431" t="s">
        <v>56</v>
      </c>
      <c r="C1431" s="2">
        <v>0.08</v>
      </c>
      <c r="D1431" s="2">
        <v>4</v>
      </c>
      <c r="E1431" s="2">
        <v>1.3</v>
      </c>
      <c r="F1431">
        <v>2531</v>
      </c>
      <c r="G1431" t="s">
        <v>2353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200</v>
      </c>
      <c r="N1431">
        <v>0.37</v>
      </c>
      <c r="O1431" t="s">
        <v>33</v>
      </c>
      <c r="P1431" t="s">
        <v>34</v>
      </c>
      <c r="Q1431" t="s">
        <v>45</v>
      </c>
      <c r="R1431" t="s">
        <v>2354</v>
      </c>
      <c r="S1431">
        <v>93422</v>
      </c>
      <c r="T1431" s="1">
        <v>42126</v>
      </c>
      <c r="U1431" s="1">
        <v>42128</v>
      </c>
      <c r="V1431" s="2">
        <v>28.4</v>
      </c>
      <c r="W1431">
        <v>14</v>
      </c>
      <c r="X1431" s="2">
        <v>51.99</v>
      </c>
      <c r="Y1431">
        <v>87452</v>
      </c>
      <c r="Z1431">
        <f t="shared" si="22"/>
        <v>727.86</v>
      </c>
    </row>
    <row r="1432" spans="1:26" x14ac:dyDescent="0.25">
      <c r="A1432">
        <v>20255</v>
      </c>
      <c r="B1432" t="s">
        <v>25</v>
      </c>
      <c r="C1432" s="2">
        <v>0.05</v>
      </c>
      <c r="D1432" s="2">
        <v>35.99</v>
      </c>
      <c r="E1432" s="2">
        <v>3.3</v>
      </c>
      <c r="F1432">
        <v>2534</v>
      </c>
      <c r="G1432" t="s">
        <v>2355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1262</v>
      </c>
      <c r="N1432">
        <v>0.39</v>
      </c>
      <c r="O1432" t="s">
        <v>33</v>
      </c>
      <c r="P1432" t="s">
        <v>53</v>
      </c>
      <c r="Q1432" t="s">
        <v>184</v>
      </c>
      <c r="R1432" t="s">
        <v>444</v>
      </c>
      <c r="S1432">
        <v>4401</v>
      </c>
      <c r="T1432" s="1">
        <v>42092</v>
      </c>
      <c r="U1432" s="1">
        <v>42094</v>
      </c>
      <c r="V1432" s="2">
        <v>103.2723</v>
      </c>
      <c r="W1432">
        <v>5</v>
      </c>
      <c r="X1432" s="2">
        <v>149.66999999999999</v>
      </c>
      <c r="Y1432">
        <v>87451</v>
      </c>
      <c r="Z1432">
        <f t="shared" si="22"/>
        <v>748.34999999999991</v>
      </c>
    </row>
    <row r="1433" spans="1:26" x14ac:dyDescent="0.25">
      <c r="A1433">
        <v>22839</v>
      </c>
      <c r="B1433" t="s">
        <v>37</v>
      </c>
      <c r="C1433" s="2">
        <v>0.08</v>
      </c>
      <c r="D1433" s="2">
        <v>12.53</v>
      </c>
      <c r="E1433" s="2">
        <v>0.5</v>
      </c>
      <c r="F1433">
        <v>2539</v>
      </c>
      <c r="G1433" t="s">
        <v>2356</v>
      </c>
      <c r="H1433" t="s">
        <v>49</v>
      </c>
      <c r="I1433" t="s">
        <v>40</v>
      </c>
      <c r="J1433" t="s">
        <v>29</v>
      </c>
      <c r="K1433" t="s">
        <v>133</v>
      </c>
      <c r="L1433" t="s">
        <v>59</v>
      </c>
      <c r="M1433" t="s">
        <v>1651</v>
      </c>
      <c r="N1433">
        <v>0.38</v>
      </c>
      <c r="O1433" t="s">
        <v>33</v>
      </c>
      <c r="P1433" t="s">
        <v>135</v>
      </c>
      <c r="Q1433" t="s">
        <v>356</v>
      </c>
      <c r="R1433" t="s">
        <v>2357</v>
      </c>
      <c r="S1433">
        <v>32789</v>
      </c>
      <c r="T1433" s="1">
        <v>42101</v>
      </c>
      <c r="U1433" s="1">
        <v>42102</v>
      </c>
      <c r="V1433" s="2">
        <v>215.71799999999999</v>
      </c>
      <c r="W1433">
        <v>5</v>
      </c>
      <c r="X1433" s="2">
        <v>61.1</v>
      </c>
      <c r="Y1433">
        <v>91017</v>
      </c>
      <c r="Z1433">
        <f t="shared" si="22"/>
        <v>305.5</v>
      </c>
    </row>
    <row r="1434" spans="1:26" x14ac:dyDescent="0.25">
      <c r="A1434">
        <v>22840</v>
      </c>
      <c r="B1434" t="s">
        <v>37</v>
      </c>
      <c r="C1434" s="2">
        <v>0.02</v>
      </c>
      <c r="D1434" s="2">
        <v>178.47</v>
      </c>
      <c r="E1434" s="2">
        <v>19.989999999999998</v>
      </c>
      <c r="F1434">
        <v>2540</v>
      </c>
      <c r="G1434" t="s">
        <v>2358</v>
      </c>
      <c r="H1434" t="s">
        <v>49</v>
      </c>
      <c r="I1434" t="s">
        <v>40</v>
      </c>
      <c r="J1434" t="s">
        <v>29</v>
      </c>
      <c r="K1434" t="s">
        <v>139</v>
      </c>
      <c r="L1434" t="s">
        <v>59</v>
      </c>
      <c r="M1434" t="s">
        <v>521</v>
      </c>
      <c r="N1434">
        <v>0.55000000000000004</v>
      </c>
      <c r="O1434" t="s">
        <v>33</v>
      </c>
      <c r="P1434" t="s">
        <v>135</v>
      </c>
      <c r="Q1434" t="s">
        <v>356</v>
      </c>
      <c r="R1434" t="s">
        <v>2359</v>
      </c>
      <c r="S1434">
        <v>32708</v>
      </c>
      <c r="T1434" s="1">
        <v>42101</v>
      </c>
      <c r="U1434" s="1">
        <v>42102</v>
      </c>
      <c r="V1434" s="2">
        <v>106.98480000000001</v>
      </c>
      <c r="W1434">
        <v>1</v>
      </c>
      <c r="X1434" s="2">
        <v>193.81</v>
      </c>
      <c r="Y1434">
        <v>91017</v>
      </c>
      <c r="Z1434">
        <f t="shared" si="22"/>
        <v>193.81</v>
      </c>
    </row>
    <row r="1435" spans="1:26" x14ac:dyDescent="0.25">
      <c r="A1435">
        <v>19031</v>
      </c>
      <c r="B1435" t="s">
        <v>56</v>
      </c>
      <c r="C1435" s="2">
        <v>0.05</v>
      </c>
      <c r="D1435" s="2">
        <v>15.68</v>
      </c>
      <c r="E1435" s="2">
        <v>3.73</v>
      </c>
      <c r="F1435">
        <v>2543</v>
      </c>
      <c r="G1435" t="s">
        <v>2360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2361</v>
      </c>
      <c r="N1435">
        <v>0.46</v>
      </c>
      <c r="O1435" t="s">
        <v>33</v>
      </c>
      <c r="P1435" t="s">
        <v>135</v>
      </c>
      <c r="Q1435" t="s">
        <v>136</v>
      </c>
      <c r="R1435" t="s">
        <v>1554</v>
      </c>
      <c r="S1435">
        <v>23223</v>
      </c>
      <c r="T1435" s="1">
        <v>42166</v>
      </c>
      <c r="U1435" s="1">
        <v>42167</v>
      </c>
      <c r="V1435" s="2">
        <v>3.54</v>
      </c>
      <c r="W1435">
        <v>17</v>
      </c>
      <c r="X1435" s="2">
        <v>257.48</v>
      </c>
      <c r="Y1435">
        <v>87917</v>
      </c>
      <c r="Z1435">
        <f t="shared" si="22"/>
        <v>4377.16</v>
      </c>
    </row>
    <row r="1436" spans="1:26" x14ac:dyDescent="0.25">
      <c r="A1436">
        <v>19032</v>
      </c>
      <c r="B1436" t="s">
        <v>56</v>
      </c>
      <c r="C1436" s="2">
        <v>0.02</v>
      </c>
      <c r="D1436" s="2">
        <v>195.99</v>
      </c>
      <c r="E1436" s="2">
        <v>4.2</v>
      </c>
      <c r="F1436">
        <v>2543</v>
      </c>
      <c r="G1436" t="s">
        <v>2360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2202</v>
      </c>
      <c r="N1436">
        <v>0.56000000000000005</v>
      </c>
      <c r="O1436" t="s">
        <v>33</v>
      </c>
      <c r="P1436" t="s">
        <v>135</v>
      </c>
      <c r="Q1436" t="s">
        <v>136</v>
      </c>
      <c r="R1436" t="s">
        <v>1554</v>
      </c>
      <c r="S1436">
        <v>23223</v>
      </c>
      <c r="T1436" s="1">
        <v>42166</v>
      </c>
      <c r="U1436" s="1">
        <v>42167</v>
      </c>
      <c r="V1436" s="2">
        <v>40.283999999999999</v>
      </c>
      <c r="W1436">
        <v>19</v>
      </c>
      <c r="X1436" s="2">
        <v>3194.99</v>
      </c>
      <c r="Y1436">
        <v>87917</v>
      </c>
      <c r="Z1436">
        <f t="shared" si="22"/>
        <v>60704.81</v>
      </c>
    </row>
    <row r="1437" spans="1:26" x14ac:dyDescent="0.25">
      <c r="A1437">
        <v>19902</v>
      </c>
      <c r="B1437" t="s">
        <v>56</v>
      </c>
      <c r="C1437" s="2">
        <v>0.01</v>
      </c>
      <c r="D1437" s="2">
        <v>99.99</v>
      </c>
      <c r="E1437" s="2">
        <v>19.989999999999998</v>
      </c>
      <c r="F1437">
        <v>2545</v>
      </c>
      <c r="G1437" t="s">
        <v>2362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135</v>
      </c>
      <c r="Q1437" t="s">
        <v>136</v>
      </c>
      <c r="R1437" t="s">
        <v>1182</v>
      </c>
      <c r="S1437">
        <v>22153</v>
      </c>
      <c r="T1437" s="1">
        <v>42073</v>
      </c>
      <c r="U1437" s="1">
        <v>42075</v>
      </c>
      <c r="V1437" s="2">
        <v>90.024000000000001</v>
      </c>
      <c r="W1437">
        <v>2</v>
      </c>
      <c r="X1437" s="2">
        <v>202.98</v>
      </c>
      <c r="Y1437">
        <v>87915</v>
      </c>
      <c r="Z1437">
        <f t="shared" si="22"/>
        <v>405.96</v>
      </c>
    </row>
    <row r="1438" spans="1:26" x14ac:dyDescent="0.25">
      <c r="A1438">
        <v>25460</v>
      </c>
      <c r="B1438" t="s">
        <v>106</v>
      </c>
      <c r="C1438" s="2">
        <v>7.0000000000000007E-2</v>
      </c>
      <c r="D1438" s="2">
        <v>6.48</v>
      </c>
      <c r="E1438" s="2">
        <v>9.5399999999999991</v>
      </c>
      <c r="F1438">
        <v>2547</v>
      </c>
      <c r="G1438" t="s">
        <v>2363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2340</v>
      </c>
      <c r="N1438">
        <v>0.37</v>
      </c>
      <c r="O1438" t="s">
        <v>33</v>
      </c>
      <c r="P1438" t="s">
        <v>135</v>
      </c>
      <c r="Q1438" t="s">
        <v>136</v>
      </c>
      <c r="R1438" t="s">
        <v>2364</v>
      </c>
      <c r="S1438">
        <v>23464</v>
      </c>
      <c r="T1438" s="1">
        <v>42113</v>
      </c>
      <c r="U1438" s="1">
        <v>42113</v>
      </c>
      <c r="V1438" s="2">
        <v>2.2320000000000002</v>
      </c>
      <c r="W1438">
        <v>1</v>
      </c>
      <c r="X1438" s="2">
        <v>10.86</v>
      </c>
      <c r="Y1438">
        <v>87916</v>
      </c>
      <c r="Z1438">
        <f t="shared" si="22"/>
        <v>10.86</v>
      </c>
    </row>
    <row r="1439" spans="1:26" x14ac:dyDescent="0.25">
      <c r="A1439">
        <v>6525</v>
      </c>
      <c r="B1439" t="s">
        <v>106</v>
      </c>
      <c r="C1439" s="2">
        <v>0</v>
      </c>
      <c r="D1439" s="2">
        <v>35.99</v>
      </c>
      <c r="E1439" s="2">
        <v>0.99</v>
      </c>
      <c r="F1439">
        <v>2548</v>
      </c>
      <c r="G1439" t="s">
        <v>2365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2366</v>
      </c>
      <c r="N1439">
        <v>0.35</v>
      </c>
      <c r="O1439" t="s">
        <v>33</v>
      </c>
      <c r="P1439" t="s">
        <v>34</v>
      </c>
      <c r="Q1439" t="s">
        <v>45</v>
      </c>
      <c r="R1439" t="s">
        <v>655</v>
      </c>
      <c r="S1439">
        <v>90068</v>
      </c>
      <c r="T1439" s="1">
        <v>42098</v>
      </c>
      <c r="U1439" s="1">
        <v>42105</v>
      </c>
      <c r="V1439" s="2">
        <v>840.05100000000004</v>
      </c>
      <c r="W1439">
        <v>46</v>
      </c>
      <c r="X1439" s="2">
        <v>1477.57</v>
      </c>
      <c r="Y1439">
        <v>46436</v>
      </c>
      <c r="Z1439">
        <f t="shared" si="22"/>
        <v>67968.22</v>
      </c>
    </row>
    <row r="1440" spans="1:26" x14ac:dyDescent="0.25">
      <c r="A1440">
        <v>5777</v>
      </c>
      <c r="B1440" t="s">
        <v>106</v>
      </c>
      <c r="C1440" s="2">
        <v>0.05</v>
      </c>
      <c r="D1440" s="2">
        <v>30.98</v>
      </c>
      <c r="E1440" s="2">
        <v>9.18</v>
      </c>
      <c r="F1440">
        <v>2548</v>
      </c>
      <c r="G1440" t="s">
        <v>2365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2338</v>
      </c>
      <c r="N1440">
        <v>0.4</v>
      </c>
      <c r="O1440" t="s">
        <v>33</v>
      </c>
      <c r="P1440" t="s">
        <v>34</v>
      </c>
      <c r="Q1440" t="s">
        <v>45</v>
      </c>
      <c r="R1440" t="s">
        <v>655</v>
      </c>
      <c r="S1440">
        <v>90068</v>
      </c>
      <c r="T1440" s="1">
        <v>42115</v>
      </c>
      <c r="U1440" s="1">
        <v>42115</v>
      </c>
      <c r="V1440" s="2">
        <v>61.47</v>
      </c>
      <c r="W1440">
        <v>12</v>
      </c>
      <c r="X1440" s="2">
        <v>382.29</v>
      </c>
      <c r="Y1440">
        <v>40997</v>
      </c>
      <c r="Z1440">
        <f t="shared" si="22"/>
        <v>4587.4800000000005</v>
      </c>
    </row>
    <row r="1441" spans="1:26" x14ac:dyDescent="0.25">
      <c r="A1441">
        <v>5778</v>
      </c>
      <c r="B1441" t="s">
        <v>106</v>
      </c>
      <c r="C1441" s="2">
        <v>0.05</v>
      </c>
      <c r="D1441" s="2">
        <v>22.99</v>
      </c>
      <c r="E1441" s="2">
        <v>8.99</v>
      </c>
      <c r="F1441">
        <v>2548</v>
      </c>
      <c r="G1441" t="s">
        <v>2365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2367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655</v>
      </c>
      <c r="S1441">
        <v>90068</v>
      </c>
      <c r="T1441" s="1">
        <v>42115</v>
      </c>
      <c r="U1441" s="1">
        <v>42122</v>
      </c>
      <c r="V1441" s="2">
        <v>18.27</v>
      </c>
      <c r="W1441">
        <v>37</v>
      </c>
      <c r="X1441" s="2">
        <v>881.74</v>
      </c>
      <c r="Y1441">
        <v>40997</v>
      </c>
      <c r="Z1441">
        <f t="shared" si="22"/>
        <v>32624.38</v>
      </c>
    </row>
    <row r="1442" spans="1:26" x14ac:dyDescent="0.25">
      <c r="A1442">
        <v>5780</v>
      </c>
      <c r="B1442" t="s">
        <v>106</v>
      </c>
      <c r="C1442" s="2">
        <v>0.04</v>
      </c>
      <c r="D1442" s="2">
        <v>212.6</v>
      </c>
      <c r="E1442" s="2">
        <v>110.2</v>
      </c>
      <c r="F1442">
        <v>2548</v>
      </c>
      <c r="G1442" t="s">
        <v>2365</v>
      </c>
      <c r="H1442" t="s">
        <v>39</v>
      </c>
      <c r="I1442" t="s">
        <v>58</v>
      </c>
      <c r="J1442" t="s">
        <v>41</v>
      </c>
      <c r="K1442" t="s">
        <v>150</v>
      </c>
      <c r="L1442" t="s">
        <v>120</v>
      </c>
      <c r="M1442" t="s">
        <v>1336</v>
      </c>
      <c r="N1442">
        <v>0.73</v>
      </c>
      <c r="O1442" t="s">
        <v>33</v>
      </c>
      <c r="P1442" t="s">
        <v>34</v>
      </c>
      <c r="Q1442" t="s">
        <v>45</v>
      </c>
      <c r="R1442" t="s">
        <v>655</v>
      </c>
      <c r="S1442">
        <v>90068</v>
      </c>
      <c r="T1442" s="1">
        <v>42115</v>
      </c>
      <c r="U1442" s="1">
        <v>42119</v>
      </c>
      <c r="V1442" s="2">
        <v>-513.79042000000004</v>
      </c>
      <c r="W1442">
        <v>33</v>
      </c>
      <c r="X1442" s="2">
        <v>7384.18</v>
      </c>
      <c r="Y1442">
        <v>40997</v>
      </c>
      <c r="Z1442">
        <f t="shared" si="22"/>
        <v>243677.94</v>
      </c>
    </row>
    <row r="1443" spans="1:26" x14ac:dyDescent="0.25">
      <c r="A1443">
        <v>4204</v>
      </c>
      <c r="B1443" t="s">
        <v>37</v>
      </c>
      <c r="C1443" s="2">
        <v>0.09</v>
      </c>
      <c r="D1443" s="2">
        <v>5.98</v>
      </c>
      <c r="E1443" s="2">
        <v>1.67</v>
      </c>
      <c r="F1443">
        <v>2548</v>
      </c>
      <c r="G1443" t="s">
        <v>2365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2368</v>
      </c>
      <c r="N1443">
        <v>0.51</v>
      </c>
      <c r="O1443" t="s">
        <v>33</v>
      </c>
      <c r="P1443" t="s">
        <v>34</v>
      </c>
      <c r="Q1443" t="s">
        <v>45</v>
      </c>
      <c r="R1443" t="s">
        <v>655</v>
      </c>
      <c r="S1443">
        <v>90068</v>
      </c>
      <c r="T1443" s="1">
        <v>42159</v>
      </c>
      <c r="U1443" s="1">
        <v>42162</v>
      </c>
      <c r="V1443" s="2">
        <v>23.87</v>
      </c>
      <c r="W1443">
        <v>81</v>
      </c>
      <c r="X1443" s="2">
        <v>448.26</v>
      </c>
      <c r="Y1443">
        <v>29889</v>
      </c>
      <c r="Z1443">
        <f t="shared" si="22"/>
        <v>36309.06</v>
      </c>
    </row>
    <row r="1444" spans="1:26" x14ac:dyDescent="0.25">
      <c r="A1444">
        <v>23777</v>
      </c>
      <c r="B1444" t="s">
        <v>106</v>
      </c>
      <c r="C1444" s="2">
        <v>0.05</v>
      </c>
      <c r="D1444" s="2">
        <v>30.98</v>
      </c>
      <c r="E1444" s="2">
        <v>9.18</v>
      </c>
      <c r="F1444">
        <v>2549</v>
      </c>
      <c r="G1444" t="s">
        <v>2369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2338</v>
      </c>
      <c r="N1444">
        <v>0.4</v>
      </c>
      <c r="O1444" t="s">
        <v>33</v>
      </c>
      <c r="P1444" t="s">
        <v>53</v>
      </c>
      <c r="Q1444" t="s">
        <v>152</v>
      </c>
      <c r="R1444" t="s">
        <v>2370</v>
      </c>
      <c r="S1444">
        <v>43213</v>
      </c>
      <c r="T1444" s="1">
        <v>42115</v>
      </c>
      <c r="U1444" s="1">
        <v>42115</v>
      </c>
      <c r="V1444" s="2">
        <v>61.47</v>
      </c>
      <c r="W1444">
        <v>3</v>
      </c>
      <c r="X1444" s="2">
        <v>95.57</v>
      </c>
      <c r="Y1444">
        <v>88657</v>
      </c>
      <c r="Z1444">
        <f t="shared" si="22"/>
        <v>286.70999999999998</v>
      </c>
    </row>
    <row r="1445" spans="1:26" x14ac:dyDescent="0.25">
      <c r="A1445">
        <v>23778</v>
      </c>
      <c r="B1445" t="s">
        <v>106</v>
      </c>
      <c r="C1445" s="2">
        <v>0.05</v>
      </c>
      <c r="D1445" s="2">
        <v>22.99</v>
      </c>
      <c r="E1445" s="2">
        <v>8.99</v>
      </c>
      <c r="F1445">
        <v>2549</v>
      </c>
      <c r="G1445" t="s">
        <v>2369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2367</v>
      </c>
      <c r="N1445">
        <v>0.56999999999999995</v>
      </c>
      <c r="O1445" t="s">
        <v>33</v>
      </c>
      <c r="P1445" t="s">
        <v>53</v>
      </c>
      <c r="Q1445" t="s">
        <v>152</v>
      </c>
      <c r="R1445" t="s">
        <v>2370</v>
      </c>
      <c r="S1445">
        <v>43213</v>
      </c>
      <c r="T1445" s="1">
        <v>42115</v>
      </c>
      <c r="U1445" s="1">
        <v>42122</v>
      </c>
      <c r="V1445" s="2">
        <v>18.27</v>
      </c>
      <c r="W1445">
        <v>9</v>
      </c>
      <c r="X1445" s="2">
        <v>214.48</v>
      </c>
      <c r="Y1445">
        <v>88657</v>
      </c>
      <c r="Z1445">
        <f t="shared" si="22"/>
        <v>1930.32</v>
      </c>
    </row>
    <row r="1446" spans="1:26" x14ac:dyDescent="0.25">
      <c r="A1446">
        <v>23780</v>
      </c>
      <c r="B1446" t="s">
        <v>106</v>
      </c>
      <c r="C1446" s="2">
        <v>0.04</v>
      </c>
      <c r="D1446" s="2">
        <v>212.6</v>
      </c>
      <c r="E1446" s="2">
        <v>110.2</v>
      </c>
      <c r="F1446">
        <v>2549</v>
      </c>
      <c r="G1446" t="s">
        <v>2369</v>
      </c>
      <c r="H1446" t="s">
        <v>39</v>
      </c>
      <c r="I1446" t="s">
        <v>58</v>
      </c>
      <c r="J1446" t="s">
        <v>41</v>
      </c>
      <c r="K1446" t="s">
        <v>150</v>
      </c>
      <c r="L1446" t="s">
        <v>120</v>
      </c>
      <c r="M1446" t="s">
        <v>1336</v>
      </c>
      <c r="N1446">
        <v>0.73</v>
      </c>
      <c r="O1446" t="s">
        <v>33</v>
      </c>
      <c r="P1446" t="s">
        <v>53</v>
      </c>
      <c r="Q1446" t="s">
        <v>152</v>
      </c>
      <c r="R1446" t="s">
        <v>2370</v>
      </c>
      <c r="S1446">
        <v>43213</v>
      </c>
      <c r="T1446" s="1">
        <v>42115</v>
      </c>
      <c r="U1446" s="1">
        <v>42119</v>
      </c>
      <c r="V1446" s="2">
        <v>-513.79042000000004</v>
      </c>
      <c r="W1446">
        <v>8</v>
      </c>
      <c r="X1446" s="2">
        <v>1790.1</v>
      </c>
      <c r="Y1446">
        <v>88657</v>
      </c>
      <c r="Z1446">
        <f t="shared" si="22"/>
        <v>14320.8</v>
      </c>
    </row>
    <row r="1447" spans="1:26" x14ac:dyDescent="0.25">
      <c r="A1447">
        <v>22204</v>
      </c>
      <c r="B1447" t="s">
        <v>37</v>
      </c>
      <c r="C1447" s="2">
        <v>0.09</v>
      </c>
      <c r="D1447" s="2">
        <v>5.98</v>
      </c>
      <c r="E1447" s="2">
        <v>1.67</v>
      </c>
      <c r="F1447">
        <v>2549</v>
      </c>
      <c r="G1447" t="s">
        <v>2369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2368</v>
      </c>
      <c r="N1447">
        <v>0.51</v>
      </c>
      <c r="O1447" t="s">
        <v>33</v>
      </c>
      <c r="P1447" t="s">
        <v>53</v>
      </c>
      <c r="Q1447" t="s">
        <v>152</v>
      </c>
      <c r="R1447" t="s">
        <v>2370</v>
      </c>
      <c r="S1447">
        <v>43213</v>
      </c>
      <c r="T1447" s="1">
        <v>42159</v>
      </c>
      <c r="U1447" s="1">
        <v>42162</v>
      </c>
      <c r="V1447" s="2">
        <v>35.805</v>
      </c>
      <c r="W1447">
        <v>20</v>
      </c>
      <c r="X1447" s="2">
        <v>110.68</v>
      </c>
      <c r="Y1447">
        <v>88658</v>
      </c>
      <c r="Z1447">
        <f t="shared" si="22"/>
        <v>2213.6000000000004</v>
      </c>
    </row>
    <row r="1448" spans="1:26" x14ac:dyDescent="0.25">
      <c r="A1448">
        <v>24525</v>
      </c>
      <c r="B1448" t="s">
        <v>106</v>
      </c>
      <c r="C1448" s="2">
        <v>0</v>
      </c>
      <c r="D1448" s="2">
        <v>35.99</v>
      </c>
      <c r="E1448" s="2">
        <v>0.99</v>
      </c>
      <c r="F1448">
        <v>2551</v>
      </c>
      <c r="G1448" t="s">
        <v>2371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2366</v>
      </c>
      <c r="N1448">
        <v>0.35</v>
      </c>
      <c r="O1448" t="s">
        <v>33</v>
      </c>
      <c r="P1448" t="s">
        <v>53</v>
      </c>
      <c r="Q1448" t="s">
        <v>229</v>
      </c>
      <c r="R1448" t="s">
        <v>2372</v>
      </c>
      <c r="S1448">
        <v>17403</v>
      </c>
      <c r="T1448" s="1">
        <v>42098</v>
      </c>
      <c r="U1448" s="1">
        <v>42105</v>
      </c>
      <c r="V1448" s="2">
        <v>265.96050000000002</v>
      </c>
      <c r="W1448">
        <v>12</v>
      </c>
      <c r="X1448" s="2">
        <v>385.45</v>
      </c>
      <c r="Y1448">
        <v>88656</v>
      </c>
      <c r="Z1448">
        <f t="shared" si="22"/>
        <v>4625.3999999999996</v>
      </c>
    </row>
    <row r="1449" spans="1:26" x14ac:dyDescent="0.25">
      <c r="A1449">
        <v>18130</v>
      </c>
      <c r="B1449" t="s">
        <v>56</v>
      </c>
      <c r="C1449" s="2">
        <v>0.03</v>
      </c>
      <c r="D1449" s="2">
        <v>12.53</v>
      </c>
      <c r="E1449" s="2">
        <v>7.17</v>
      </c>
      <c r="F1449">
        <v>2553</v>
      </c>
      <c r="G1449" t="s">
        <v>2373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2374</v>
      </c>
      <c r="N1449">
        <v>0.38</v>
      </c>
      <c r="O1449" t="s">
        <v>33</v>
      </c>
      <c r="P1449" t="s">
        <v>61</v>
      </c>
      <c r="Q1449" t="s">
        <v>1843</v>
      </c>
      <c r="R1449" t="s">
        <v>2375</v>
      </c>
      <c r="S1449">
        <v>53142</v>
      </c>
      <c r="T1449" s="1">
        <v>42047</v>
      </c>
      <c r="U1449" s="1">
        <v>42048</v>
      </c>
      <c r="V1449" s="2">
        <v>-20.320499999999999</v>
      </c>
      <c r="W1449">
        <v>1</v>
      </c>
      <c r="X1449" s="2">
        <v>19.32</v>
      </c>
      <c r="Y1449">
        <v>86528</v>
      </c>
      <c r="Z1449">
        <f t="shared" si="22"/>
        <v>19.32</v>
      </c>
    </row>
    <row r="1450" spans="1:26" x14ac:dyDescent="0.25">
      <c r="A1450">
        <v>23666</v>
      </c>
      <c r="B1450" t="s">
        <v>106</v>
      </c>
      <c r="C1450" s="2">
        <v>0.1</v>
      </c>
      <c r="D1450" s="2">
        <v>2.6</v>
      </c>
      <c r="E1450" s="2">
        <v>2.4</v>
      </c>
      <c r="F1450">
        <v>2555</v>
      </c>
      <c r="G1450" t="s">
        <v>2376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1013</v>
      </c>
      <c r="N1450">
        <v>0.57999999999999996</v>
      </c>
      <c r="O1450" t="s">
        <v>33</v>
      </c>
      <c r="P1450" t="s">
        <v>61</v>
      </c>
      <c r="Q1450" t="s">
        <v>1843</v>
      </c>
      <c r="R1450" t="s">
        <v>1267</v>
      </c>
      <c r="S1450">
        <v>53711</v>
      </c>
      <c r="T1450" s="1">
        <v>42013</v>
      </c>
      <c r="U1450" s="1">
        <v>42018</v>
      </c>
      <c r="V1450" s="2">
        <v>-88.04</v>
      </c>
      <c r="W1450">
        <v>12</v>
      </c>
      <c r="X1450" s="2">
        <v>30.1</v>
      </c>
      <c r="Y1450">
        <v>86527</v>
      </c>
      <c r="Z1450">
        <f t="shared" si="22"/>
        <v>361.20000000000005</v>
      </c>
    </row>
    <row r="1451" spans="1:26" x14ac:dyDescent="0.25">
      <c r="A1451">
        <v>23583</v>
      </c>
      <c r="B1451" t="s">
        <v>47</v>
      </c>
      <c r="C1451" s="2">
        <v>0</v>
      </c>
      <c r="D1451" s="2">
        <v>12.97</v>
      </c>
      <c r="E1451" s="2">
        <v>1.49</v>
      </c>
      <c r="F1451">
        <v>2555</v>
      </c>
      <c r="G1451" t="s">
        <v>2376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1420</v>
      </c>
      <c r="N1451">
        <v>0.35</v>
      </c>
      <c r="O1451" t="s">
        <v>33</v>
      </c>
      <c r="P1451" t="s">
        <v>61</v>
      </c>
      <c r="Q1451" t="s">
        <v>1843</v>
      </c>
      <c r="R1451" t="s">
        <v>1267</v>
      </c>
      <c r="S1451">
        <v>53711</v>
      </c>
      <c r="T1451" s="1">
        <v>42037</v>
      </c>
      <c r="U1451" s="1">
        <v>42038</v>
      </c>
      <c r="V1451" s="2">
        <v>180.23490000000001</v>
      </c>
      <c r="W1451">
        <v>19</v>
      </c>
      <c r="X1451" s="2">
        <v>261.20999999999998</v>
      </c>
      <c r="Y1451">
        <v>86529</v>
      </c>
      <c r="Z1451">
        <f t="shared" si="22"/>
        <v>4962.99</v>
      </c>
    </row>
    <row r="1452" spans="1:26" x14ac:dyDescent="0.25">
      <c r="A1452">
        <v>23584</v>
      </c>
      <c r="B1452" t="s">
        <v>47</v>
      </c>
      <c r="C1452" s="2">
        <v>0.06</v>
      </c>
      <c r="D1452" s="2">
        <v>4.91</v>
      </c>
      <c r="E1452" s="2">
        <v>0.5</v>
      </c>
      <c r="F1452">
        <v>2555</v>
      </c>
      <c r="G1452" t="s">
        <v>2376</v>
      </c>
      <c r="H1452" t="s">
        <v>49</v>
      </c>
      <c r="I1452" t="s">
        <v>40</v>
      </c>
      <c r="J1452" t="s">
        <v>29</v>
      </c>
      <c r="K1452" t="s">
        <v>133</v>
      </c>
      <c r="L1452" t="s">
        <v>59</v>
      </c>
      <c r="M1452" t="s">
        <v>1548</v>
      </c>
      <c r="N1452">
        <v>0.36</v>
      </c>
      <c r="O1452" t="s">
        <v>33</v>
      </c>
      <c r="P1452" t="s">
        <v>61</v>
      </c>
      <c r="Q1452" t="s">
        <v>1843</v>
      </c>
      <c r="R1452" t="s">
        <v>1267</v>
      </c>
      <c r="S1452">
        <v>53711</v>
      </c>
      <c r="T1452" s="1">
        <v>42037</v>
      </c>
      <c r="U1452" s="1">
        <v>42037</v>
      </c>
      <c r="V1452" s="2">
        <v>29.525099999999998</v>
      </c>
      <c r="W1452">
        <v>9</v>
      </c>
      <c r="X1452" s="2">
        <v>42.79</v>
      </c>
      <c r="Y1452">
        <v>86529</v>
      </c>
      <c r="Z1452">
        <f t="shared" si="22"/>
        <v>385.11</v>
      </c>
    </row>
    <row r="1453" spans="1:26" x14ac:dyDescent="0.25">
      <c r="A1453">
        <v>19840</v>
      </c>
      <c r="B1453" t="s">
        <v>37</v>
      </c>
      <c r="C1453" s="2">
        <v>0.03</v>
      </c>
      <c r="D1453" s="2">
        <v>160.97999999999999</v>
      </c>
      <c r="E1453" s="2">
        <v>30</v>
      </c>
      <c r="F1453">
        <v>2561</v>
      </c>
      <c r="G1453" t="s">
        <v>2377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174</v>
      </c>
      <c r="N1453">
        <v>0.62</v>
      </c>
      <c r="O1453" t="s">
        <v>33</v>
      </c>
      <c r="P1453" t="s">
        <v>53</v>
      </c>
      <c r="Q1453" t="s">
        <v>71</v>
      </c>
      <c r="R1453" t="s">
        <v>2378</v>
      </c>
      <c r="S1453">
        <v>10562</v>
      </c>
      <c r="T1453" s="1">
        <v>42085</v>
      </c>
      <c r="U1453" s="1">
        <v>42088</v>
      </c>
      <c r="V1453" s="2">
        <v>1261.4718</v>
      </c>
      <c r="W1453">
        <v>11</v>
      </c>
      <c r="X1453" s="2">
        <v>1828.22</v>
      </c>
      <c r="Y1453">
        <v>86465</v>
      </c>
      <c r="Z1453">
        <f t="shared" si="22"/>
        <v>20110.420000000002</v>
      </c>
    </row>
    <row r="1454" spans="1:26" x14ac:dyDescent="0.25">
      <c r="A1454">
        <v>23161</v>
      </c>
      <c r="B1454" t="s">
        <v>37</v>
      </c>
      <c r="C1454" s="2">
        <v>7.0000000000000007E-2</v>
      </c>
      <c r="D1454" s="2">
        <v>3.98</v>
      </c>
      <c r="E1454" s="2">
        <v>5.26</v>
      </c>
      <c r="F1454">
        <v>2561</v>
      </c>
      <c r="G1454" t="s">
        <v>2377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1691</v>
      </c>
      <c r="N1454">
        <v>0.38</v>
      </c>
      <c r="O1454" t="s">
        <v>33</v>
      </c>
      <c r="P1454" t="s">
        <v>53</v>
      </c>
      <c r="Q1454" t="s">
        <v>71</v>
      </c>
      <c r="R1454" t="s">
        <v>2378</v>
      </c>
      <c r="S1454">
        <v>10562</v>
      </c>
      <c r="T1454" s="1">
        <v>42102</v>
      </c>
      <c r="U1454" s="1">
        <v>42104</v>
      </c>
      <c r="V1454" s="2">
        <v>-59.963760000000001</v>
      </c>
      <c r="W1454">
        <v>7</v>
      </c>
      <c r="X1454" s="2">
        <v>29.77</v>
      </c>
      <c r="Y1454">
        <v>86466</v>
      </c>
      <c r="Z1454">
        <f t="shared" si="22"/>
        <v>208.39</v>
      </c>
    </row>
    <row r="1455" spans="1:26" x14ac:dyDescent="0.25">
      <c r="A1455">
        <v>23162</v>
      </c>
      <c r="B1455" t="s">
        <v>37</v>
      </c>
      <c r="C1455" s="2">
        <v>7.0000000000000007E-2</v>
      </c>
      <c r="D1455" s="2">
        <v>12.22</v>
      </c>
      <c r="E1455" s="2">
        <v>2.85</v>
      </c>
      <c r="F1455">
        <v>2561</v>
      </c>
      <c r="G1455" t="s">
        <v>2377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2379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2378</v>
      </c>
      <c r="S1455">
        <v>10562</v>
      </c>
      <c r="T1455" s="1">
        <v>42102</v>
      </c>
      <c r="U1455" s="1">
        <v>42102</v>
      </c>
      <c r="V1455" s="2">
        <v>89.4148</v>
      </c>
      <c r="W1455">
        <v>12</v>
      </c>
      <c r="X1455" s="2">
        <v>147.19</v>
      </c>
      <c r="Y1455">
        <v>86466</v>
      </c>
      <c r="Z1455">
        <f t="shared" si="22"/>
        <v>1766.28</v>
      </c>
    </row>
    <row r="1456" spans="1:26" x14ac:dyDescent="0.25">
      <c r="A1456">
        <v>22374</v>
      </c>
      <c r="B1456" t="s">
        <v>37</v>
      </c>
      <c r="C1456" s="2">
        <v>0.08</v>
      </c>
      <c r="D1456" s="2">
        <v>4.55</v>
      </c>
      <c r="E1456" s="2">
        <v>1.49</v>
      </c>
      <c r="F1456">
        <v>2563</v>
      </c>
      <c r="G1456" t="s">
        <v>2380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1428</v>
      </c>
      <c r="N1456">
        <v>0.35</v>
      </c>
      <c r="O1456" t="s">
        <v>33</v>
      </c>
      <c r="P1456" t="s">
        <v>61</v>
      </c>
      <c r="Q1456" t="s">
        <v>62</v>
      </c>
      <c r="R1456" t="s">
        <v>2381</v>
      </c>
      <c r="S1456">
        <v>55432</v>
      </c>
      <c r="T1456" s="1">
        <v>42102</v>
      </c>
      <c r="U1456" s="1">
        <v>42103</v>
      </c>
      <c r="V1456" s="2">
        <v>27.0273</v>
      </c>
      <c r="W1456">
        <v>9</v>
      </c>
      <c r="X1456" s="2">
        <v>39.17</v>
      </c>
      <c r="Y1456">
        <v>91447</v>
      </c>
      <c r="Z1456">
        <f t="shared" si="22"/>
        <v>352.53000000000003</v>
      </c>
    </row>
    <row r="1457" spans="1:26" x14ac:dyDescent="0.25">
      <c r="A1457">
        <v>25095</v>
      </c>
      <c r="B1457" t="s">
        <v>47</v>
      </c>
      <c r="C1457" s="2">
        <v>0</v>
      </c>
      <c r="D1457" s="2">
        <v>4.37</v>
      </c>
      <c r="E1457" s="2">
        <v>5.15</v>
      </c>
      <c r="F1457">
        <v>2570</v>
      </c>
      <c r="G1457" t="s">
        <v>2382</v>
      </c>
      <c r="H1457" t="s">
        <v>49</v>
      </c>
      <c r="I1457" t="s">
        <v>114</v>
      </c>
      <c r="J1457" t="s">
        <v>29</v>
      </c>
      <c r="K1457" t="s">
        <v>252</v>
      </c>
      <c r="L1457" t="s">
        <v>59</v>
      </c>
      <c r="M1457" t="s">
        <v>985</v>
      </c>
      <c r="N1457">
        <v>0.59</v>
      </c>
      <c r="O1457" t="s">
        <v>33</v>
      </c>
      <c r="P1457" t="s">
        <v>34</v>
      </c>
      <c r="Q1457" t="s">
        <v>45</v>
      </c>
      <c r="R1457" t="s">
        <v>2383</v>
      </c>
      <c r="S1457">
        <v>95616</v>
      </c>
      <c r="T1457" s="1">
        <v>42119</v>
      </c>
      <c r="U1457" s="1">
        <v>42121</v>
      </c>
      <c r="V1457" s="2">
        <v>-150.2604</v>
      </c>
      <c r="W1457">
        <v>19</v>
      </c>
      <c r="X1457" s="2">
        <v>87.85</v>
      </c>
      <c r="Y1457">
        <v>90327</v>
      </c>
      <c r="Z1457">
        <f t="shared" si="22"/>
        <v>1669.1499999999999</v>
      </c>
    </row>
    <row r="1458" spans="1:26" x14ac:dyDescent="0.25">
      <c r="A1458">
        <v>25096</v>
      </c>
      <c r="B1458" t="s">
        <v>47</v>
      </c>
      <c r="C1458" s="2">
        <v>0.01</v>
      </c>
      <c r="D1458" s="2">
        <v>500.98</v>
      </c>
      <c r="E1458" s="2">
        <v>56</v>
      </c>
      <c r="F1458">
        <v>2570</v>
      </c>
      <c r="G1458" t="s">
        <v>2382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2383</v>
      </c>
      <c r="S1458">
        <v>95616</v>
      </c>
      <c r="T1458" s="1">
        <v>42119</v>
      </c>
      <c r="U1458" s="1">
        <v>42120</v>
      </c>
      <c r="V1458" s="2">
        <v>4899.1288000000004</v>
      </c>
      <c r="W1458">
        <v>14</v>
      </c>
      <c r="X1458" s="2">
        <v>7429.63</v>
      </c>
      <c r="Y1458">
        <v>90327</v>
      </c>
      <c r="Z1458">
        <f t="shared" si="22"/>
        <v>104014.82</v>
      </c>
    </row>
    <row r="1459" spans="1:26" x14ac:dyDescent="0.25">
      <c r="A1459">
        <v>25097</v>
      </c>
      <c r="B1459" t="s">
        <v>47</v>
      </c>
      <c r="C1459" s="2">
        <v>0.02</v>
      </c>
      <c r="D1459" s="2">
        <v>12.58</v>
      </c>
      <c r="E1459" s="2">
        <v>5.16</v>
      </c>
      <c r="F1459">
        <v>2570</v>
      </c>
      <c r="G1459" t="s">
        <v>2382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2384</v>
      </c>
      <c r="N1459">
        <v>0.43</v>
      </c>
      <c r="O1459" t="s">
        <v>33</v>
      </c>
      <c r="P1459" t="s">
        <v>34</v>
      </c>
      <c r="Q1459" t="s">
        <v>45</v>
      </c>
      <c r="R1459" t="s">
        <v>2383</v>
      </c>
      <c r="S1459">
        <v>95616</v>
      </c>
      <c r="T1459" s="1">
        <v>42119</v>
      </c>
      <c r="U1459" s="1">
        <v>42119</v>
      </c>
      <c r="V1459" s="2">
        <v>44.712000000000003</v>
      </c>
      <c r="W1459">
        <v>18</v>
      </c>
      <c r="X1459" s="2">
        <v>224.29</v>
      </c>
      <c r="Y1459">
        <v>90327</v>
      </c>
      <c r="Z1459">
        <f t="shared" si="22"/>
        <v>4037.22</v>
      </c>
    </row>
    <row r="1460" spans="1:26" x14ac:dyDescent="0.25">
      <c r="A1460">
        <v>25098</v>
      </c>
      <c r="B1460" t="s">
        <v>47</v>
      </c>
      <c r="C1460" s="2">
        <v>0.1</v>
      </c>
      <c r="D1460" s="2">
        <v>7.7</v>
      </c>
      <c r="E1460" s="2">
        <v>3.68</v>
      </c>
      <c r="F1460">
        <v>2570</v>
      </c>
      <c r="G1460" t="s">
        <v>2382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2385</v>
      </c>
      <c r="N1460">
        <v>0.52</v>
      </c>
      <c r="O1460" t="s">
        <v>33</v>
      </c>
      <c r="P1460" t="s">
        <v>34</v>
      </c>
      <c r="Q1460" t="s">
        <v>45</v>
      </c>
      <c r="R1460" t="s">
        <v>2383</v>
      </c>
      <c r="S1460">
        <v>95616</v>
      </c>
      <c r="T1460" s="1">
        <v>42119</v>
      </c>
      <c r="U1460" s="1">
        <v>42120</v>
      </c>
      <c r="V1460" s="2">
        <v>-22.626000000000001</v>
      </c>
      <c r="W1460">
        <v>7</v>
      </c>
      <c r="X1460" s="2">
        <v>51.2</v>
      </c>
      <c r="Y1460">
        <v>90327</v>
      </c>
      <c r="Z1460">
        <f t="shared" si="22"/>
        <v>358.40000000000003</v>
      </c>
    </row>
    <row r="1461" spans="1:26" x14ac:dyDescent="0.25">
      <c r="A1461">
        <v>7096</v>
      </c>
      <c r="B1461" t="s">
        <v>47</v>
      </c>
      <c r="C1461" s="2">
        <v>0.01</v>
      </c>
      <c r="D1461" s="2">
        <v>500.98</v>
      </c>
      <c r="E1461" s="2">
        <v>56</v>
      </c>
      <c r="F1461">
        <v>2571</v>
      </c>
      <c r="G1461" t="s">
        <v>2386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1">
        <v>42119</v>
      </c>
      <c r="U1461" s="1">
        <v>42120</v>
      </c>
      <c r="V1461" s="2">
        <v>4260.1120000000001</v>
      </c>
      <c r="W1461">
        <v>56</v>
      </c>
      <c r="X1461" s="2">
        <v>29718.53</v>
      </c>
      <c r="Y1461">
        <v>50656</v>
      </c>
      <c r="Z1461">
        <f t="shared" si="22"/>
        <v>1664237.68</v>
      </c>
    </row>
    <row r="1462" spans="1:26" x14ac:dyDescent="0.25">
      <c r="A1462">
        <v>7098</v>
      </c>
      <c r="B1462" t="s">
        <v>47</v>
      </c>
      <c r="C1462" s="2">
        <v>0.1</v>
      </c>
      <c r="D1462" s="2">
        <v>7.7</v>
      </c>
      <c r="E1462" s="2">
        <v>3.68</v>
      </c>
      <c r="F1462">
        <v>2571</v>
      </c>
      <c r="G1462" t="s">
        <v>2386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2385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1">
        <v>42119</v>
      </c>
      <c r="U1462" s="1">
        <v>42120</v>
      </c>
      <c r="V1462" s="2">
        <v>-25.14</v>
      </c>
      <c r="W1462">
        <v>27</v>
      </c>
      <c r="X1462" s="2">
        <v>197.48</v>
      </c>
      <c r="Y1462">
        <v>50656</v>
      </c>
      <c r="Z1462">
        <f t="shared" si="22"/>
        <v>5331.96</v>
      </c>
    </row>
    <row r="1463" spans="1:26" x14ac:dyDescent="0.25">
      <c r="A1463">
        <v>20938</v>
      </c>
      <c r="B1463" t="s">
        <v>106</v>
      </c>
      <c r="C1463" s="2">
        <v>0.04</v>
      </c>
      <c r="D1463" s="2">
        <v>8.6</v>
      </c>
      <c r="E1463" s="2">
        <v>6.19</v>
      </c>
      <c r="F1463">
        <v>2578</v>
      </c>
      <c r="G1463" t="s">
        <v>2387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915</v>
      </c>
      <c r="N1463">
        <v>0.38</v>
      </c>
      <c r="O1463" t="s">
        <v>33</v>
      </c>
      <c r="P1463" t="s">
        <v>135</v>
      </c>
      <c r="Q1463" t="s">
        <v>1266</v>
      </c>
      <c r="R1463" t="s">
        <v>2388</v>
      </c>
      <c r="S1463">
        <v>36801</v>
      </c>
      <c r="T1463" s="1">
        <v>42126</v>
      </c>
      <c r="U1463" s="1">
        <v>42128</v>
      </c>
      <c r="V1463" s="2">
        <v>309.71159999999998</v>
      </c>
      <c r="W1463">
        <v>5</v>
      </c>
      <c r="X1463" s="2">
        <v>46.85</v>
      </c>
      <c r="Y1463">
        <v>88298</v>
      </c>
      <c r="Z1463">
        <f t="shared" si="22"/>
        <v>234.25</v>
      </c>
    </row>
    <row r="1464" spans="1:26" x14ac:dyDescent="0.25">
      <c r="A1464">
        <v>20939</v>
      </c>
      <c r="B1464" t="s">
        <v>106</v>
      </c>
      <c r="C1464" s="2">
        <v>0.01</v>
      </c>
      <c r="D1464" s="2">
        <v>3.58</v>
      </c>
      <c r="E1464" s="2">
        <v>1.63</v>
      </c>
      <c r="F1464">
        <v>2578</v>
      </c>
      <c r="G1464" t="s">
        <v>2387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135</v>
      </c>
      <c r="Q1464" t="s">
        <v>1266</v>
      </c>
      <c r="R1464" t="s">
        <v>2388</v>
      </c>
      <c r="S1464">
        <v>36801</v>
      </c>
      <c r="T1464" s="1">
        <v>42126</v>
      </c>
      <c r="U1464" s="1">
        <v>42130</v>
      </c>
      <c r="V1464" s="2">
        <v>-128.85599999999999</v>
      </c>
      <c r="W1464">
        <v>26</v>
      </c>
      <c r="X1464" s="2">
        <v>93.57</v>
      </c>
      <c r="Y1464">
        <v>88298</v>
      </c>
      <c r="Z1464">
        <f t="shared" si="22"/>
        <v>2432.8199999999997</v>
      </c>
    </row>
    <row r="1465" spans="1:26" x14ac:dyDescent="0.25">
      <c r="A1465">
        <v>20940</v>
      </c>
      <c r="B1465" t="s">
        <v>106</v>
      </c>
      <c r="C1465" s="2">
        <v>0.08</v>
      </c>
      <c r="D1465" s="2">
        <v>105.49</v>
      </c>
      <c r="E1465" s="2">
        <v>41.64</v>
      </c>
      <c r="F1465">
        <v>2578</v>
      </c>
      <c r="G1465" t="s">
        <v>2387</v>
      </c>
      <c r="H1465" t="s">
        <v>39</v>
      </c>
      <c r="I1465" t="s">
        <v>40</v>
      </c>
      <c r="J1465" t="s">
        <v>41</v>
      </c>
      <c r="K1465" t="s">
        <v>150</v>
      </c>
      <c r="L1465" t="s">
        <v>120</v>
      </c>
      <c r="M1465" t="s">
        <v>2389</v>
      </c>
      <c r="N1465">
        <v>0.75</v>
      </c>
      <c r="O1465" t="s">
        <v>33</v>
      </c>
      <c r="P1465" t="s">
        <v>135</v>
      </c>
      <c r="Q1465" t="s">
        <v>1266</v>
      </c>
      <c r="R1465" t="s">
        <v>2388</v>
      </c>
      <c r="S1465">
        <v>36801</v>
      </c>
      <c r="T1465" s="1">
        <v>42126</v>
      </c>
      <c r="U1465" s="1">
        <v>42133</v>
      </c>
      <c r="V1465" s="2">
        <v>-36.945999999999998</v>
      </c>
      <c r="W1465">
        <v>34</v>
      </c>
      <c r="X1465" s="2">
        <v>2694.49</v>
      </c>
      <c r="Y1465">
        <v>88298</v>
      </c>
      <c r="Z1465">
        <f t="shared" si="22"/>
        <v>91612.659999999989</v>
      </c>
    </row>
    <row r="1466" spans="1:26" x14ac:dyDescent="0.25">
      <c r="A1466">
        <v>23705</v>
      </c>
      <c r="B1466" t="s">
        <v>25</v>
      </c>
      <c r="C1466" s="2">
        <v>0.09</v>
      </c>
      <c r="D1466" s="2">
        <v>212.6</v>
      </c>
      <c r="E1466" s="2">
        <v>52.2</v>
      </c>
      <c r="F1466">
        <v>2579</v>
      </c>
      <c r="G1466" t="s">
        <v>2390</v>
      </c>
      <c r="H1466" t="s">
        <v>39</v>
      </c>
      <c r="I1466" t="s">
        <v>40</v>
      </c>
      <c r="J1466" t="s">
        <v>41</v>
      </c>
      <c r="K1466" t="s">
        <v>150</v>
      </c>
      <c r="L1466" t="s">
        <v>120</v>
      </c>
      <c r="M1466" t="s">
        <v>1336</v>
      </c>
      <c r="N1466">
        <v>0.64</v>
      </c>
      <c r="O1466" t="s">
        <v>33</v>
      </c>
      <c r="P1466" t="s">
        <v>135</v>
      </c>
      <c r="Q1466" t="s">
        <v>1266</v>
      </c>
      <c r="R1466" t="s">
        <v>2391</v>
      </c>
      <c r="S1466">
        <v>36869</v>
      </c>
      <c r="T1466" s="1">
        <v>42007</v>
      </c>
      <c r="U1466" s="1">
        <v>42008</v>
      </c>
      <c r="V1466" s="2">
        <v>-274.49799999999999</v>
      </c>
      <c r="W1466">
        <v>1</v>
      </c>
      <c r="X1466" s="2">
        <v>174.5</v>
      </c>
      <c r="Y1466">
        <v>88296</v>
      </c>
      <c r="Z1466">
        <f t="shared" si="22"/>
        <v>174.5</v>
      </c>
    </row>
    <row r="1467" spans="1:26" x14ac:dyDescent="0.25">
      <c r="A1467">
        <v>22508</v>
      </c>
      <c r="B1467" t="s">
        <v>56</v>
      </c>
      <c r="C1467" s="2">
        <v>7.0000000000000007E-2</v>
      </c>
      <c r="D1467" s="2">
        <v>1.76</v>
      </c>
      <c r="E1467" s="2">
        <v>4.8600000000000003</v>
      </c>
      <c r="F1467">
        <v>2579</v>
      </c>
      <c r="G1467" t="s">
        <v>2390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1760</v>
      </c>
      <c r="N1467">
        <v>0.41</v>
      </c>
      <c r="O1467" t="s">
        <v>33</v>
      </c>
      <c r="P1467" t="s">
        <v>135</v>
      </c>
      <c r="Q1467" t="s">
        <v>1266</v>
      </c>
      <c r="R1467" t="s">
        <v>2391</v>
      </c>
      <c r="S1467">
        <v>36869</v>
      </c>
      <c r="T1467" s="1">
        <v>42021</v>
      </c>
      <c r="U1467" s="1">
        <v>42021</v>
      </c>
      <c r="V1467" s="2">
        <v>0.58799999999999997</v>
      </c>
      <c r="W1467">
        <v>15</v>
      </c>
      <c r="X1467" s="2">
        <v>26.01</v>
      </c>
      <c r="Y1467">
        <v>88297</v>
      </c>
      <c r="Z1467">
        <f t="shared" si="22"/>
        <v>390.15000000000003</v>
      </c>
    </row>
    <row r="1468" spans="1:26" x14ac:dyDescent="0.25">
      <c r="A1468">
        <v>19123</v>
      </c>
      <c r="B1468" t="s">
        <v>56</v>
      </c>
      <c r="C1468" s="2">
        <v>0.04</v>
      </c>
      <c r="D1468" s="2">
        <v>510.14</v>
      </c>
      <c r="E1468" s="2">
        <v>14.7</v>
      </c>
      <c r="F1468">
        <v>2583</v>
      </c>
      <c r="G1468" t="s">
        <v>2392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2393</v>
      </c>
      <c r="N1468">
        <v>0.56000000000000005</v>
      </c>
      <c r="O1468" t="s">
        <v>33</v>
      </c>
      <c r="P1468" t="s">
        <v>61</v>
      </c>
      <c r="Q1468" t="s">
        <v>295</v>
      </c>
      <c r="R1468" t="s">
        <v>2394</v>
      </c>
      <c r="S1468">
        <v>49423</v>
      </c>
      <c r="T1468" s="1">
        <v>42162</v>
      </c>
      <c r="U1468" s="1">
        <v>42164</v>
      </c>
      <c r="V1468" s="2">
        <v>-251.40389999999999</v>
      </c>
      <c r="W1468">
        <v>3</v>
      </c>
      <c r="X1468" s="2">
        <v>1527.97</v>
      </c>
      <c r="Y1468">
        <v>89657</v>
      </c>
      <c r="Z1468">
        <f t="shared" si="22"/>
        <v>4583.91</v>
      </c>
    </row>
    <row r="1469" spans="1:26" x14ac:dyDescent="0.25">
      <c r="A1469">
        <v>19124</v>
      </c>
      <c r="B1469" t="s">
        <v>56</v>
      </c>
      <c r="C1469" s="2">
        <v>0</v>
      </c>
      <c r="D1469" s="2">
        <v>4.76</v>
      </c>
      <c r="E1469" s="2">
        <v>3.01</v>
      </c>
      <c r="F1469">
        <v>2583</v>
      </c>
      <c r="G1469" t="s">
        <v>2392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2395</v>
      </c>
      <c r="N1469">
        <v>0.36</v>
      </c>
      <c r="O1469" t="s">
        <v>33</v>
      </c>
      <c r="P1469" t="s">
        <v>61</v>
      </c>
      <c r="Q1469" t="s">
        <v>295</v>
      </c>
      <c r="R1469" t="s">
        <v>2394</v>
      </c>
      <c r="S1469">
        <v>49423</v>
      </c>
      <c r="T1469" s="1">
        <v>42162</v>
      </c>
      <c r="U1469" s="1">
        <v>42164</v>
      </c>
      <c r="V1469" s="2">
        <v>-2.3450000000000002</v>
      </c>
      <c r="W1469">
        <v>23</v>
      </c>
      <c r="X1469" s="2">
        <v>110.86</v>
      </c>
      <c r="Y1469">
        <v>89657</v>
      </c>
      <c r="Z1469">
        <f t="shared" si="22"/>
        <v>2549.7800000000002</v>
      </c>
    </row>
    <row r="1470" spans="1:26" x14ac:dyDescent="0.25">
      <c r="A1470">
        <v>19134</v>
      </c>
      <c r="B1470" t="s">
        <v>47</v>
      </c>
      <c r="C1470" s="2">
        <v>0.04</v>
      </c>
      <c r="D1470" s="2">
        <v>6.3</v>
      </c>
      <c r="E1470" s="2">
        <v>0.5</v>
      </c>
      <c r="F1470">
        <v>2584</v>
      </c>
      <c r="G1470" t="s">
        <v>2396</v>
      </c>
      <c r="H1470" t="s">
        <v>49</v>
      </c>
      <c r="I1470" t="s">
        <v>40</v>
      </c>
      <c r="J1470" t="s">
        <v>29</v>
      </c>
      <c r="K1470" t="s">
        <v>133</v>
      </c>
      <c r="L1470" t="s">
        <v>59</v>
      </c>
      <c r="M1470" t="s">
        <v>1147</v>
      </c>
      <c r="N1470">
        <v>0.39</v>
      </c>
      <c r="O1470" t="s">
        <v>33</v>
      </c>
      <c r="P1470" t="s">
        <v>61</v>
      </c>
      <c r="Q1470" t="s">
        <v>295</v>
      </c>
      <c r="R1470" t="s">
        <v>2397</v>
      </c>
      <c r="S1470">
        <v>48141</v>
      </c>
      <c r="T1470" s="1">
        <v>42164</v>
      </c>
      <c r="U1470" s="1">
        <v>42166</v>
      </c>
      <c r="V1470" s="2">
        <v>67.606200000000001</v>
      </c>
      <c r="W1470">
        <v>15</v>
      </c>
      <c r="X1470" s="2">
        <v>97.98</v>
      </c>
      <c r="Y1470">
        <v>89658</v>
      </c>
      <c r="Z1470">
        <f t="shared" si="22"/>
        <v>1469.7</v>
      </c>
    </row>
    <row r="1471" spans="1:26" x14ac:dyDescent="0.25">
      <c r="A1471">
        <v>20976</v>
      </c>
      <c r="B1471" t="s">
        <v>56</v>
      </c>
      <c r="C1471" s="2">
        <v>0.01</v>
      </c>
      <c r="D1471" s="2">
        <v>6.48</v>
      </c>
      <c r="E1471" s="2">
        <v>6.57</v>
      </c>
      <c r="F1471">
        <v>2587</v>
      </c>
      <c r="G1471" t="s">
        <v>2398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2399</v>
      </c>
      <c r="N1471">
        <v>0.37</v>
      </c>
      <c r="O1471" t="s">
        <v>33</v>
      </c>
      <c r="P1471" t="s">
        <v>61</v>
      </c>
      <c r="Q1471" t="s">
        <v>1843</v>
      </c>
      <c r="R1471" t="s">
        <v>2400</v>
      </c>
      <c r="S1471">
        <v>54220</v>
      </c>
      <c r="T1471" s="1">
        <v>42063</v>
      </c>
      <c r="U1471" s="1">
        <v>42063</v>
      </c>
      <c r="V1471" s="2">
        <v>-46.5244</v>
      </c>
      <c r="W1471">
        <v>18</v>
      </c>
      <c r="X1471" s="2">
        <v>127.83</v>
      </c>
      <c r="Y1471">
        <v>91166</v>
      </c>
      <c r="Z1471">
        <f t="shared" si="22"/>
        <v>2300.94</v>
      </c>
    </row>
    <row r="1472" spans="1:26" x14ac:dyDescent="0.25">
      <c r="A1472">
        <v>20810</v>
      </c>
      <c r="B1472" t="s">
        <v>37</v>
      </c>
      <c r="C1472" s="2">
        <v>0.02</v>
      </c>
      <c r="D1472" s="2">
        <v>22.72</v>
      </c>
      <c r="E1472" s="2">
        <v>8.99</v>
      </c>
      <c r="F1472">
        <v>2587</v>
      </c>
      <c r="G1472" t="s">
        <v>2398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773</v>
      </c>
      <c r="N1472">
        <v>0.44</v>
      </c>
      <c r="O1472" t="s">
        <v>33</v>
      </c>
      <c r="P1472" t="s">
        <v>61</v>
      </c>
      <c r="Q1472" t="s">
        <v>1843</v>
      </c>
      <c r="R1472" t="s">
        <v>2400</v>
      </c>
      <c r="S1472">
        <v>54220</v>
      </c>
      <c r="T1472" s="1">
        <v>42181</v>
      </c>
      <c r="U1472" s="1">
        <v>42181</v>
      </c>
      <c r="V1472" s="2">
        <v>200.0172</v>
      </c>
      <c r="W1472">
        <v>12</v>
      </c>
      <c r="X1472" s="2">
        <v>289.88</v>
      </c>
      <c r="Y1472">
        <v>91167</v>
      </c>
      <c r="Z1472">
        <f t="shared" si="22"/>
        <v>3478.56</v>
      </c>
    </row>
    <row r="1473" spans="1:26" x14ac:dyDescent="0.25">
      <c r="A1473">
        <v>22275</v>
      </c>
      <c r="B1473" t="s">
        <v>106</v>
      </c>
      <c r="C1473" s="2">
        <v>0.02</v>
      </c>
      <c r="D1473" s="2">
        <v>419.19</v>
      </c>
      <c r="E1473" s="2">
        <v>19.989999999999998</v>
      </c>
      <c r="F1473">
        <v>2593</v>
      </c>
      <c r="G1473" t="s">
        <v>2401</v>
      </c>
      <c r="H1473" t="s">
        <v>49</v>
      </c>
      <c r="I1473" t="s">
        <v>28</v>
      </c>
      <c r="J1473" t="s">
        <v>29</v>
      </c>
      <c r="K1473" t="s">
        <v>139</v>
      </c>
      <c r="L1473" t="s">
        <v>59</v>
      </c>
      <c r="M1473" t="s">
        <v>733</v>
      </c>
      <c r="N1473">
        <v>0.57999999999999996</v>
      </c>
      <c r="O1473" t="s">
        <v>33</v>
      </c>
      <c r="P1473" t="s">
        <v>135</v>
      </c>
      <c r="Q1473" t="s">
        <v>381</v>
      </c>
      <c r="R1473" t="s">
        <v>2402</v>
      </c>
      <c r="S1473">
        <v>30605</v>
      </c>
      <c r="T1473" s="1">
        <v>42111</v>
      </c>
      <c r="U1473" s="1">
        <v>42111</v>
      </c>
      <c r="V1473" s="2">
        <v>-39.606000000000002</v>
      </c>
      <c r="W1473">
        <v>10</v>
      </c>
      <c r="X1473" s="2">
        <v>4354.55</v>
      </c>
      <c r="Y1473">
        <v>87772</v>
      </c>
      <c r="Z1473">
        <f t="shared" si="22"/>
        <v>43545.5</v>
      </c>
    </row>
    <row r="1474" spans="1:26" x14ac:dyDescent="0.25">
      <c r="A1474">
        <v>23765</v>
      </c>
      <c r="B1474" t="s">
        <v>106</v>
      </c>
      <c r="C1474" s="2">
        <v>0.01</v>
      </c>
      <c r="D1474" s="2">
        <v>85.99</v>
      </c>
      <c r="E1474" s="2">
        <v>0.99</v>
      </c>
      <c r="F1474">
        <v>2593</v>
      </c>
      <c r="G1474" t="s">
        <v>2401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476</v>
      </c>
      <c r="N1474">
        <v>0.85</v>
      </c>
      <c r="O1474" t="s">
        <v>33</v>
      </c>
      <c r="P1474" t="s">
        <v>135</v>
      </c>
      <c r="Q1474" t="s">
        <v>381</v>
      </c>
      <c r="R1474" t="s">
        <v>2402</v>
      </c>
      <c r="S1474">
        <v>30605</v>
      </c>
      <c r="T1474" s="1">
        <v>42075</v>
      </c>
      <c r="U1474" s="1">
        <v>42080</v>
      </c>
      <c r="V1474" s="2">
        <v>311.73</v>
      </c>
      <c r="W1474">
        <v>2</v>
      </c>
      <c r="X1474" s="2">
        <v>146.16999999999999</v>
      </c>
      <c r="Y1474">
        <v>87773</v>
      </c>
      <c r="Z1474">
        <f t="shared" si="22"/>
        <v>292.33999999999997</v>
      </c>
    </row>
    <row r="1475" spans="1:26" x14ac:dyDescent="0.25">
      <c r="A1475">
        <v>19859</v>
      </c>
      <c r="B1475" t="s">
        <v>106</v>
      </c>
      <c r="C1475" s="2">
        <v>0.05</v>
      </c>
      <c r="D1475" s="2">
        <v>5.74</v>
      </c>
      <c r="E1475" s="2">
        <v>5.3</v>
      </c>
      <c r="F1475">
        <v>2601</v>
      </c>
      <c r="G1475" t="s">
        <v>2403</v>
      </c>
      <c r="H1475" t="s">
        <v>49</v>
      </c>
      <c r="I1475" t="s">
        <v>28</v>
      </c>
      <c r="J1475" t="s">
        <v>29</v>
      </c>
      <c r="K1475" t="s">
        <v>171</v>
      </c>
      <c r="L1475" t="s">
        <v>51</v>
      </c>
      <c r="M1475" t="s">
        <v>2404</v>
      </c>
      <c r="N1475">
        <v>0.55000000000000004</v>
      </c>
      <c r="O1475" t="s">
        <v>33</v>
      </c>
      <c r="P1475" t="s">
        <v>53</v>
      </c>
      <c r="Q1475" t="s">
        <v>193</v>
      </c>
      <c r="R1475" t="s">
        <v>2405</v>
      </c>
      <c r="S1475">
        <v>3054</v>
      </c>
      <c r="T1475" s="1">
        <v>42084</v>
      </c>
      <c r="U1475" s="1">
        <v>42089</v>
      </c>
      <c r="V1475" s="2">
        <v>-50.75</v>
      </c>
      <c r="W1475">
        <v>7</v>
      </c>
      <c r="X1475" s="2">
        <v>42.02</v>
      </c>
      <c r="Y1475">
        <v>87382</v>
      </c>
      <c r="Z1475">
        <f t="shared" ref="Z1475:Z1538" si="23">W1475*X1475</f>
        <v>294.14000000000004</v>
      </c>
    </row>
    <row r="1476" spans="1:26" x14ac:dyDescent="0.25">
      <c r="A1476">
        <v>20849</v>
      </c>
      <c r="B1476" t="s">
        <v>47</v>
      </c>
      <c r="C1476" s="2">
        <v>7.0000000000000007E-2</v>
      </c>
      <c r="D1476" s="2">
        <v>200.99</v>
      </c>
      <c r="E1476" s="2">
        <v>4.2</v>
      </c>
      <c r="F1476">
        <v>2603</v>
      </c>
      <c r="G1476" t="s">
        <v>2406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541</v>
      </c>
      <c r="N1476">
        <v>0.59</v>
      </c>
      <c r="O1476" t="s">
        <v>33</v>
      </c>
      <c r="P1476" t="s">
        <v>53</v>
      </c>
      <c r="Q1476" t="s">
        <v>54</v>
      </c>
      <c r="R1476" t="s">
        <v>2407</v>
      </c>
      <c r="S1476">
        <v>7601</v>
      </c>
      <c r="T1476" s="1">
        <v>42099</v>
      </c>
      <c r="U1476" s="1">
        <v>42100</v>
      </c>
      <c r="V1476" s="2">
        <v>2225.0761200000002</v>
      </c>
      <c r="W1476">
        <v>22</v>
      </c>
      <c r="X1476" s="2">
        <v>3705.14</v>
      </c>
      <c r="Y1476">
        <v>87383</v>
      </c>
      <c r="Z1476">
        <f t="shared" si="23"/>
        <v>81513.08</v>
      </c>
    </row>
    <row r="1477" spans="1:26" x14ac:dyDescent="0.25">
      <c r="A1477">
        <v>20850</v>
      </c>
      <c r="B1477" t="s">
        <v>47</v>
      </c>
      <c r="C1477" s="2">
        <v>0.01</v>
      </c>
      <c r="D1477" s="2">
        <v>297.48</v>
      </c>
      <c r="E1477" s="2">
        <v>18.059999999999999</v>
      </c>
      <c r="F1477">
        <v>2604</v>
      </c>
      <c r="G1477" t="s">
        <v>2408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558</v>
      </c>
      <c r="N1477">
        <v>0.6</v>
      </c>
      <c r="O1477" t="s">
        <v>33</v>
      </c>
      <c r="P1477" t="s">
        <v>53</v>
      </c>
      <c r="Q1477" t="s">
        <v>54</v>
      </c>
      <c r="R1477" t="s">
        <v>2409</v>
      </c>
      <c r="S1477">
        <v>8830</v>
      </c>
      <c r="T1477" s="1">
        <v>42099</v>
      </c>
      <c r="U1477" s="1">
        <v>42100</v>
      </c>
      <c r="V1477" s="2">
        <v>-338.18083200000001</v>
      </c>
      <c r="W1477">
        <v>3</v>
      </c>
      <c r="X1477" s="2">
        <v>945.36</v>
      </c>
      <c r="Y1477">
        <v>87383</v>
      </c>
      <c r="Z1477">
        <f t="shared" si="23"/>
        <v>2836.08</v>
      </c>
    </row>
    <row r="1478" spans="1:26" x14ac:dyDescent="0.25">
      <c r="A1478">
        <v>18046</v>
      </c>
      <c r="B1478" t="s">
        <v>25</v>
      </c>
      <c r="C1478" s="2">
        <v>0.09</v>
      </c>
      <c r="D1478" s="2">
        <v>5.4</v>
      </c>
      <c r="E1478" s="2">
        <v>7.78</v>
      </c>
      <c r="F1478">
        <v>2610</v>
      </c>
      <c r="G1478" t="s">
        <v>2410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305</v>
      </c>
      <c r="N1478">
        <v>0.37</v>
      </c>
      <c r="O1478" t="s">
        <v>33</v>
      </c>
      <c r="P1478" t="s">
        <v>34</v>
      </c>
      <c r="Q1478" t="s">
        <v>45</v>
      </c>
      <c r="R1478" t="s">
        <v>2383</v>
      </c>
      <c r="S1478">
        <v>95616</v>
      </c>
      <c r="T1478" s="1">
        <v>42140</v>
      </c>
      <c r="U1478" s="1">
        <v>42141</v>
      </c>
      <c r="V1478" s="2">
        <v>-136.25200000000001</v>
      </c>
      <c r="W1478">
        <v>9</v>
      </c>
      <c r="X1478" s="2">
        <v>49.24</v>
      </c>
      <c r="Y1478">
        <v>86118</v>
      </c>
      <c r="Z1478">
        <f t="shared" si="23"/>
        <v>443.16</v>
      </c>
    </row>
    <row r="1479" spans="1:26" x14ac:dyDescent="0.25">
      <c r="A1479">
        <v>19971</v>
      </c>
      <c r="B1479" t="s">
        <v>106</v>
      </c>
      <c r="C1479" s="2">
        <v>0.02</v>
      </c>
      <c r="D1479" s="2">
        <v>50.98</v>
      </c>
      <c r="E1479" s="2">
        <v>13.66</v>
      </c>
      <c r="F1479">
        <v>2613</v>
      </c>
      <c r="G1479" t="s">
        <v>2411</v>
      </c>
      <c r="H1479" t="s">
        <v>27</v>
      </c>
      <c r="I1479" t="s">
        <v>28</v>
      </c>
      <c r="J1479" t="s">
        <v>29</v>
      </c>
      <c r="K1479" t="s">
        <v>252</v>
      </c>
      <c r="L1479" t="s">
        <v>59</v>
      </c>
      <c r="M1479" t="s">
        <v>2412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2413</v>
      </c>
      <c r="S1479">
        <v>8863</v>
      </c>
      <c r="T1479" s="1">
        <v>42028</v>
      </c>
      <c r="U1479" s="1">
        <v>42028</v>
      </c>
      <c r="V1479" s="2">
        <v>-25.76</v>
      </c>
      <c r="W1479">
        <v>1</v>
      </c>
      <c r="X1479" s="2">
        <v>68.45</v>
      </c>
      <c r="Y1479">
        <v>86119</v>
      </c>
      <c r="Z1479">
        <f t="shared" si="23"/>
        <v>68.45</v>
      </c>
    </row>
    <row r="1480" spans="1:26" x14ac:dyDescent="0.25">
      <c r="A1480">
        <v>25962</v>
      </c>
      <c r="B1480" t="s">
        <v>47</v>
      </c>
      <c r="C1480" s="2">
        <v>0</v>
      </c>
      <c r="D1480" s="2">
        <v>2.6</v>
      </c>
      <c r="E1480" s="2">
        <v>2.4</v>
      </c>
      <c r="F1480">
        <v>2616</v>
      </c>
      <c r="G1480" t="s">
        <v>2414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1013</v>
      </c>
      <c r="N1480">
        <v>0.57999999999999996</v>
      </c>
      <c r="O1480" t="s">
        <v>33</v>
      </c>
      <c r="P1480" t="s">
        <v>61</v>
      </c>
      <c r="Q1480" t="s">
        <v>295</v>
      </c>
      <c r="R1480" t="s">
        <v>2415</v>
      </c>
      <c r="S1480">
        <v>49002</v>
      </c>
      <c r="T1480" s="1">
        <v>42074</v>
      </c>
      <c r="U1480" s="1">
        <v>42076</v>
      </c>
      <c r="V1480" s="2">
        <v>-45.21</v>
      </c>
      <c r="W1480">
        <v>16</v>
      </c>
      <c r="X1480" s="2">
        <v>44.75</v>
      </c>
      <c r="Y1480">
        <v>91495</v>
      </c>
      <c r="Z1480">
        <f t="shared" si="23"/>
        <v>716</v>
      </c>
    </row>
    <row r="1481" spans="1:26" x14ac:dyDescent="0.25">
      <c r="A1481">
        <v>25478</v>
      </c>
      <c r="B1481" t="s">
        <v>37</v>
      </c>
      <c r="C1481" s="2">
        <v>0.1</v>
      </c>
      <c r="D1481" s="2">
        <v>3.25</v>
      </c>
      <c r="E1481" s="2">
        <v>49</v>
      </c>
      <c r="F1481">
        <v>2617</v>
      </c>
      <c r="G1481" t="s">
        <v>2416</v>
      </c>
      <c r="H1481" t="s">
        <v>49</v>
      </c>
      <c r="I1481" t="s">
        <v>28</v>
      </c>
      <c r="J1481" t="s">
        <v>29</v>
      </c>
      <c r="K1481" t="s">
        <v>252</v>
      </c>
      <c r="L1481" t="s">
        <v>231</v>
      </c>
      <c r="M1481" t="s">
        <v>1875</v>
      </c>
      <c r="N1481">
        <v>0.56000000000000005</v>
      </c>
      <c r="O1481" t="s">
        <v>33</v>
      </c>
      <c r="P1481" t="s">
        <v>61</v>
      </c>
      <c r="Q1481" t="s">
        <v>2175</v>
      </c>
      <c r="R1481" t="s">
        <v>2417</v>
      </c>
      <c r="S1481">
        <v>57401</v>
      </c>
      <c r="T1481" s="1">
        <v>42182</v>
      </c>
      <c r="U1481" s="1">
        <v>42183</v>
      </c>
      <c r="V1481" s="2">
        <v>-286.245</v>
      </c>
      <c r="W1481">
        <v>6</v>
      </c>
      <c r="X1481" s="2">
        <v>40.69</v>
      </c>
      <c r="Y1481">
        <v>91496</v>
      </c>
      <c r="Z1481">
        <f t="shared" si="23"/>
        <v>244.14</v>
      </c>
    </row>
    <row r="1482" spans="1:26" x14ac:dyDescent="0.25">
      <c r="A1482">
        <v>6585</v>
      </c>
      <c r="B1482" t="s">
        <v>56</v>
      </c>
      <c r="C1482" s="2">
        <v>0.1</v>
      </c>
      <c r="D1482" s="2">
        <v>7.64</v>
      </c>
      <c r="E1482" s="2">
        <v>1.39</v>
      </c>
      <c r="F1482">
        <v>2618</v>
      </c>
      <c r="G1482" t="s">
        <v>2418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2419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1">
        <v>42021</v>
      </c>
      <c r="U1482" s="1">
        <v>42023</v>
      </c>
      <c r="V1482" s="2">
        <v>16.12</v>
      </c>
      <c r="W1482">
        <v>18</v>
      </c>
      <c r="X1482" s="2">
        <v>130.11000000000001</v>
      </c>
      <c r="Y1482">
        <v>46884</v>
      </c>
      <c r="Z1482">
        <f t="shared" si="23"/>
        <v>2341.9800000000005</v>
      </c>
    </row>
    <row r="1483" spans="1:26" x14ac:dyDescent="0.25">
      <c r="A1483">
        <v>6586</v>
      </c>
      <c r="B1483" t="s">
        <v>56</v>
      </c>
      <c r="C1483" s="2">
        <v>0</v>
      </c>
      <c r="D1483" s="2">
        <v>125.99</v>
      </c>
      <c r="E1483" s="2">
        <v>2.5</v>
      </c>
      <c r="F1483">
        <v>2618</v>
      </c>
      <c r="G1483" t="s">
        <v>2418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>
        <v>6162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1">
        <v>42021</v>
      </c>
      <c r="U1483" s="1">
        <v>42023</v>
      </c>
      <c r="V1483" s="2">
        <v>-815.9008</v>
      </c>
      <c r="W1483">
        <v>3</v>
      </c>
      <c r="X1483" s="2">
        <v>337.34</v>
      </c>
      <c r="Y1483">
        <v>46884</v>
      </c>
      <c r="Z1483">
        <f t="shared" si="23"/>
        <v>1012.02</v>
      </c>
    </row>
    <row r="1484" spans="1:26" x14ac:dyDescent="0.25">
      <c r="A1484">
        <v>6587</v>
      </c>
      <c r="B1484" t="s">
        <v>56</v>
      </c>
      <c r="C1484" s="2">
        <v>0.1</v>
      </c>
      <c r="D1484" s="2">
        <v>11.55</v>
      </c>
      <c r="E1484" s="2">
        <v>2.36</v>
      </c>
      <c r="F1484">
        <v>2618</v>
      </c>
      <c r="G1484" t="s">
        <v>2418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307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1">
        <v>42021</v>
      </c>
      <c r="U1484" s="1">
        <v>42022</v>
      </c>
      <c r="V1484" s="2">
        <v>15.808</v>
      </c>
      <c r="W1484">
        <v>25</v>
      </c>
      <c r="X1484" s="2">
        <v>280.43</v>
      </c>
      <c r="Y1484">
        <v>46884</v>
      </c>
      <c r="Z1484">
        <f t="shared" si="23"/>
        <v>7010.75</v>
      </c>
    </row>
    <row r="1485" spans="1:26" x14ac:dyDescent="0.25">
      <c r="A1485">
        <v>4788</v>
      </c>
      <c r="B1485" t="s">
        <v>25</v>
      </c>
      <c r="C1485" s="2">
        <v>0.05</v>
      </c>
      <c r="D1485" s="2">
        <v>4.84</v>
      </c>
      <c r="E1485" s="2">
        <v>0.71</v>
      </c>
      <c r="F1485">
        <v>2618</v>
      </c>
      <c r="G1485" t="s">
        <v>2418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1463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1">
        <v>42086</v>
      </c>
      <c r="U1485" s="1">
        <v>42086</v>
      </c>
      <c r="V1485" s="2">
        <v>29.17</v>
      </c>
      <c r="W1485">
        <v>20</v>
      </c>
      <c r="X1485" s="2">
        <v>103.39</v>
      </c>
      <c r="Y1485">
        <v>34017</v>
      </c>
      <c r="Z1485">
        <f t="shared" si="23"/>
        <v>2067.8000000000002</v>
      </c>
    </row>
    <row r="1486" spans="1:26" x14ac:dyDescent="0.25">
      <c r="A1486">
        <v>4789</v>
      </c>
      <c r="B1486" t="s">
        <v>25</v>
      </c>
      <c r="C1486" s="2">
        <v>0.01</v>
      </c>
      <c r="D1486" s="2">
        <v>14.98</v>
      </c>
      <c r="E1486" s="2">
        <v>7.69</v>
      </c>
      <c r="F1486">
        <v>2618</v>
      </c>
      <c r="G1486" t="s">
        <v>2418</v>
      </c>
      <c r="H1486" t="s">
        <v>49</v>
      </c>
      <c r="I1486" t="s">
        <v>28</v>
      </c>
      <c r="J1486" t="s">
        <v>29</v>
      </c>
      <c r="K1486" t="s">
        <v>139</v>
      </c>
      <c r="L1486" t="s">
        <v>59</v>
      </c>
      <c r="M1486" t="s">
        <v>1722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1">
        <v>42086</v>
      </c>
      <c r="U1486" s="1">
        <v>42088</v>
      </c>
      <c r="V1486" s="2">
        <v>-48.97</v>
      </c>
      <c r="W1486">
        <v>28</v>
      </c>
      <c r="X1486" s="2">
        <v>435.39</v>
      </c>
      <c r="Y1486">
        <v>34017</v>
      </c>
      <c r="Z1486">
        <f t="shared" si="23"/>
        <v>12190.92</v>
      </c>
    </row>
    <row r="1487" spans="1:26" x14ac:dyDescent="0.25">
      <c r="A1487">
        <v>7452</v>
      </c>
      <c r="B1487" t="s">
        <v>47</v>
      </c>
      <c r="C1487" s="2">
        <v>0.1</v>
      </c>
      <c r="D1487" s="2">
        <v>20.27</v>
      </c>
      <c r="E1487" s="2">
        <v>3.99</v>
      </c>
      <c r="F1487">
        <v>2618</v>
      </c>
      <c r="G1487" t="s">
        <v>2418</v>
      </c>
      <c r="H1487" t="s">
        <v>49</v>
      </c>
      <c r="I1487" t="s">
        <v>28</v>
      </c>
      <c r="J1487" t="s">
        <v>29</v>
      </c>
      <c r="K1487" t="s">
        <v>252</v>
      </c>
      <c r="L1487" t="s">
        <v>59</v>
      </c>
      <c r="M1487" t="s">
        <v>1501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1">
        <v>42086</v>
      </c>
      <c r="U1487" s="1">
        <v>42087</v>
      </c>
      <c r="V1487" s="2">
        <v>84.05</v>
      </c>
      <c r="W1487">
        <v>53</v>
      </c>
      <c r="X1487" s="2">
        <v>1051.52</v>
      </c>
      <c r="Y1487">
        <v>53153</v>
      </c>
      <c r="Z1487">
        <f t="shared" si="23"/>
        <v>55730.559999999998</v>
      </c>
    </row>
    <row r="1488" spans="1:26" x14ac:dyDescent="0.25">
      <c r="A1488">
        <v>22788</v>
      </c>
      <c r="B1488" t="s">
        <v>25</v>
      </c>
      <c r="C1488" s="2">
        <v>0.05</v>
      </c>
      <c r="D1488" s="2">
        <v>4.84</v>
      </c>
      <c r="E1488" s="2">
        <v>0.71</v>
      </c>
      <c r="F1488">
        <v>2619</v>
      </c>
      <c r="G1488" t="s">
        <v>2420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1463</v>
      </c>
      <c r="N1488">
        <v>0.52</v>
      </c>
      <c r="O1488" t="s">
        <v>33</v>
      </c>
      <c r="P1488" t="s">
        <v>61</v>
      </c>
      <c r="Q1488" t="s">
        <v>2175</v>
      </c>
      <c r="R1488" t="s">
        <v>2421</v>
      </c>
      <c r="S1488">
        <v>57103</v>
      </c>
      <c r="T1488" s="1">
        <v>42086</v>
      </c>
      <c r="U1488" s="1">
        <v>42086</v>
      </c>
      <c r="V1488" s="2">
        <v>17.836500000000001</v>
      </c>
      <c r="W1488">
        <v>5</v>
      </c>
      <c r="X1488" s="2">
        <v>25.85</v>
      </c>
      <c r="Y1488">
        <v>88014</v>
      </c>
      <c r="Z1488">
        <f t="shared" si="23"/>
        <v>129.25</v>
      </c>
    </row>
    <row r="1489" spans="1:26" x14ac:dyDescent="0.25">
      <c r="A1489">
        <v>18461</v>
      </c>
      <c r="B1489" t="s">
        <v>37</v>
      </c>
      <c r="C1489" s="2">
        <v>0.1</v>
      </c>
      <c r="D1489" s="2">
        <v>30.98</v>
      </c>
      <c r="E1489" s="2">
        <v>8.99</v>
      </c>
      <c r="F1489">
        <v>2619</v>
      </c>
      <c r="G1489" t="s">
        <v>2420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1542</v>
      </c>
      <c r="N1489">
        <v>0.57999999999999996</v>
      </c>
      <c r="O1489" t="s">
        <v>33</v>
      </c>
      <c r="P1489" t="s">
        <v>61</v>
      </c>
      <c r="Q1489" t="s">
        <v>2175</v>
      </c>
      <c r="R1489" t="s">
        <v>2421</v>
      </c>
      <c r="S1489">
        <v>57103</v>
      </c>
      <c r="T1489" s="1">
        <v>42044</v>
      </c>
      <c r="U1489" s="1">
        <v>42046</v>
      </c>
      <c r="V1489" s="2">
        <v>-20.222799999999999</v>
      </c>
      <c r="W1489">
        <v>4</v>
      </c>
      <c r="X1489" s="2">
        <v>119.37</v>
      </c>
      <c r="Y1489">
        <v>88015</v>
      </c>
      <c r="Z1489">
        <f t="shared" si="23"/>
        <v>477.48</v>
      </c>
    </row>
    <row r="1490" spans="1:26" x14ac:dyDescent="0.25">
      <c r="A1490">
        <v>25452</v>
      </c>
      <c r="B1490" t="s">
        <v>47</v>
      </c>
      <c r="C1490" s="2">
        <v>0.1</v>
      </c>
      <c r="D1490" s="2">
        <v>20.27</v>
      </c>
      <c r="E1490" s="2">
        <v>3.99</v>
      </c>
      <c r="F1490">
        <v>2620</v>
      </c>
      <c r="G1490" t="s">
        <v>2422</v>
      </c>
      <c r="H1490" t="s">
        <v>49</v>
      </c>
      <c r="I1490" t="s">
        <v>28</v>
      </c>
      <c r="J1490" t="s">
        <v>29</v>
      </c>
      <c r="K1490" t="s">
        <v>252</v>
      </c>
      <c r="L1490" t="s">
        <v>59</v>
      </c>
      <c r="M1490" t="s">
        <v>1501</v>
      </c>
      <c r="N1490">
        <v>0.56999999999999995</v>
      </c>
      <c r="O1490" t="s">
        <v>33</v>
      </c>
      <c r="P1490" t="s">
        <v>135</v>
      </c>
      <c r="Q1490" t="s">
        <v>239</v>
      </c>
      <c r="R1490" t="s">
        <v>2423</v>
      </c>
      <c r="S1490">
        <v>38134</v>
      </c>
      <c r="T1490" s="1">
        <v>42086</v>
      </c>
      <c r="U1490" s="1">
        <v>42087</v>
      </c>
      <c r="V1490" s="2">
        <v>381.61799999999999</v>
      </c>
      <c r="W1490">
        <v>13</v>
      </c>
      <c r="X1490" s="2">
        <v>257.92</v>
      </c>
      <c r="Y1490">
        <v>88017</v>
      </c>
      <c r="Z1490">
        <f t="shared" si="23"/>
        <v>3352.96</v>
      </c>
    </row>
    <row r="1491" spans="1:26" x14ac:dyDescent="0.25">
      <c r="A1491">
        <v>26296</v>
      </c>
      <c r="B1491" t="s">
        <v>25</v>
      </c>
      <c r="C1491" s="2">
        <v>0.03</v>
      </c>
      <c r="D1491" s="2">
        <v>40.97</v>
      </c>
      <c r="E1491" s="2">
        <v>8.99</v>
      </c>
      <c r="F1491">
        <v>2621</v>
      </c>
      <c r="G1491" t="s">
        <v>2424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2425</v>
      </c>
      <c r="N1491">
        <v>0.59</v>
      </c>
      <c r="O1491" t="s">
        <v>33</v>
      </c>
      <c r="P1491" t="s">
        <v>135</v>
      </c>
      <c r="Q1491" t="s">
        <v>239</v>
      </c>
      <c r="R1491" t="s">
        <v>2426</v>
      </c>
      <c r="S1491">
        <v>37027</v>
      </c>
      <c r="T1491" s="1">
        <v>42082</v>
      </c>
      <c r="U1491" s="1">
        <v>42083</v>
      </c>
      <c r="V1491" s="2">
        <v>-177.05799999999999</v>
      </c>
      <c r="W1491">
        <v>5</v>
      </c>
      <c r="X1491" s="2">
        <v>207.22</v>
      </c>
      <c r="Y1491">
        <v>88016</v>
      </c>
      <c r="Z1491">
        <f t="shared" si="23"/>
        <v>1036.0999999999999</v>
      </c>
    </row>
    <row r="1492" spans="1:26" x14ac:dyDescent="0.25">
      <c r="A1492">
        <v>26032</v>
      </c>
      <c r="B1492" t="s">
        <v>25</v>
      </c>
      <c r="C1492" s="2">
        <v>0.1</v>
      </c>
      <c r="D1492" s="2">
        <v>41.94</v>
      </c>
      <c r="E1492" s="2">
        <v>2.99</v>
      </c>
      <c r="F1492">
        <v>2626</v>
      </c>
      <c r="G1492" t="s">
        <v>2427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2428</v>
      </c>
      <c r="N1492">
        <v>0.35</v>
      </c>
      <c r="O1492" t="s">
        <v>33</v>
      </c>
      <c r="P1492" t="s">
        <v>34</v>
      </c>
      <c r="Q1492" t="s">
        <v>45</v>
      </c>
      <c r="R1492" t="s">
        <v>1443</v>
      </c>
      <c r="S1492">
        <v>94025</v>
      </c>
      <c r="T1492" s="1">
        <v>42042</v>
      </c>
      <c r="U1492" s="1">
        <v>42043</v>
      </c>
      <c r="V1492" s="2">
        <v>164.08199999999999</v>
      </c>
      <c r="W1492">
        <v>6</v>
      </c>
      <c r="X1492" s="2">
        <v>237.8</v>
      </c>
      <c r="Y1492">
        <v>90927</v>
      </c>
      <c r="Z1492">
        <f t="shared" si="23"/>
        <v>1426.8000000000002</v>
      </c>
    </row>
    <row r="1493" spans="1:26" x14ac:dyDescent="0.25">
      <c r="A1493">
        <v>18623</v>
      </c>
      <c r="B1493" t="s">
        <v>56</v>
      </c>
      <c r="C1493" s="2">
        <v>0.02</v>
      </c>
      <c r="D1493" s="2">
        <v>30.53</v>
      </c>
      <c r="E1493" s="2">
        <v>19.989999999999998</v>
      </c>
      <c r="F1493">
        <v>2628</v>
      </c>
      <c r="G1493" t="s">
        <v>2429</v>
      </c>
      <c r="H1493" t="s">
        <v>27</v>
      </c>
      <c r="I1493" t="s">
        <v>28</v>
      </c>
      <c r="J1493" t="s">
        <v>29</v>
      </c>
      <c r="K1493" t="s">
        <v>133</v>
      </c>
      <c r="L1493" t="s">
        <v>59</v>
      </c>
      <c r="M1493" t="s">
        <v>689</v>
      </c>
      <c r="N1493">
        <v>0.39</v>
      </c>
      <c r="O1493" t="s">
        <v>33</v>
      </c>
      <c r="P1493" t="s">
        <v>61</v>
      </c>
      <c r="Q1493" t="s">
        <v>299</v>
      </c>
      <c r="R1493" t="s">
        <v>2270</v>
      </c>
      <c r="S1493">
        <v>73160</v>
      </c>
      <c r="T1493" s="1">
        <v>42021</v>
      </c>
      <c r="U1493" s="1">
        <v>42023</v>
      </c>
      <c r="V1493" s="2">
        <v>-54.63</v>
      </c>
      <c r="W1493">
        <v>14</v>
      </c>
      <c r="X1493" s="2">
        <v>448.47</v>
      </c>
      <c r="Y1493">
        <v>85916</v>
      </c>
      <c r="Z1493">
        <f t="shared" si="23"/>
        <v>6278.58</v>
      </c>
    </row>
    <row r="1494" spans="1:26" x14ac:dyDescent="0.25">
      <c r="A1494">
        <v>21981</v>
      </c>
      <c r="B1494" t="s">
        <v>47</v>
      </c>
      <c r="C1494" s="2">
        <v>0.01</v>
      </c>
      <c r="D1494" s="2">
        <v>194.3</v>
      </c>
      <c r="E1494" s="2">
        <v>11.54</v>
      </c>
      <c r="F1494">
        <v>2630</v>
      </c>
      <c r="G1494" t="s">
        <v>2430</v>
      </c>
      <c r="H1494" t="s">
        <v>49</v>
      </c>
      <c r="I1494" t="s">
        <v>58</v>
      </c>
      <c r="J1494" t="s">
        <v>41</v>
      </c>
      <c r="K1494" t="s">
        <v>50</v>
      </c>
      <c r="L1494" t="s">
        <v>231</v>
      </c>
      <c r="M1494" t="s">
        <v>1152</v>
      </c>
      <c r="N1494">
        <v>0.59</v>
      </c>
      <c r="O1494" t="s">
        <v>33</v>
      </c>
      <c r="P1494" t="s">
        <v>61</v>
      </c>
      <c r="Q1494" t="s">
        <v>299</v>
      </c>
      <c r="R1494" t="s">
        <v>2431</v>
      </c>
      <c r="S1494">
        <v>73071</v>
      </c>
      <c r="T1494" s="1">
        <v>42009</v>
      </c>
      <c r="U1494" s="1">
        <v>42011</v>
      </c>
      <c r="V1494" s="2">
        <v>690.17939999999999</v>
      </c>
      <c r="W1494">
        <v>5</v>
      </c>
      <c r="X1494" s="2">
        <v>1000.26</v>
      </c>
      <c r="Y1494">
        <v>85914</v>
      </c>
      <c r="Z1494">
        <f t="shared" si="23"/>
        <v>5001.3</v>
      </c>
    </row>
    <row r="1495" spans="1:26" x14ac:dyDescent="0.25">
      <c r="A1495">
        <v>21982</v>
      </c>
      <c r="B1495" t="s">
        <v>47</v>
      </c>
      <c r="C1495" s="2">
        <v>0.02</v>
      </c>
      <c r="D1495" s="2">
        <v>209.84</v>
      </c>
      <c r="E1495" s="2">
        <v>21.21</v>
      </c>
      <c r="F1495">
        <v>2630</v>
      </c>
      <c r="G1495" t="s">
        <v>2430</v>
      </c>
      <c r="H1495" t="s">
        <v>49</v>
      </c>
      <c r="I1495" t="s">
        <v>58</v>
      </c>
      <c r="J1495" t="s">
        <v>41</v>
      </c>
      <c r="K1495" t="s">
        <v>50</v>
      </c>
      <c r="L1495" t="s">
        <v>231</v>
      </c>
      <c r="M1495" t="s">
        <v>1151</v>
      </c>
      <c r="N1495">
        <v>0.59</v>
      </c>
      <c r="O1495" t="s">
        <v>33</v>
      </c>
      <c r="P1495" t="s">
        <v>61</v>
      </c>
      <c r="Q1495" t="s">
        <v>299</v>
      </c>
      <c r="R1495" t="s">
        <v>2431</v>
      </c>
      <c r="S1495">
        <v>73071</v>
      </c>
      <c r="T1495" s="1">
        <v>42009</v>
      </c>
      <c r="U1495" s="1">
        <v>42010</v>
      </c>
      <c r="V1495" s="2">
        <v>1507.6431</v>
      </c>
      <c r="W1495">
        <v>10</v>
      </c>
      <c r="X1495" s="2">
        <v>2184.9899999999998</v>
      </c>
      <c r="Y1495">
        <v>85914</v>
      </c>
      <c r="Z1495">
        <f t="shared" si="23"/>
        <v>21849.899999999998</v>
      </c>
    </row>
    <row r="1496" spans="1:26" x14ac:dyDescent="0.25">
      <c r="A1496">
        <v>21983</v>
      </c>
      <c r="B1496" t="s">
        <v>47</v>
      </c>
      <c r="C1496" s="2">
        <v>0</v>
      </c>
      <c r="D1496" s="2">
        <v>145.44999999999999</v>
      </c>
      <c r="E1496" s="2">
        <v>17.850000000000001</v>
      </c>
      <c r="F1496">
        <v>2630</v>
      </c>
      <c r="G1496" t="s">
        <v>2430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1064</v>
      </c>
      <c r="N1496">
        <v>0.56000000000000005</v>
      </c>
      <c r="O1496" t="s">
        <v>33</v>
      </c>
      <c r="P1496" t="s">
        <v>61</v>
      </c>
      <c r="Q1496" t="s">
        <v>299</v>
      </c>
      <c r="R1496" t="s">
        <v>2431</v>
      </c>
      <c r="S1496">
        <v>73071</v>
      </c>
      <c r="T1496" s="1">
        <v>42009</v>
      </c>
      <c r="U1496" s="1">
        <v>42011</v>
      </c>
      <c r="V1496" s="2">
        <v>801.74680000000001</v>
      </c>
      <c r="W1496">
        <v>8</v>
      </c>
      <c r="X1496" s="2">
        <v>1191.2</v>
      </c>
      <c r="Y1496">
        <v>85914</v>
      </c>
      <c r="Z1496">
        <f t="shared" si="23"/>
        <v>9529.6</v>
      </c>
    </row>
    <row r="1497" spans="1:26" x14ac:dyDescent="0.25">
      <c r="A1497">
        <v>22540</v>
      </c>
      <c r="B1497" t="s">
        <v>25</v>
      </c>
      <c r="C1497" s="2">
        <v>7.0000000000000007E-2</v>
      </c>
      <c r="D1497" s="2">
        <v>65.989999999999995</v>
      </c>
      <c r="E1497" s="2">
        <v>5.99</v>
      </c>
      <c r="F1497">
        <v>2630</v>
      </c>
      <c r="G1497" t="s">
        <v>2430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2432</v>
      </c>
      <c r="N1497">
        <v>0.57999999999999996</v>
      </c>
      <c r="O1497" t="s">
        <v>33</v>
      </c>
      <c r="P1497" t="s">
        <v>61</v>
      </c>
      <c r="Q1497" t="s">
        <v>299</v>
      </c>
      <c r="R1497" t="s">
        <v>2431</v>
      </c>
      <c r="S1497">
        <v>73071</v>
      </c>
      <c r="T1497" s="1">
        <v>42011</v>
      </c>
      <c r="U1497" s="1">
        <v>42012</v>
      </c>
      <c r="V1497" s="2">
        <v>-139.18256</v>
      </c>
      <c r="W1497">
        <v>3</v>
      </c>
      <c r="X1497" s="2">
        <v>165.71</v>
      </c>
      <c r="Y1497">
        <v>85915</v>
      </c>
      <c r="Z1497">
        <f t="shared" si="23"/>
        <v>497.13</v>
      </c>
    </row>
    <row r="1498" spans="1:26" x14ac:dyDescent="0.25">
      <c r="A1498">
        <v>25594</v>
      </c>
      <c r="B1498" t="s">
        <v>106</v>
      </c>
      <c r="C1498" s="2">
        <v>0.05</v>
      </c>
      <c r="D1498" s="2">
        <v>100.97</v>
      </c>
      <c r="E1498" s="2">
        <v>7.18</v>
      </c>
      <c r="F1498">
        <v>2638</v>
      </c>
      <c r="G1498" t="s">
        <v>2433</v>
      </c>
      <c r="H1498" t="s">
        <v>27</v>
      </c>
      <c r="I1498" t="s">
        <v>114</v>
      </c>
      <c r="J1498" t="s">
        <v>77</v>
      </c>
      <c r="K1498" t="s">
        <v>177</v>
      </c>
      <c r="L1498" t="s">
        <v>59</v>
      </c>
      <c r="M1498" t="s">
        <v>2076</v>
      </c>
      <c r="N1498">
        <v>0.46</v>
      </c>
      <c r="O1498" t="s">
        <v>33</v>
      </c>
      <c r="P1498" t="s">
        <v>34</v>
      </c>
      <c r="Q1498" t="s">
        <v>1727</v>
      </c>
      <c r="R1498" t="s">
        <v>2434</v>
      </c>
      <c r="S1498">
        <v>83704</v>
      </c>
      <c r="T1498" s="1">
        <v>42163</v>
      </c>
      <c r="U1498" s="1">
        <v>42163</v>
      </c>
      <c r="V1498" s="2">
        <v>881.46810000000005</v>
      </c>
      <c r="W1498">
        <v>13</v>
      </c>
      <c r="X1498" s="2">
        <v>1277.49</v>
      </c>
      <c r="Y1498">
        <v>90951</v>
      </c>
      <c r="Z1498">
        <f t="shared" si="23"/>
        <v>16607.37</v>
      </c>
    </row>
    <row r="1499" spans="1:26" x14ac:dyDescent="0.25">
      <c r="A1499">
        <v>21041</v>
      </c>
      <c r="B1499" t="s">
        <v>37</v>
      </c>
      <c r="C1499" s="2">
        <v>0.05</v>
      </c>
      <c r="D1499" s="2">
        <v>4.9800000000000004</v>
      </c>
      <c r="E1499" s="2">
        <v>0.49</v>
      </c>
      <c r="F1499">
        <v>2639</v>
      </c>
      <c r="G1499" t="s">
        <v>2435</v>
      </c>
      <c r="H1499" t="s">
        <v>49</v>
      </c>
      <c r="I1499" t="s">
        <v>114</v>
      </c>
      <c r="J1499" t="s">
        <v>29</v>
      </c>
      <c r="K1499" t="s">
        <v>133</v>
      </c>
      <c r="L1499" t="s">
        <v>59</v>
      </c>
      <c r="M1499" t="s">
        <v>1409</v>
      </c>
      <c r="N1499">
        <v>0.39</v>
      </c>
      <c r="O1499" t="s">
        <v>33</v>
      </c>
      <c r="P1499" t="s">
        <v>34</v>
      </c>
      <c r="Q1499" t="s">
        <v>360</v>
      </c>
      <c r="R1499" t="s">
        <v>645</v>
      </c>
      <c r="S1499">
        <v>88201</v>
      </c>
      <c r="T1499" s="1">
        <v>42082</v>
      </c>
      <c r="U1499" s="1">
        <v>42082</v>
      </c>
      <c r="V1499" s="2">
        <v>3.84</v>
      </c>
      <c r="W1499">
        <v>3</v>
      </c>
      <c r="X1499" s="2">
        <v>14.2</v>
      </c>
      <c r="Y1499">
        <v>90952</v>
      </c>
      <c r="Z1499">
        <f t="shared" si="23"/>
        <v>42.599999999999994</v>
      </c>
    </row>
    <row r="1500" spans="1:26" x14ac:dyDescent="0.25">
      <c r="A1500">
        <v>22438</v>
      </c>
      <c r="B1500" t="s">
        <v>106</v>
      </c>
      <c r="C1500" s="2">
        <v>0.1</v>
      </c>
      <c r="D1500" s="2">
        <v>10.98</v>
      </c>
      <c r="E1500" s="2">
        <v>3.99</v>
      </c>
      <c r="F1500">
        <v>2647</v>
      </c>
      <c r="G1500" t="s">
        <v>2436</v>
      </c>
      <c r="H1500" t="s">
        <v>49</v>
      </c>
      <c r="I1500" t="s">
        <v>28</v>
      </c>
      <c r="J1500" t="s">
        <v>29</v>
      </c>
      <c r="K1500" t="s">
        <v>252</v>
      </c>
      <c r="L1500" t="s">
        <v>59</v>
      </c>
      <c r="M1500" t="s">
        <v>1565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2437</v>
      </c>
      <c r="S1500">
        <v>93309</v>
      </c>
      <c r="T1500" s="1">
        <v>42080</v>
      </c>
      <c r="U1500" s="1">
        <v>42087</v>
      </c>
      <c r="V1500" s="2">
        <v>-21.03</v>
      </c>
      <c r="W1500">
        <v>5</v>
      </c>
      <c r="X1500" s="2">
        <v>52.21</v>
      </c>
      <c r="Y1500">
        <v>91386</v>
      </c>
      <c r="Z1500">
        <f t="shared" si="23"/>
        <v>261.05</v>
      </c>
    </row>
    <row r="1501" spans="1:26" x14ac:dyDescent="0.25">
      <c r="A1501">
        <v>22439</v>
      </c>
      <c r="B1501" t="s">
        <v>106</v>
      </c>
      <c r="C1501" s="2">
        <v>0.01</v>
      </c>
      <c r="D1501" s="2">
        <v>39.979999999999997</v>
      </c>
      <c r="E1501" s="2">
        <v>9.1999999999999993</v>
      </c>
      <c r="F1501">
        <v>2647</v>
      </c>
      <c r="G1501" t="s">
        <v>2436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2438</v>
      </c>
      <c r="N1501">
        <v>0.65</v>
      </c>
      <c r="O1501" t="s">
        <v>33</v>
      </c>
      <c r="P1501" t="s">
        <v>34</v>
      </c>
      <c r="Q1501" t="s">
        <v>45</v>
      </c>
      <c r="R1501" t="s">
        <v>2437</v>
      </c>
      <c r="S1501">
        <v>93309</v>
      </c>
      <c r="T1501" s="1">
        <v>42080</v>
      </c>
      <c r="U1501" s="1">
        <v>42082</v>
      </c>
      <c r="V1501" s="2">
        <v>117.52079999999999</v>
      </c>
      <c r="W1501">
        <v>4</v>
      </c>
      <c r="X1501" s="2">
        <v>170.32</v>
      </c>
      <c r="Y1501">
        <v>91386</v>
      </c>
      <c r="Z1501">
        <f t="shared" si="23"/>
        <v>681.28</v>
      </c>
    </row>
    <row r="1502" spans="1:26" x14ac:dyDescent="0.25">
      <c r="A1502">
        <v>18720</v>
      </c>
      <c r="B1502" t="s">
        <v>25</v>
      </c>
      <c r="C1502" s="2">
        <v>0.01</v>
      </c>
      <c r="D1502" s="2">
        <v>39.979999999999997</v>
      </c>
      <c r="E1502" s="2">
        <v>4</v>
      </c>
      <c r="F1502">
        <v>2649</v>
      </c>
      <c r="G1502" t="s">
        <v>2439</v>
      </c>
      <c r="H1502" t="s">
        <v>49</v>
      </c>
      <c r="I1502" t="s">
        <v>28</v>
      </c>
      <c r="J1502" t="s">
        <v>77</v>
      </c>
      <c r="K1502" t="s">
        <v>177</v>
      </c>
      <c r="L1502" t="s">
        <v>59</v>
      </c>
      <c r="M1502" t="s">
        <v>247</v>
      </c>
      <c r="N1502">
        <v>0.7</v>
      </c>
      <c r="O1502" t="s">
        <v>33</v>
      </c>
      <c r="P1502" t="s">
        <v>53</v>
      </c>
      <c r="Q1502" t="s">
        <v>409</v>
      </c>
      <c r="R1502" t="s">
        <v>2205</v>
      </c>
      <c r="S1502">
        <v>21040</v>
      </c>
      <c r="T1502" s="1">
        <v>42166</v>
      </c>
      <c r="U1502" s="1">
        <v>42167</v>
      </c>
      <c r="V1502" s="2">
        <v>-30.808</v>
      </c>
      <c r="W1502">
        <v>5</v>
      </c>
      <c r="X1502" s="2">
        <v>203.29</v>
      </c>
      <c r="Y1502">
        <v>88814</v>
      </c>
      <c r="Z1502">
        <f t="shared" si="23"/>
        <v>1016.4499999999999</v>
      </c>
    </row>
    <row r="1503" spans="1:26" x14ac:dyDescent="0.25">
      <c r="A1503">
        <v>22904</v>
      </c>
      <c r="B1503" t="s">
        <v>47</v>
      </c>
      <c r="C1503" s="2">
        <v>0.05</v>
      </c>
      <c r="D1503" s="2">
        <v>35.99</v>
      </c>
      <c r="E1503" s="2">
        <v>5.99</v>
      </c>
      <c r="F1503">
        <v>2650</v>
      </c>
      <c r="G1503" t="s">
        <v>2440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972</v>
      </c>
      <c r="N1503">
        <v>0.38</v>
      </c>
      <c r="O1503" t="s">
        <v>33</v>
      </c>
      <c r="P1503" t="s">
        <v>53</v>
      </c>
      <c r="Q1503" t="s">
        <v>229</v>
      </c>
      <c r="R1503" t="s">
        <v>2441</v>
      </c>
      <c r="S1503">
        <v>15234</v>
      </c>
      <c r="T1503" s="1">
        <v>42128</v>
      </c>
      <c r="U1503" s="1">
        <v>42129</v>
      </c>
      <c r="V1503" s="2">
        <v>524.31719999999996</v>
      </c>
      <c r="W1503">
        <v>26</v>
      </c>
      <c r="X1503" s="2">
        <v>759.88</v>
      </c>
      <c r="Y1503">
        <v>88815</v>
      </c>
      <c r="Z1503">
        <f t="shared" si="23"/>
        <v>19756.88</v>
      </c>
    </row>
    <row r="1504" spans="1:26" x14ac:dyDescent="0.25">
      <c r="A1504">
        <v>18949</v>
      </c>
      <c r="B1504" t="s">
        <v>56</v>
      </c>
      <c r="C1504" s="2">
        <v>0.06</v>
      </c>
      <c r="D1504" s="2">
        <v>47.9</v>
      </c>
      <c r="E1504" s="2">
        <v>5.86</v>
      </c>
      <c r="F1504">
        <v>2652</v>
      </c>
      <c r="G1504" t="s">
        <v>2442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1922</v>
      </c>
      <c r="N1504">
        <v>0.37</v>
      </c>
      <c r="O1504" t="s">
        <v>33</v>
      </c>
      <c r="P1504" t="s">
        <v>34</v>
      </c>
      <c r="Q1504" t="s">
        <v>45</v>
      </c>
      <c r="R1504" t="s">
        <v>2437</v>
      </c>
      <c r="S1504">
        <v>93309</v>
      </c>
      <c r="T1504" s="1">
        <v>42149</v>
      </c>
      <c r="U1504" s="1">
        <v>42151</v>
      </c>
      <c r="V1504" s="2">
        <v>21.78</v>
      </c>
      <c r="W1504">
        <v>2</v>
      </c>
      <c r="X1504" s="2">
        <v>94.2</v>
      </c>
      <c r="Y1504">
        <v>89361</v>
      </c>
      <c r="Z1504">
        <f t="shared" si="23"/>
        <v>188.4</v>
      </c>
    </row>
    <row r="1505" spans="1:26" x14ac:dyDescent="0.25">
      <c r="A1505">
        <v>25662</v>
      </c>
      <c r="B1505" t="s">
        <v>37</v>
      </c>
      <c r="C1505" s="2">
        <v>0.05</v>
      </c>
      <c r="D1505" s="2">
        <v>4.9800000000000004</v>
      </c>
      <c r="E1505" s="2">
        <v>4.62</v>
      </c>
      <c r="F1505">
        <v>2653</v>
      </c>
      <c r="G1505" t="s">
        <v>2443</v>
      </c>
      <c r="H1505" t="s">
        <v>49</v>
      </c>
      <c r="I1505" t="s">
        <v>114</v>
      </c>
      <c r="J1505" t="s">
        <v>77</v>
      </c>
      <c r="K1505" t="s">
        <v>177</v>
      </c>
      <c r="L1505" t="s">
        <v>51</v>
      </c>
      <c r="M1505" t="s">
        <v>405</v>
      </c>
      <c r="N1505">
        <v>0.64</v>
      </c>
      <c r="O1505" t="s">
        <v>33</v>
      </c>
      <c r="P1505" t="s">
        <v>61</v>
      </c>
      <c r="Q1505" t="s">
        <v>180</v>
      </c>
      <c r="R1505" t="s">
        <v>2444</v>
      </c>
      <c r="S1505">
        <v>67037</v>
      </c>
      <c r="T1505" s="1">
        <v>42057</v>
      </c>
      <c r="U1505" s="1">
        <v>42058</v>
      </c>
      <c r="V1505" s="2">
        <v>-98.35</v>
      </c>
      <c r="W1505">
        <v>7</v>
      </c>
      <c r="X1505" s="2">
        <v>34.32</v>
      </c>
      <c r="Y1505">
        <v>89360</v>
      </c>
      <c r="Z1505">
        <f t="shared" si="23"/>
        <v>240.24</v>
      </c>
    </row>
    <row r="1506" spans="1:26" x14ac:dyDescent="0.25">
      <c r="A1506">
        <v>25663</v>
      </c>
      <c r="B1506" t="s">
        <v>37</v>
      </c>
      <c r="C1506" s="2">
        <v>0.02</v>
      </c>
      <c r="D1506" s="2">
        <v>34.229999999999997</v>
      </c>
      <c r="E1506" s="2">
        <v>5.0199999999999996</v>
      </c>
      <c r="F1506">
        <v>2653</v>
      </c>
      <c r="G1506" t="s">
        <v>2443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1359</v>
      </c>
      <c r="N1506">
        <v>0.55000000000000004</v>
      </c>
      <c r="O1506" t="s">
        <v>33</v>
      </c>
      <c r="P1506" t="s">
        <v>61</v>
      </c>
      <c r="Q1506" t="s">
        <v>180</v>
      </c>
      <c r="R1506" t="s">
        <v>2444</v>
      </c>
      <c r="S1506">
        <v>67037</v>
      </c>
      <c r="T1506" s="1">
        <v>42057</v>
      </c>
      <c r="U1506" s="1">
        <v>42059</v>
      </c>
      <c r="V1506" s="2">
        <v>270.79050000000001</v>
      </c>
      <c r="W1506">
        <v>11</v>
      </c>
      <c r="X1506" s="2">
        <v>392.45</v>
      </c>
      <c r="Y1506">
        <v>89360</v>
      </c>
      <c r="Z1506">
        <f t="shared" si="23"/>
        <v>4316.95</v>
      </c>
    </row>
    <row r="1507" spans="1:26" x14ac:dyDescent="0.25">
      <c r="A1507">
        <v>19131</v>
      </c>
      <c r="B1507" t="s">
        <v>56</v>
      </c>
      <c r="C1507" s="2">
        <v>0.09</v>
      </c>
      <c r="D1507" s="2">
        <v>89.99</v>
      </c>
      <c r="E1507" s="2">
        <v>42</v>
      </c>
      <c r="F1507">
        <v>2655</v>
      </c>
      <c r="G1507" t="s">
        <v>2445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2446</v>
      </c>
      <c r="N1507">
        <v>0.66</v>
      </c>
      <c r="O1507" t="s">
        <v>33</v>
      </c>
      <c r="P1507" t="s">
        <v>135</v>
      </c>
      <c r="Q1507" t="s">
        <v>381</v>
      </c>
      <c r="R1507" t="s">
        <v>573</v>
      </c>
      <c r="S1507">
        <v>30318</v>
      </c>
      <c r="T1507" s="1">
        <v>42112</v>
      </c>
      <c r="U1507" s="1">
        <v>42112</v>
      </c>
      <c r="V1507" s="2">
        <v>223.416</v>
      </c>
      <c r="W1507">
        <v>6</v>
      </c>
      <c r="X1507" s="2">
        <v>511.25</v>
      </c>
      <c r="Y1507">
        <v>86063</v>
      </c>
      <c r="Z1507">
        <f t="shared" si="23"/>
        <v>3067.5</v>
      </c>
    </row>
    <row r="1508" spans="1:26" x14ac:dyDescent="0.25">
      <c r="A1508">
        <v>22938</v>
      </c>
      <c r="B1508" t="s">
        <v>47</v>
      </c>
      <c r="C1508" s="2">
        <v>7.0000000000000007E-2</v>
      </c>
      <c r="D1508" s="2">
        <v>2.94</v>
      </c>
      <c r="E1508" s="2">
        <v>0.81</v>
      </c>
      <c r="F1508">
        <v>2655</v>
      </c>
      <c r="G1508" t="s">
        <v>2445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2447</v>
      </c>
      <c r="N1508">
        <v>0.4</v>
      </c>
      <c r="O1508" t="s">
        <v>33</v>
      </c>
      <c r="P1508" t="s">
        <v>135</v>
      </c>
      <c r="Q1508" t="s">
        <v>381</v>
      </c>
      <c r="R1508" t="s">
        <v>573</v>
      </c>
      <c r="S1508">
        <v>30318</v>
      </c>
      <c r="T1508" s="1">
        <v>42102</v>
      </c>
      <c r="U1508" s="1">
        <v>42103</v>
      </c>
      <c r="V1508" s="2">
        <v>-93.927400000000006</v>
      </c>
      <c r="W1508">
        <v>10</v>
      </c>
      <c r="X1508" s="2">
        <v>29.88</v>
      </c>
      <c r="Y1508">
        <v>86064</v>
      </c>
      <c r="Z1508">
        <f t="shared" si="23"/>
        <v>298.8</v>
      </c>
    </row>
    <row r="1509" spans="1:26" x14ac:dyDescent="0.25">
      <c r="A1509">
        <v>19525</v>
      </c>
      <c r="B1509" t="s">
        <v>47</v>
      </c>
      <c r="C1509" s="2">
        <v>0.01</v>
      </c>
      <c r="D1509" s="2">
        <v>138.13999999999999</v>
      </c>
      <c r="E1509" s="2">
        <v>35</v>
      </c>
      <c r="F1509">
        <v>2660</v>
      </c>
      <c r="G1509" t="s">
        <v>2448</v>
      </c>
      <c r="H1509" t="s">
        <v>49</v>
      </c>
      <c r="I1509" t="s">
        <v>58</v>
      </c>
      <c r="J1509" t="s">
        <v>29</v>
      </c>
      <c r="K1509" t="s">
        <v>139</v>
      </c>
      <c r="L1509" t="s">
        <v>231</v>
      </c>
      <c r="M1509" t="s">
        <v>2449</v>
      </c>
      <c r="O1509" t="s">
        <v>33</v>
      </c>
      <c r="P1509" t="s">
        <v>53</v>
      </c>
      <c r="Q1509" t="s">
        <v>184</v>
      </c>
      <c r="R1509" t="s">
        <v>1098</v>
      </c>
      <c r="S1509">
        <v>4038</v>
      </c>
      <c r="T1509" s="1">
        <v>42059</v>
      </c>
      <c r="U1509" s="1">
        <v>42061</v>
      </c>
      <c r="V1509" s="2">
        <v>-321.51</v>
      </c>
      <c r="W1509">
        <v>4</v>
      </c>
      <c r="X1509" s="2">
        <v>599.03</v>
      </c>
      <c r="Y1509">
        <v>86486</v>
      </c>
      <c r="Z1509">
        <f t="shared" si="23"/>
        <v>2396.12</v>
      </c>
    </row>
    <row r="1510" spans="1:26" x14ac:dyDescent="0.25">
      <c r="A1510">
        <v>18400</v>
      </c>
      <c r="B1510" t="s">
        <v>25</v>
      </c>
      <c r="C1510" s="2">
        <v>0.04</v>
      </c>
      <c r="D1510" s="2">
        <v>90.24</v>
      </c>
      <c r="E1510" s="2">
        <v>0.99</v>
      </c>
      <c r="F1510">
        <v>2667</v>
      </c>
      <c r="G1510" t="s">
        <v>2450</v>
      </c>
      <c r="H1510" t="s">
        <v>49</v>
      </c>
      <c r="I1510" t="s">
        <v>40</v>
      </c>
      <c r="J1510" t="s">
        <v>29</v>
      </c>
      <c r="K1510" t="s">
        <v>252</v>
      </c>
      <c r="L1510" t="s">
        <v>59</v>
      </c>
      <c r="M1510" t="s">
        <v>2451</v>
      </c>
      <c r="N1510">
        <v>0.56000000000000005</v>
      </c>
      <c r="O1510" t="s">
        <v>33</v>
      </c>
      <c r="P1510" t="s">
        <v>53</v>
      </c>
      <c r="Q1510" t="s">
        <v>152</v>
      </c>
      <c r="R1510" t="s">
        <v>99</v>
      </c>
      <c r="S1510">
        <v>44107</v>
      </c>
      <c r="T1510" s="1">
        <v>42096</v>
      </c>
      <c r="U1510" s="1">
        <v>42098</v>
      </c>
      <c r="V1510" s="2">
        <v>246.2748</v>
      </c>
      <c r="W1510">
        <v>4</v>
      </c>
      <c r="X1510" s="2">
        <v>356.92</v>
      </c>
      <c r="Y1510">
        <v>87831</v>
      </c>
      <c r="Z1510">
        <f t="shared" si="23"/>
        <v>1427.68</v>
      </c>
    </row>
    <row r="1511" spans="1:26" x14ac:dyDescent="0.25">
      <c r="A1511">
        <v>18401</v>
      </c>
      <c r="B1511" t="s">
        <v>25</v>
      </c>
      <c r="C1511" s="2">
        <v>0.09</v>
      </c>
      <c r="D1511" s="2">
        <v>47.9</v>
      </c>
      <c r="E1511" s="2">
        <v>5.86</v>
      </c>
      <c r="F1511">
        <v>2667</v>
      </c>
      <c r="G1511" t="s">
        <v>2450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1922</v>
      </c>
      <c r="N1511">
        <v>0.37</v>
      </c>
      <c r="O1511" t="s">
        <v>33</v>
      </c>
      <c r="P1511" t="s">
        <v>53</v>
      </c>
      <c r="Q1511" t="s">
        <v>152</v>
      </c>
      <c r="R1511" t="s">
        <v>99</v>
      </c>
      <c r="S1511">
        <v>44107</v>
      </c>
      <c r="T1511" s="1">
        <v>42096</v>
      </c>
      <c r="U1511" s="1">
        <v>42098</v>
      </c>
      <c r="V1511" s="2">
        <v>93.950400000000002</v>
      </c>
      <c r="W1511">
        <v>3</v>
      </c>
      <c r="X1511" s="2">
        <v>136.16</v>
      </c>
      <c r="Y1511">
        <v>87831</v>
      </c>
      <c r="Z1511">
        <f t="shared" si="23"/>
        <v>408.48</v>
      </c>
    </row>
    <row r="1512" spans="1:26" x14ac:dyDescent="0.25">
      <c r="A1512">
        <v>19294</v>
      </c>
      <c r="B1512" t="s">
        <v>25</v>
      </c>
      <c r="C1512" s="2">
        <v>0.04</v>
      </c>
      <c r="D1512" s="2">
        <v>10.4</v>
      </c>
      <c r="E1512" s="2">
        <v>5.4</v>
      </c>
      <c r="F1512">
        <v>2668</v>
      </c>
      <c r="G1512" t="s">
        <v>2452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2453</v>
      </c>
      <c r="N1512">
        <v>0.51</v>
      </c>
      <c r="O1512" t="s">
        <v>33</v>
      </c>
      <c r="P1512" t="s">
        <v>61</v>
      </c>
      <c r="Q1512" t="s">
        <v>2175</v>
      </c>
      <c r="R1512" t="s">
        <v>2454</v>
      </c>
      <c r="S1512">
        <v>57701</v>
      </c>
      <c r="T1512" s="1">
        <v>42091</v>
      </c>
      <c r="U1512" s="1">
        <v>42092</v>
      </c>
      <c r="V1512" s="2">
        <v>29.98</v>
      </c>
      <c r="W1512">
        <v>12</v>
      </c>
      <c r="X1512" s="2">
        <v>130.74</v>
      </c>
      <c r="Y1512">
        <v>87830</v>
      </c>
      <c r="Z1512">
        <f t="shared" si="23"/>
        <v>1568.88</v>
      </c>
    </row>
    <row r="1513" spans="1:26" x14ac:dyDescent="0.25">
      <c r="A1513">
        <v>19295</v>
      </c>
      <c r="B1513" t="s">
        <v>25</v>
      </c>
      <c r="C1513" s="2">
        <v>0.08</v>
      </c>
      <c r="D1513" s="2">
        <v>4.28</v>
      </c>
      <c r="E1513" s="2">
        <v>4.79</v>
      </c>
      <c r="F1513">
        <v>2668</v>
      </c>
      <c r="G1513" t="s">
        <v>2452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2455</v>
      </c>
      <c r="N1513">
        <v>0.4</v>
      </c>
      <c r="O1513" t="s">
        <v>33</v>
      </c>
      <c r="P1513" t="s">
        <v>61</v>
      </c>
      <c r="Q1513" t="s">
        <v>2175</v>
      </c>
      <c r="R1513" t="s">
        <v>2454</v>
      </c>
      <c r="S1513">
        <v>57701</v>
      </c>
      <c r="T1513" s="1">
        <v>42091</v>
      </c>
      <c r="U1513" s="1">
        <v>42093</v>
      </c>
      <c r="V1513" s="2">
        <v>-121.2</v>
      </c>
      <c r="W1513">
        <v>12</v>
      </c>
      <c r="X1513" s="2">
        <v>49.87</v>
      </c>
      <c r="Y1513">
        <v>87830</v>
      </c>
      <c r="Z1513">
        <f t="shared" si="23"/>
        <v>598.43999999999994</v>
      </c>
    </row>
    <row r="1514" spans="1:26" x14ac:dyDescent="0.25">
      <c r="A1514">
        <v>18870</v>
      </c>
      <c r="B1514" t="s">
        <v>37</v>
      </c>
      <c r="C1514" s="2">
        <v>0.06</v>
      </c>
      <c r="D1514" s="2">
        <v>3.93</v>
      </c>
      <c r="E1514" s="2">
        <v>0.99</v>
      </c>
      <c r="F1514">
        <v>2668</v>
      </c>
      <c r="G1514" t="s">
        <v>2452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2456</v>
      </c>
      <c r="N1514">
        <v>0.39</v>
      </c>
      <c r="O1514" t="s">
        <v>33</v>
      </c>
      <c r="P1514" t="s">
        <v>61</v>
      </c>
      <c r="Q1514" t="s">
        <v>2175</v>
      </c>
      <c r="R1514" t="s">
        <v>2454</v>
      </c>
      <c r="S1514">
        <v>57701</v>
      </c>
      <c r="T1514" s="1">
        <v>42115</v>
      </c>
      <c r="U1514" s="1">
        <v>42117</v>
      </c>
      <c r="V1514" s="2">
        <v>10.782400000000001</v>
      </c>
      <c r="W1514">
        <v>6</v>
      </c>
      <c r="X1514" s="2">
        <v>24.18</v>
      </c>
      <c r="Y1514">
        <v>87832</v>
      </c>
      <c r="Z1514">
        <f t="shared" si="23"/>
        <v>145.07999999999998</v>
      </c>
    </row>
    <row r="1515" spans="1:26" x14ac:dyDescent="0.25">
      <c r="A1515">
        <v>5338</v>
      </c>
      <c r="B1515" t="s">
        <v>25</v>
      </c>
      <c r="C1515" s="2">
        <v>0.05</v>
      </c>
      <c r="D1515" s="2">
        <v>165.2</v>
      </c>
      <c r="E1515" s="2">
        <v>19.989999999999998</v>
      </c>
      <c r="F1515">
        <v>2670</v>
      </c>
      <c r="G1515" t="s">
        <v>2457</v>
      </c>
      <c r="H1515" t="s">
        <v>49</v>
      </c>
      <c r="I1515" t="s">
        <v>40</v>
      </c>
      <c r="J1515" t="s">
        <v>29</v>
      </c>
      <c r="K1515" t="s">
        <v>139</v>
      </c>
      <c r="L1515" t="s">
        <v>59</v>
      </c>
      <c r="M1515" t="s">
        <v>555</v>
      </c>
      <c r="N1515">
        <v>0.59</v>
      </c>
      <c r="O1515" t="s">
        <v>33</v>
      </c>
      <c r="P1515" t="s">
        <v>34</v>
      </c>
      <c r="Q1515" t="s">
        <v>45</v>
      </c>
      <c r="R1515" t="s">
        <v>655</v>
      </c>
      <c r="S1515">
        <v>90049</v>
      </c>
      <c r="T1515" s="1">
        <v>42153</v>
      </c>
      <c r="U1515" s="1">
        <v>42153</v>
      </c>
      <c r="V1515" s="2">
        <v>2008.71</v>
      </c>
      <c r="W1515">
        <v>167</v>
      </c>
      <c r="X1515" s="2">
        <v>27587.55</v>
      </c>
      <c r="Y1515">
        <v>37924</v>
      </c>
      <c r="Z1515">
        <f t="shared" si="23"/>
        <v>4607120.8499999996</v>
      </c>
    </row>
    <row r="1516" spans="1:26" x14ac:dyDescent="0.25">
      <c r="A1516">
        <v>5339</v>
      </c>
      <c r="B1516" t="s">
        <v>25</v>
      </c>
      <c r="C1516" s="2">
        <v>0.09</v>
      </c>
      <c r="D1516" s="2">
        <v>17.989999999999998</v>
      </c>
      <c r="E1516" s="2">
        <v>8.65</v>
      </c>
      <c r="F1516">
        <v>2670</v>
      </c>
      <c r="G1516" t="s">
        <v>2457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2458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655</v>
      </c>
      <c r="S1516">
        <v>90049</v>
      </c>
      <c r="T1516" s="1">
        <v>42153</v>
      </c>
      <c r="U1516" s="1">
        <v>42153</v>
      </c>
      <c r="V1516" s="2">
        <v>-80.53</v>
      </c>
      <c r="W1516">
        <v>71</v>
      </c>
      <c r="X1516" s="2">
        <v>1191.58</v>
      </c>
      <c r="Y1516">
        <v>37924</v>
      </c>
      <c r="Z1516">
        <f t="shared" si="23"/>
        <v>84602.18</v>
      </c>
    </row>
    <row r="1517" spans="1:26" x14ac:dyDescent="0.25">
      <c r="A1517">
        <v>23338</v>
      </c>
      <c r="B1517" t="s">
        <v>25</v>
      </c>
      <c r="C1517" s="2">
        <v>0.05</v>
      </c>
      <c r="D1517" s="2">
        <v>165.2</v>
      </c>
      <c r="E1517" s="2">
        <v>19.989999999999998</v>
      </c>
      <c r="F1517">
        <v>2671</v>
      </c>
      <c r="G1517" t="s">
        <v>2459</v>
      </c>
      <c r="H1517" t="s">
        <v>49</v>
      </c>
      <c r="I1517" t="s">
        <v>40</v>
      </c>
      <c r="J1517" t="s">
        <v>29</v>
      </c>
      <c r="K1517" t="s">
        <v>139</v>
      </c>
      <c r="L1517" t="s">
        <v>59</v>
      </c>
      <c r="M1517" t="s">
        <v>555</v>
      </c>
      <c r="N1517">
        <v>0.59</v>
      </c>
      <c r="O1517" t="s">
        <v>33</v>
      </c>
      <c r="P1517" t="s">
        <v>135</v>
      </c>
      <c r="Q1517" t="s">
        <v>239</v>
      </c>
      <c r="R1517" t="s">
        <v>2426</v>
      </c>
      <c r="S1517">
        <v>37027</v>
      </c>
      <c r="T1517" s="1">
        <v>42153</v>
      </c>
      <c r="U1517" s="1">
        <v>42153</v>
      </c>
      <c r="V1517" s="2">
        <v>-48.957999999999998</v>
      </c>
      <c r="W1517">
        <v>42</v>
      </c>
      <c r="X1517" s="2">
        <v>6938.19</v>
      </c>
      <c r="Y1517">
        <v>90551</v>
      </c>
      <c r="Z1517">
        <f t="shared" si="23"/>
        <v>291403.98</v>
      </c>
    </row>
    <row r="1518" spans="1:26" x14ac:dyDescent="0.25">
      <c r="A1518">
        <v>18147</v>
      </c>
      <c r="B1518" t="s">
        <v>47</v>
      </c>
      <c r="C1518" s="2">
        <v>0.03</v>
      </c>
      <c r="D1518" s="2">
        <v>41.32</v>
      </c>
      <c r="E1518" s="2">
        <v>58.66</v>
      </c>
      <c r="F1518">
        <v>2677</v>
      </c>
      <c r="G1518" t="s">
        <v>2460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2461</v>
      </c>
      <c r="N1518">
        <v>0.76</v>
      </c>
      <c r="O1518" t="s">
        <v>33</v>
      </c>
      <c r="P1518" t="s">
        <v>135</v>
      </c>
      <c r="Q1518" t="s">
        <v>136</v>
      </c>
      <c r="R1518" t="s">
        <v>2462</v>
      </c>
      <c r="S1518">
        <v>22601</v>
      </c>
      <c r="T1518" s="1">
        <v>42171</v>
      </c>
      <c r="U1518" s="1">
        <v>42172</v>
      </c>
      <c r="V1518" s="2">
        <v>-32.816000000000003</v>
      </c>
      <c r="W1518">
        <v>10</v>
      </c>
      <c r="X1518" s="2">
        <v>419.27</v>
      </c>
      <c r="Y1518">
        <v>86633</v>
      </c>
      <c r="Z1518">
        <f t="shared" si="23"/>
        <v>4192.7</v>
      </c>
    </row>
    <row r="1519" spans="1:26" x14ac:dyDescent="0.25">
      <c r="A1519">
        <v>18148</v>
      </c>
      <c r="B1519" t="s">
        <v>47</v>
      </c>
      <c r="C1519" s="2">
        <v>0</v>
      </c>
      <c r="D1519" s="2">
        <v>6.88</v>
      </c>
      <c r="E1519" s="2">
        <v>2</v>
      </c>
      <c r="F1519">
        <v>2677</v>
      </c>
      <c r="G1519" t="s">
        <v>2460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654</v>
      </c>
      <c r="N1519">
        <v>0.39</v>
      </c>
      <c r="O1519" t="s">
        <v>33</v>
      </c>
      <c r="P1519" t="s">
        <v>135</v>
      </c>
      <c r="Q1519" t="s">
        <v>136</v>
      </c>
      <c r="R1519" t="s">
        <v>2462</v>
      </c>
      <c r="S1519">
        <v>22601</v>
      </c>
      <c r="T1519" s="1">
        <v>42171</v>
      </c>
      <c r="U1519" s="1">
        <v>42171</v>
      </c>
      <c r="V1519" s="2">
        <v>-15.61</v>
      </c>
      <c r="W1519">
        <v>5</v>
      </c>
      <c r="X1519" s="2">
        <v>36</v>
      </c>
      <c r="Y1519">
        <v>86633</v>
      </c>
      <c r="Z1519">
        <f t="shared" si="23"/>
        <v>180</v>
      </c>
    </row>
    <row r="1520" spans="1:26" x14ac:dyDescent="0.25">
      <c r="A1520">
        <v>22848</v>
      </c>
      <c r="B1520" t="s">
        <v>106</v>
      </c>
      <c r="C1520" s="2">
        <v>0.09</v>
      </c>
      <c r="D1520" s="2">
        <v>8.74</v>
      </c>
      <c r="E1520" s="2">
        <v>1.39</v>
      </c>
      <c r="F1520">
        <v>2684</v>
      </c>
      <c r="G1520" t="s">
        <v>2463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1469</v>
      </c>
      <c r="N1520">
        <v>0.38</v>
      </c>
      <c r="O1520" t="s">
        <v>33</v>
      </c>
      <c r="P1520" t="s">
        <v>135</v>
      </c>
      <c r="Q1520" t="s">
        <v>356</v>
      </c>
      <c r="R1520" t="s">
        <v>2464</v>
      </c>
      <c r="S1520">
        <v>33952</v>
      </c>
      <c r="T1520" s="1">
        <v>42050</v>
      </c>
      <c r="U1520" s="1">
        <v>42055</v>
      </c>
      <c r="V1520" s="2">
        <v>23.616</v>
      </c>
      <c r="W1520">
        <v>1</v>
      </c>
      <c r="X1520" s="2">
        <v>11.78</v>
      </c>
      <c r="Y1520">
        <v>89146</v>
      </c>
      <c r="Z1520">
        <f t="shared" si="23"/>
        <v>11.78</v>
      </c>
    </row>
    <row r="1521" spans="1:26" x14ac:dyDescent="0.25">
      <c r="A1521">
        <v>22849</v>
      </c>
      <c r="B1521" t="s">
        <v>106</v>
      </c>
      <c r="C1521" s="2">
        <v>0.09</v>
      </c>
      <c r="D1521" s="2">
        <v>18.97</v>
      </c>
      <c r="E1521" s="2">
        <v>9.0299999999999994</v>
      </c>
      <c r="F1521">
        <v>2684</v>
      </c>
      <c r="G1521" t="s">
        <v>2463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766</v>
      </c>
      <c r="N1521">
        <v>0.37</v>
      </c>
      <c r="O1521" t="s">
        <v>33</v>
      </c>
      <c r="P1521" t="s">
        <v>135</v>
      </c>
      <c r="Q1521" t="s">
        <v>356</v>
      </c>
      <c r="R1521" t="s">
        <v>2464</v>
      </c>
      <c r="S1521">
        <v>33952</v>
      </c>
      <c r="T1521" s="1">
        <v>42050</v>
      </c>
      <c r="U1521" s="1">
        <v>42055</v>
      </c>
      <c r="V1521" s="2">
        <v>-1748.0119999999999</v>
      </c>
      <c r="W1521">
        <v>1</v>
      </c>
      <c r="X1521" s="2">
        <v>20.96</v>
      </c>
      <c r="Y1521">
        <v>89146</v>
      </c>
      <c r="Z1521">
        <f t="shared" si="23"/>
        <v>20.96</v>
      </c>
    </row>
    <row r="1522" spans="1:26" x14ac:dyDescent="0.25">
      <c r="A1522">
        <v>25649</v>
      </c>
      <c r="B1522" t="s">
        <v>106</v>
      </c>
      <c r="C1522" s="2">
        <v>7.0000000000000007E-2</v>
      </c>
      <c r="D1522" s="2">
        <v>4.97</v>
      </c>
      <c r="E1522" s="2">
        <v>5.71</v>
      </c>
      <c r="F1522">
        <v>2684</v>
      </c>
      <c r="G1522" t="s">
        <v>2463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2465</v>
      </c>
      <c r="N1522">
        <v>0.54</v>
      </c>
      <c r="O1522" t="s">
        <v>33</v>
      </c>
      <c r="P1522" t="s">
        <v>135</v>
      </c>
      <c r="Q1522" t="s">
        <v>356</v>
      </c>
      <c r="R1522" t="s">
        <v>2464</v>
      </c>
      <c r="S1522">
        <v>33952</v>
      </c>
      <c r="T1522" s="1">
        <v>42104</v>
      </c>
      <c r="U1522" s="1">
        <v>42109</v>
      </c>
      <c r="V1522" s="2">
        <v>-180.15199999999999</v>
      </c>
      <c r="W1522">
        <v>5</v>
      </c>
      <c r="X1522" s="2">
        <v>26.66</v>
      </c>
      <c r="Y1522">
        <v>89148</v>
      </c>
      <c r="Z1522">
        <f t="shared" si="23"/>
        <v>133.30000000000001</v>
      </c>
    </row>
    <row r="1523" spans="1:26" x14ac:dyDescent="0.25">
      <c r="A1523">
        <v>25650</v>
      </c>
      <c r="B1523" t="s">
        <v>106</v>
      </c>
      <c r="C1523" s="2">
        <v>0.09</v>
      </c>
      <c r="D1523" s="2">
        <v>2.62</v>
      </c>
      <c r="E1523" s="2">
        <v>0.8</v>
      </c>
      <c r="F1523">
        <v>2684</v>
      </c>
      <c r="G1523" t="s">
        <v>2463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1396</v>
      </c>
      <c r="N1523">
        <v>0.39</v>
      </c>
      <c r="O1523" t="s">
        <v>33</v>
      </c>
      <c r="P1523" t="s">
        <v>135</v>
      </c>
      <c r="Q1523" t="s">
        <v>356</v>
      </c>
      <c r="R1523" t="s">
        <v>2464</v>
      </c>
      <c r="S1523">
        <v>33952</v>
      </c>
      <c r="T1523" s="1">
        <v>42104</v>
      </c>
      <c r="U1523" s="1">
        <v>42106</v>
      </c>
      <c r="V1523" s="2">
        <v>8.3879999999999999</v>
      </c>
      <c r="W1523">
        <v>12</v>
      </c>
      <c r="X1523" s="2">
        <v>29.55</v>
      </c>
      <c r="Y1523">
        <v>89148</v>
      </c>
      <c r="Z1523">
        <f t="shared" si="23"/>
        <v>354.6</v>
      </c>
    </row>
    <row r="1524" spans="1:26" x14ac:dyDescent="0.25">
      <c r="A1524">
        <v>25651</v>
      </c>
      <c r="B1524" t="s">
        <v>106</v>
      </c>
      <c r="C1524" s="2">
        <v>0.03</v>
      </c>
      <c r="D1524" s="2">
        <v>65.989999999999995</v>
      </c>
      <c r="E1524" s="2">
        <v>8.8000000000000007</v>
      </c>
      <c r="F1524">
        <v>2684</v>
      </c>
      <c r="G1524" t="s">
        <v>2463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>
        <v>6120</v>
      </c>
      <c r="N1524">
        <v>0.57999999999999996</v>
      </c>
      <c r="O1524" t="s">
        <v>33</v>
      </c>
      <c r="P1524" t="s">
        <v>135</v>
      </c>
      <c r="Q1524" t="s">
        <v>356</v>
      </c>
      <c r="R1524" t="s">
        <v>2464</v>
      </c>
      <c r="S1524">
        <v>33952</v>
      </c>
      <c r="T1524" s="1">
        <v>42104</v>
      </c>
      <c r="U1524" s="1">
        <v>42104</v>
      </c>
      <c r="V1524" s="2">
        <v>9.9398999999999997</v>
      </c>
      <c r="W1524">
        <v>21</v>
      </c>
      <c r="X1524" s="2">
        <v>1237.4000000000001</v>
      </c>
      <c r="Y1524">
        <v>89148</v>
      </c>
      <c r="Z1524">
        <f t="shared" si="23"/>
        <v>25985.4</v>
      </c>
    </row>
    <row r="1525" spans="1:26" x14ac:dyDescent="0.25">
      <c r="A1525">
        <v>21114</v>
      </c>
      <c r="B1525" t="s">
        <v>25</v>
      </c>
      <c r="C1525" s="2">
        <v>0</v>
      </c>
      <c r="D1525" s="2">
        <v>7.38</v>
      </c>
      <c r="E1525" s="2">
        <v>11.51</v>
      </c>
      <c r="F1525">
        <v>2685</v>
      </c>
      <c r="G1525" t="s">
        <v>2466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2467</v>
      </c>
      <c r="N1525">
        <v>0.36</v>
      </c>
      <c r="O1525" t="s">
        <v>33</v>
      </c>
      <c r="P1525" t="s">
        <v>53</v>
      </c>
      <c r="Q1525" t="s">
        <v>71</v>
      </c>
      <c r="R1525" t="s">
        <v>2468</v>
      </c>
      <c r="S1525">
        <v>11803</v>
      </c>
      <c r="T1525" s="1">
        <v>42098</v>
      </c>
      <c r="U1525" s="1">
        <v>42099</v>
      </c>
      <c r="V1525" s="2">
        <v>-66.171000000000006</v>
      </c>
      <c r="W1525">
        <v>2</v>
      </c>
      <c r="X1525" s="2">
        <v>17.64</v>
      </c>
      <c r="Y1525">
        <v>89147</v>
      </c>
      <c r="Z1525">
        <f t="shared" si="23"/>
        <v>35.28</v>
      </c>
    </row>
    <row r="1526" spans="1:26" x14ac:dyDescent="0.25">
      <c r="A1526">
        <v>23299</v>
      </c>
      <c r="B1526" t="s">
        <v>47</v>
      </c>
      <c r="C1526" s="2">
        <v>0.09</v>
      </c>
      <c r="D1526" s="2">
        <v>3.75</v>
      </c>
      <c r="E1526" s="2">
        <v>0.5</v>
      </c>
      <c r="F1526">
        <v>2689</v>
      </c>
      <c r="G1526" t="s">
        <v>2469</v>
      </c>
      <c r="H1526" t="s">
        <v>49</v>
      </c>
      <c r="I1526" t="s">
        <v>40</v>
      </c>
      <c r="J1526" t="s">
        <v>29</v>
      </c>
      <c r="K1526" t="s">
        <v>133</v>
      </c>
      <c r="L1526" t="s">
        <v>59</v>
      </c>
      <c r="M1526" t="s">
        <v>2470</v>
      </c>
      <c r="N1526">
        <v>0.37</v>
      </c>
      <c r="O1526" t="s">
        <v>33</v>
      </c>
      <c r="P1526" t="s">
        <v>53</v>
      </c>
      <c r="Q1526" t="s">
        <v>54</v>
      </c>
      <c r="R1526" t="s">
        <v>2471</v>
      </c>
      <c r="S1526">
        <v>7011</v>
      </c>
      <c r="T1526" s="1">
        <v>42128</v>
      </c>
      <c r="U1526" s="1">
        <v>42130</v>
      </c>
      <c r="V1526" s="2">
        <v>51.218699999999998</v>
      </c>
      <c r="W1526">
        <v>21</v>
      </c>
      <c r="X1526" s="2">
        <v>74.23</v>
      </c>
      <c r="Y1526">
        <v>90624</v>
      </c>
      <c r="Z1526">
        <f t="shared" si="23"/>
        <v>1558.8300000000002</v>
      </c>
    </row>
    <row r="1527" spans="1:26" x14ac:dyDescent="0.25">
      <c r="A1527">
        <v>23298</v>
      </c>
      <c r="B1527" t="s">
        <v>47</v>
      </c>
      <c r="C1527" s="2">
        <v>0.01</v>
      </c>
      <c r="D1527" s="2">
        <v>30.98</v>
      </c>
      <c r="E1527" s="2">
        <v>9.18</v>
      </c>
      <c r="F1527">
        <v>2693</v>
      </c>
      <c r="G1527" t="s">
        <v>2472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2338</v>
      </c>
      <c r="N1527">
        <v>0.4</v>
      </c>
      <c r="O1527" t="s">
        <v>33</v>
      </c>
      <c r="P1527" t="s">
        <v>53</v>
      </c>
      <c r="Q1527" t="s">
        <v>147</v>
      </c>
      <c r="R1527" t="s">
        <v>1093</v>
      </c>
      <c r="S1527">
        <v>5201</v>
      </c>
      <c r="T1527" s="1">
        <v>42128</v>
      </c>
      <c r="U1527" s="1">
        <v>42128</v>
      </c>
      <c r="V1527" s="2">
        <v>380.46800000000002</v>
      </c>
      <c r="W1527">
        <v>20</v>
      </c>
      <c r="X1527" s="2">
        <v>627.19000000000005</v>
      </c>
      <c r="Y1527">
        <v>90624</v>
      </c>
      <c r="Z1527">
        <f t="shared" si="23"/>
        <v>12543.800000000001</v>
      </c>
    </row>
    <row r="1528" spans="1:26" x14ac:dyDescent="0.25">
      <c r="A1528">
        <v>18354</v>
      </c>
      <c r="B1528" t="s">
        <v>47</v>
      </c>
      <c r="C1528" s="2">
        <v>0.05</v>
      </c>
      <c r="D1528" s="2">
        <v>107.53</v>
      </c>
      <c r="E1528" s="2">
        <v>5.81</v>
      </c>
      <c r="F1528">
        <v>2696</v>
      </c>
      <c r="G1528" t="s">
        <v>2473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1640</v>
      </c>
      <c r="N1528">
        <v>0.65</v>
      </c>
      <c r="O1528" t="s">
        <v>33</v>
      </c>
      <c r="P1528" t="s">
        <v>135</v>
      </c>
      <c r="Q1528" t="s">
        <v>1266</v>
      </c>
      <c r="R1528" t="s">
        <v>2474</v>
      </c>
      <c r="S1528">
        <v>35401</v>
      </c>
      <c r="T1528" s="1">
        <v>42068</v>
      </c>
      <c r="U1528" s="1">
        <v>42069</v>
      </c>
      <c r="V1528" s="2">
        <v>-89.418000000000006</v>
      </c>
      <c r="W1528">
        <v>6</v>
      </c>
      <c r="X1528" s="2">
        <v>612.91999999999996</v>
      </c>
      <c r="Y1528">
        <v>87676</v>
      </c>
      <c r="Z1528">
        <f t="shared" si="23"/>
        <v>3677.5199999999995</v>
      </c>
    </row>
    <row r="1529" spans="1:26" x14ac:dyDescent="0.25">
      <c r="A1529">
        <v>19506</v>
      </c>
      <c r="B1529" t="s">
        <v>47</v>
      </c>
      <c r="C1529" s="2">
        <v>0.04</v>
      </c>
      <c r="D1529" s="2">
        <v>1.74</v>
      </c>
      <c r="E1529" s="2">
        <v>4.08</v>
      </c>
      <c r="F1529">
        <v>2697</v>
      </c>
      <c r="G1529" t="s">
        <v>2475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214</v>
      </c>
      <c r="N1529">
        <v>0.53</v>
      </c>
      <c r="O1529" t="s">
        <v>33</v>
      </c>
      <c r="P1529" t="s">
        <v>135</v>
      </c>
      <c r="Q1529" t="s">
        <v>1266</v>
      </c>
      <c r="R1529" t="s">
        <v>2476</v>
      </c>
      <c r="S1529">
        <v>35216</v>
      </c>
      <c r="T1529" s="1">
        <v>42058</v>
      </c>
      <c r="U1529" s="1">
        <v>42060</v>
      </c>
      <c r="V1529" s="2">
        <v>9.2520000000000007</v>
      </c>
      <c r="W1529">
        <v>16</v>
      </c>
      <c r="X1529" s="2">
        <v>29.08</v>
      </c>
      <c r="Y1529">
        <v>87678</v>
      </c>
      <c r="Z1529">
        <f t="shared" si="23"/>
        <v>465.28</v>
      </c>
    </row>
    <row r="1530" spans="1:26" x14ac:dyDescent="0.25">
      <c r="A1530">
        <v>19507</v>
      </c>
      <c r="B1530" t="s">
        <v>47</v>
      </c>
      <c r="C1530" s="2">
        <v>0.01</v>
      </c>
      <c r="D1530" s="2">
        <v>119.99</v>
      </c>
      <c r="E1530" s="2">
        <v>56.14</v>
      </c>
      <c r="F1530">
        <v>2697</v>
      </c>
      <c r="G1530" t="s">
        <v>2475</v>
      </c>
      <c r="H1530" t="s">
        <v>39</v>
      </c>
      <c r="I1530" t="s">
        <v>28</v>
      </c>
      <c r="J1530" t="s">
        <v>77</v>
      </c>
      <c r="K1530" t="s">
        <v>85</v>
      </c>
      <c r="L1530" t="s">
        <v>120</v>
      </c>
      <c r="M1530" t="s">
        <v>312</v>
      </c>
      <c r="N1530">
        <v>0.39</v>
      </c>
      <c r="O1530" t="s">
        <v>33</v>
      </c>
      <c r="P1530" t="s">
        <v>135</v>
      </c>
      <c r="Q1530" t="s">
        <v>1266</v>
      </c>
      <c r="R1530" t="s">
        <v>2476</v>
      </c>
      <c r="S1530">
        <v>35216</v>
      </c>
      <c r="T1530" s="1">
        <v>42058</v>
      </c>
      <c r="U1530" s="1">
        <v>42059</v>
      </c>
      <c r="V1530" s="2">
        <v>-1197.0419999999999</v>
      </c>
      <c r="W1530">
        <v>21</v>
      </c>
      <c r="X1530" s="2">
        <v>2569.5700000000002</v>
      </c>
      <c r="Y1530">
        <v>87678</v>
      </c>
      <c r="Z1530">
        <f t="shared" si="23"/>
        <v>53960.97</v>
      </c>
    </row>
    <row r="1531" spans="1:26" x14ac:dyDescent="0.25">
      <c r="A1531">
        <v>21580</v>
      </c>
      <c r="B1531" t="s">
        <v>47</v>
      </c>
      <c r="C1531" s="2">
        <v>0.06</v>
      </c>
      <c r="D1531" s="2">
        <v>4.9800000000000004</v>
      </c>
      <c r="E1531" s="2">
        <v>4.95</v>
      </c>
      <c r="F1531">
        <v>2699</v>
      </c>
      <c r="G1531" t="s">
        <v>2477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2478</v>
      </c>
      <c r="N1531">
        <v>0.37</v>
      </c>
      <c r="O1531" t="s">
        <v>33</v>
      </c>
      <c r="P1531" t="s">
        <v>34</v>
      </c>
      <c r="Q1531" t="s">
        <v>372</v>
      </c>
      <c r="R1531" t="s">
        <v>2479</v>
      </c>
      <c r="S1531">
        <v>86442</v>
      </c>
      <c r="T1531" s="1">
        <v>42146</v>
      </c>
      <c r="U1531" s="1">
        <v>42148</v>
      </c>
      <c r="V1531" s="2">
        <v>-103.224</v>
      </c>
      <c r="W1531">
        <v>16</v>
      </c>
      <c r="X1531" s="2">
        <v>78.989999999999995</v>
      </c>
      <c r="Y1531">
        <v>87677</v>
      </c>
      <c r="Z1531">
        <f t="shared" si="23"/>
        <v>1263.8399999999999</v>
      </c>
    </row>
    <row r="1532" spans="1:26" x14ac:dyDescent="0.25">
      <c r="A1532">
        <v>20983</v>
      </c>
      <c r="B1532" t="s">
        <v>37</v>
      </c>
      <c r="C1532" s="2">
        <v>0.04</v>
      </c>
      <c r="D1532" s="2">
        <v>70.98</v>
      </c>
      <c r="E1532" s="2">
        <v>26.74</v>
      </c>
      <c r="F1532">
        <v>2699</v>
      </c>
      <c r="G1532" t="s">
        <v>2477</v>
      </c>
      <c r="H1532" t="s">
        <v>39</v>
      </c>
      <c r="I1532" t="s">
        <v>28</v>
      </c>
      <c r="J1532" t="s">
        <v>41</v>
      </c>
      <c r="K1532" t="s">
        <v>187</v>
      </c>
      <c r="L1532" t="s">
        <v>120</v>
      </c>
      <c r="M1532" t="s">
        <v>2480</v>
      </c>
      <c r="N1532">
        <v>0.6</v>
      </c>
      <c r="O1532" t="s">
        <v>33</v>
      </c>
      <c r="P1532" t="s">
        <v>34</v>
      </c>
      <c r="Q1532" t="s">
        <v>372</v>
      </c>
      <c r="R1532" t="s">
        <v>2479</v>
      </c>
      <c r="S1532">
        <v>86442</v>
      </c>
      <c r="T1532" s="1">
        <v>42102</v>
      </c>
      <c r="U1532" s="1">
        <v>42104</v>
      </c>
      <c r="V1532" s="2">
        <v>-84.628799999999998</v>
      </c>
      <c r="W1532">
        <v>19</v>
      </c>
      <c r="X1532" s="2">
        <v>1345.33</v>
      </c>
      <c r="Y1532">
        <v>87679</v>
      </c>
      <c r="Z1532">
        <f t="shared" si="23"/>
        <v>25561.269999999997</v>
      </c>
    </row>
    <row r="1533" spans="1:26" x14ac:dyDescent="0.25">
      <c r="A1533">
        <v>24151</v>
      </c>
      <c r="B1533" t="s">
        <v>47</v>
      </c>
      <c r="C1533" s="2">
        <v>0.06</v>
      </c>
      <c r="D1533" s="2">
        <v>3.6</v>
      </c>
      <c r="E1533" s="2">
        <v>2.2000000000000002</v>
      </c>
      <c r="F1533">
        <v>2704</v>
      </c>
      <c r="G1533" t="s">
        <v>2481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1656</v>
      </c>
      <c r="N1533">
        <v>0.39</v>
      </c>
      <c r="O1533" t="s">
        <v>33</v>
      </c>
      <c r="P1533" t="s">
        <v>135</v>
      </c>
      <c r="Q1533" t="s">
        <v>356</v>
      </c>
      <c r="R1533" t="s">
        <v>2482</v>
      </c>
      <c r="S1533">
        <v>32503</v>
      </c>
      <c r="T1533" s="1">
        <v>42124</v>
      </c>
      <c r="U1533" s="1">
        <v>42126</v>
      </c>
      <c r="V1533" s="2">
        <v>2755.6421999999998</v>
      </c>
      <c r="W1533">
        <v>4</v>
      </c>
      <c r="X1533" s="2">
        <v>15.19</v>
      </c>
      <c r="Y1533">
        <v>91407</v>
      </c>
      <c r="Z1533">
        <f t="shared" si="23"/>
        <v>60.76</v>
      </c>
    </row>
    <row r="1534" spans="1:26" x14ac:dyDescent="0.25">
      <c r="A1534">
        <v>21979</v>
      </c>
      <c r="B1534" t="s">
        <v>106</v>
      </c>
      <c r="C1534" s="2">
        <v>0.03</v>
      </c>
      <c r="D1534" s="2">
        <v>13.48</v>
      </c>
      <c r="E1534" s="2">
        <v>4.51</v>
      </c>
      <c r="F1534">
        <v>2704</v>
      </c>
      <c r="G1534" t="s">
        <v>2481</v>
      </c>
      <c r="H1534" t="s">
        <v>27</v>
      </c>
      <c r="I1534" t="s">
        <v>114</v>
      </c>
      <c r="J1534" t="s">
        <v>29</v>
      </c>
      <c r="K1534" t="s">
        <v>139</v>
      </c>
      <c r="L1534" t="s">
        <v>59</v>
      </c>
      <c r="M1534" t="s">
        <v>2483</v>
      </c>
      <c r="N1534">
        <v>0.59</v>
      </c>
      <c r="O1534" t="s">
        <v>33</v>
      </c>
      <c r="P1534" t="s">
        <v>135</v>
      </c>
      <c r="Q1534" t="s">
        <v>356</v>
      </c>
      <c r="R1534" t="s">
        <v>2482</v>
      </c>
      <c r="S1534">
        <v>32503</v>
      </c>
      <c r="T1534" s="1">
        <v>42124</v>
      </c>
      <c r="U1534" s="1">
        <v>42128</v>
      </c>
      <c r="V1534" s="2">
        <v>-256.01799999999997</v>
      </c>
      <c r="W1534">
        <v>4</v>
      </c>
      <c r="X1534" s="2">
        <v>59.49</v>
      </c>
      <c r="Y1534">
        <v>91408</v>
      </c>
      <c r="Z1534">
        <f t="shared" si="23"/>
        <v>237.96</v>
      </c>
    </row>
    <row r="1535" spans="1:26" x14ac:dyDescent="0.25">
      <c r="A1535">
        <v>18898</v>
      </c>
      <c r="B1535" t="s">
        <v>56</v>
      </c>
      <c r="C1535" s="2">
        <v>7.0000000000000007E-2</v>
      </c>
      <c r="D1535" s="2">
        <v>60.97</v>
      </c>
      <c r="E1535" s="2">
        <v>4.5</v>
      </c>
      <c r="F1535">
        <v>2709</v>
      </c>
      <c r="G1535" t="s">
        <v>2484</v>
      </c>
      <c r="H1535" t="s">
        <v>49</v>
      </c>
      <c r="I1535" t="s">
        <v>114</v>
      </c>
      <c r="J1535" t="s">
        <v>29</v>
      </c>
      <c r="K1535" t="s">
        <v>252</v>
      </c>
      <c r="L1535" t="s">
        <v>59</v>
      </c>
      <c r="M1535" t="s">
        <v>2114</v>
      </c>
      <c r="N1535">
        <v>0.56000000000000005</v>
      </c>
      <c r="O1535" t="s">
        <v>33</v>
      </c>
      <c r="P1535" t="s">
        <v>53</v>
      </c>
      <c r="Q1535" t="s">
        <v>409</v>
      </c>
      <c r="R1535" t="s">
        <v>2485</v>
      </c>
      <c r="S1535">
        <v>21042</v>
      </c>
      <c r="T1535" s="1">
        <v>42152</v>
      </c>
      <c r="U1535" s="1">
        <v>42154</v>
      </c>
      <c r="V1535" s="2">
        <v>-41.77</v>
      </c>
      <c r="W1535">
        <v>1</v>
      </c>
      <c r="X1535" s="2">
        <v>57.84</v>
      </c>
      <c r="Y1535">
        <v>89240</v>
      </c>
      <c r="Z1535">
        <f t="shared" si="23"/>
        <v>57.84</v>
      </c>
    </row>
    <row r="1536" spans="1:26" x14ac:dyDescent="0.25">
      <c r="A1536">
        <v>18899</v>
      </c>
      <c r="B1536" t="s">
        <v>56</v>
      </c>
      <c r="C1536" s="2">
        <v>0</v>
      </c>
      <c r="D1536" s="2">
        <v>90.98</v>
      </c>
      <c r="E1536" s="2">
        <v>56.2</v>
      </c>
      <c r="F1536">
        <v>2709</v>
      </c>
      <c r="G1536" t="s">
        <v>2484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1050</v>
      </c>
      <c r="N1536">
        <v>0.74</v>
      </c>
      <c r="O1536" t="s">
        <v>33</v>
      </c>
      <c r="P1536" t="s">
        <v>53</v>
      </c>
      <c r="Q1536" t="s">
        <v>409</v>
      </c>
      <c r="R1536" t="s">
        <v>2485</v>
      </c>
      <c r="S1536">
        <v>21042</v>
      </c>
      <c r="T1536" s="1">
        <v>42152</v>
      </c>
      <c r="U1536" s="1">
        <v>42154</v>
      </c>
      <c r="V1536" s="2">
        <v>-1014.11</v>
      </c>
      <c r="W1536">
        <v>15</v>
      </c>
      <c r="X1536" s="2">
        <v>1425.71</v>
      </c>
      <c r="Y1536">
        <v>89240</v>
      </c>
      <c r="Z1536">
        <f t="shared" si="23"/>
        <v>21385.65</v>
      </c>
    </row>
    <row r="1537" spans="1:26" x14ac:dyDescent="0.25">
      <c r="A1537">
        <v>18855</v>
      </c>
      <c r="B1537" t="s">
        <v>47</v>
      </c>
      <c r="C1537" s="2">
        <v>7.0000000000000007E-2</v>
      </c>
      <c r="D1537" s="2">
        <v>2.88</v>
      </c>
      <c r="E1537" s="2">
        <v>0.5</v>
      </c>
      <c r="F1537">
        <v>2713</v>
      </c>
      <c r="G1537" t="s">
        <v>2486</v>
      </c>
      <c r="H1537" t="s">
        <v>49</v>
      </c>
      <c r="I1537" t="s">
        <v>28</v>
      </c>
      <c r="J1537" t="s">
        <v>29</v>
      </c>
      <c r="K1537" t="s">
        <v>133</v>
      </c>
      <c r="L1537" t="s">
        <v>59</v>
      </c>
      <c r="M1537" t="s">
        <v>2487</v>
      </c>
      <c r="N1537">
        <v>0.39</v>
      </c>
      <c r="O1537" t="s">
        <v>33</v>
      </c>
      <c r="P1537" t="s">
        <v>61</v>
      </c>
      <c r="Q1537" t="s">
        <v>295</v>
      </c>
      <c r="R1537" t="s">
        <v>2488</v>
      </c>
      <c r="S1537">
        <v>49001</v>
      </c>
      <c r="T1537" s="1">
        <v>42176</v>
      </c>
      <c r="U1537" s="1">
        <v>42179</v>
      </c>
      <c r="V1537" s="2">
        <v>17.429400000000001</v>
      </c>
      <c r="W1537">
        <v>9</v>
      </c>
      <c r="X1537" s="2">
        <v>25.26</v>
      </c>
      <c r="Y1537">
        <v>88701</v>
      </c>
      <c r="Z1537">
        <f t="shared" si="23"/>
        <v>227.34</v>
      </c>
    </row>
    <row r="1538" spans="1:26" x14ac:dyDescent="0.25">
      <c r="A1538">
        <v>18856</v>
      </c>
      <c r="B1538" t="s">
        <v>47</v>
      </c>
      <c r="C1538" s="2">
        <v>0.03</v>
      </c>
      <c r="D1538" s="2">
        <v>348.21</v>
      </c>
      <c r="E1538" s="2">
        <v>40.19</v>
      </c>
      <c r="F1538">
        <v>2713</v>
      </c>
      <c r="G1538" t="s">
        <v>2486</v>
      </c>
      <c r="H1538" t="s">
        <v>39</v>
      </c>
      <c r="I1538" t="s">
        <v>28</v>
      </c>
      <c r="J1538" t="s">
        <v>41</v>
      </c>
      <c r="K1538" t="s">
        <v>150</v>
      </c>
      <c r="L1538" t="s">
        <v>120</v>
      </c>
      <c r="M1538" t="s">
        <v>1559</v>
      </c>
      <c r="N1538">
        <v>0.62</v>
      </c>
      <c r="O1538" t="s">
        <v>33</v>
      </c>
      <c r="P1538" t="s">
        <v>61</v>
      </c>
      <c r="Q1538" t="s">
        <v>295</v>
      </c>
      <c r="R1538" t="s">
        <v>2488</v>
      </c>
      <c r="S1538">
        <v>49001</v>
      </c>
      <c r="T1538" s="1">
        <v>42176</v>
      </c>
      <c r="U1538" s="1">
        <v>42177</v>
      </c>
      <c r="V1538" s="2">
        <v>-178.86959999999999</v>
      </c>
      <c r="W1538">
        <v>2</v>
      </c>
      <c r="X1538" s="2">
        <v>736.16</v>
      </c>
      <c r="Y1538">
        <v>88701</v>
      </c>
      <c r="Z1538">
        <f t="shared" si="23"/>
        <v>1472.32</v>
      </c>
    </row>
    <row r="1539" spans="1:26" x14ac:dyDescent="0.25">
      <c r="A1539">
        <v>21690</v>
      </c>
      <c r="B1539" t="s">
        <v>106</v>
      </c>
      <c r="C1539" s="2">
        <v>0.01</v>
      </c>
      <c r="D1539" s="2">
        <v>29.89</v>
      </c>
      <c r="E1539" s="2">
        <v>1.99</v>
      </c>
      <c r="F1539">
        <v>2715</v>
      </c>
      <c r="G1539" t="s">
        <v>2489</v>
      </c>
      <c r="H1539" t="s">
        <v>49</v>
      </c>
      <c r="I1539" t="s">
        <v>28</v>
      </c>
      <c r="J1539" t="s">
        <v>77</v>
      </c>
      <c r="K1539" t="s">
        <v>177</v>
      </c>
      <c r="L1539" t="s">
        <v>51</v>
      </c>
      <c r="M1539" t="s">
        <v>1299</v>
      </c>
      <c r="N1539">
        <v>0.5</v>
      </c>
      <c r="O1539" t="s">
        <v>33</v>
      </c>
      <c r="P1539" t="s">
        <v>61</v>
      </c>
      <c r="Q1539" t="s">
        <v>295</v>
      </c>
      <c r="R1539" t="s">
        <v>2490</v>
      </c>
      <c r="S1539">
        <v>48911</v>
      </c>
      <c r="T1539" s="1">
        <v>42016</v>
      </c>
      <c r="U1539" s="1">
        <v>42020</v>
      </c>
      <c r="V1539" s="2">
        <v>-74.64</v>
      </c>
      <c r="W1539">
        <v>1</v>
      </c>
      <c r="X1539" s="2">
        <v>31.96</v>
      </c>
      <c r="Y1539">
        <v>88702</v>
      </c>
      <c r="Z1539">
        <f t="shared" ref="Z1539:Z1602" si="24">W1539*X1539</f>
        <v>31.96</v>
      </c>
    </row>
    <row r="1540" spans="1:26" x14ac:dyDescent="0.25">
      <c r="A1540">
        <v>21863</v>
      </c>
      <c r="B1540" t="s">
        <v>47</v>
      </c>
      <c r="C1540" s="2">
        <v>0.1</v>
      </c>
      <c r="D1540" s="2">
        <v>6.74</v>
      </c>
      <c r="E1540" s="2">
        <v>1.72</v>
      </c>
      <c r="F1540">
        <v>2718</v>
      </c>
      <c r="G1540" t="s">
        <v>2491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2492</v>
      </c>
      <c r="N1540">
        <v>0.35</v>
      </c>
      <c r="O1540" t="s">
        <v>33</v>
      </c>
      <c r="P1540" t="s">
        <v>61</v>
      </c>
      <c r="Q1540" t="s">
        <v>175</v>
      </c>
      <c r="R1540" t="s">
        <v>2490</v>
      </c>
      <c r="S1540">
        <v>60438</v>
      </c>
      <c r="T1540" s="1">
        <v>42064</v>
      </c>
      <c r="U1540" s="1">
        <v>42066</v>
      </c>
      <c r="V1540" s="2">
        <v>65.41</v>
      </c>
      <c r="W1540">
        <v>15</v>
      </c>
      <c r="X1540" s="2">
        <v>98.17</v>
      </c>
      <c r="Y1540">
        <v>89394</v>
      </c>
      <c r="Z1540">
        <f t="shared" si="24"/>
        <v>1472.55</v>
      </c>
    </row>
    <row r="1541" spans="1:26" x14ac:dyDescent="0.25">
      <c r="A1541">
        <v>21399</v>
      </c>
      <c r="B1541" t="s">
        <v>47</v>
      </c>
      <c r="C1541" s="2">
        <v>0</v>
      </c>
      <c r="D1541" s="2">
        <v>40.479999999999997</v>
      </c>
      <c r="E1541" s="2">
        <v>19.989999999999998</v>
      </c>
      <c r="F1541">
        <v>2720</v>
      </c>
      <c r="G1541" t="s">
        <v>2493</v>
      </c>
      <c r="H1541" t="s">
        <v>49</v>
      </c>
      <c r="I1541" t="s">
        <v>58</v>
      </c>
      <c r="J1541" t="s">
        <v>77</v>
      </c>
      <c r="K1541" t="s">
        <v>177</v>
      </c>
      <c r="L1541" t="s">
        <v>59</v>
      </c>
      <c r="M1541" t="s">
        <v>821</v>
      </c>
      <c r="N1541">
        <v>0.77</v>
      </c>
      <c r="O1541" t="s">
        <v>33</v>
      </c>
      <c r="P1541" t="s">
        <v>135</v>
      </c>
      <c r="Q1541" t="s">
        <v>381</v>
      </c>
      <c r="R1541" t="s">
        <v>2494</v>
      </c>
      <c r="S1541">
        <v>30721</v>
      </c>
      <c r="T1541" s="1">
        <v>42171</v>
      </c>
      <c r="U1541" s="1">
        <v>42172</v>
      </c>
      <c r="V1541" s="2">
        <v>-25.634</v>
      </c>
      <c r="W1541">
        <v>6</v>
      </c>
      <c r="X1541" s="2">
        <v>264.95</v>
      </c>
      <c r="Y1541">
        <v>88766</v>
      </c>
      <c r="Z1541">
        <f t="shared" si="24"/>
        <v>1589.6999999999998</v>
      </c>
    </row>
    <row r="1542" spans="1:26" x14ac:dyDescent="0.25">
      <c r="A1542">
        <v>19907</v>
      </c>
      <c r="B1542" t="s">
        <v>47</v>
      </c>
      <c r="C1542" s="2">
        <v>0.06</v>
      </c>
      <c r="D1542" s="2">
        <v>4.9800000000000004</v>
      </c>
      <c r="E1542" s="2">
        <v>7.44</v>
      </c>
      <c r="F1542">
        <v>2724</v>
      </c>
      <c r="G1542" t="s">
        <v>2495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378</v>
      </c>
      <c r="N1542">
        <v>0.36</v>
      </c>
      <c r="O1542" t="s">
        <v>33</v>
      </c>
      <c r="P1542" t="s">
        <v>135</v>
      </c>
      <c r="Q1542" t="s">
        <v>239</v>
      </c>
      <c r="R1542" t="s">
        <v>2496</v>
      </c>
      <c r="S1542">
        <v>37421</v>
      </c>
      <c r="T1542" s="1">
        <v>42125</v>
      </c>
      <c r="U1542" s="1">
        <v>42126</v>
      </c>
      <c r="V1542" s="2">
        <v>-37.561999999999998</v>
      </c>
      <c r="W1542">
        <v>10</v>
      </c>
      <c r="X1542" s="2">
        <v>53.21</v>
      </c>
      <c r="Y1542">
        <v>88959</v>
      </c>
      <c r="Z1542">
        <f t="shared" si="24"/>
        <v>532.1</v>
      </c>
    </row>
    <row r="1543" spans="1:26" x14ac:dyDescent="0.25">
      <c r="A1543">
        <v>19908</v>
      </c>
      <c r="B1543" t="s">
        <v>47</v>
      </c>
      <c r="C1543" s="2">
        <v>0.01</v>
      </c>
      <c r="D1543" s="2">
        <v>6.48</v>
      </c>
      <c r="E1543" s="2">
        <v>7.37</v>
      </c>
      <c r="F1543">
        <v>2724</v>
      </c>
      <c r="G1543" t="s">
        <v>2495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706</v>
      </c>
      <c r="N1543">
        <v>0.37</v>
      </c>
      <c r="O1543" t="s">
        <v>33</v>
      </c>
      <c r="P1543" t="s">
        <v>135</v>
      </c>
      <c r="Q1543" t="s">
        <v>239</v>
      </c>
      <c r="R1543" t="s">
        <v>2496</v>
      </c>
      <c r="S1543">
        <v>37421</v>
      </c>
      <c r="T1543" s="1">
        <v>42125</v>
      </c>
      <c r="U1543" s="1">
        <v>42127</v>
      </c>
      <c r="V1543" s="2">
        <v>-449.69400000000002</v>
      </c>
      <c r="W1543">
        <v>18</v>
      </c>
      <c r="X1543" s="2">
        <v>122.8</v>
      </c>
      <c r="Y1543">
        <v>88959</v>
      </c>
      <c r="Z1543">
        <f t="shared" si="24"/>
        <v>2210.4</v>
      </c>
    </row>
    <row r="1544" spans="1:26" x14ac:dyDescent="0.25">
      <c r="A1544">
        <v>22612</v>
      </c>
      <c r="B1544" t="s">
        <v>37</v>
      </c>
      <c r="C1544" s="2">
        <v>0.05</v>
      </c>
      <c r="D1544" s="2">
        <v>28.15</v>
      </c>
      <c r="E1544" s="2">
        <v>6.17</v>
      </c>
      <c r="F1544">
        <v>2725</v>
      </c>
      <c r="G1544" t="s">
        <v>2497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2318</v>
      </c>
      <c r="N1544">
        <v>0.55000000000000004</v>
      </c>
      <c r="O1544" t="s">
        <v>33</v>
      </c>
      <c r="P1544" t="s">
        <v>135</v>
      </c>
      <c r="Q1544" t="s">
        <v>239</v>
      </c>
      <c r="R1544" t="s">
        <v>2498</v>
      </c>
      <c r="S1544">
        <v>37042</v>
      </c>
      <c r="T1544" s="1">
        <v>42021</v>
      </c>
      <c r="U1544" s="1">
        <v>42022</v>
      </c>
      <c r="V1544" s="2">
        <v>-66.248000000000005</v>
      </c>
      <c r="W1544">
        <v>10</v>
      </c>
      <c r="X1544" s="2">
        <v>282.38</v>
      </c>
      <c r="Y1544">
        <v>88958</v>
      </c>
      <c r="Z1544">
        <f t="shared" si="24"/>
        <v>2823.8</v>
      </c>
    </row>
    <row r="1545" spans="1:26" x14ac:dyDescent="0.25">
      <c r="A1545">
        <v>21422</v>
      </c>
      <c r="B1545" t="s">
        <v>106</v>
      </c>
      <c r="C1545" s="2">
        <v>0.08</v>
      </c>
      <c r="D1545" s="2">
        <v>230.98</v>
      </c>
      <c r="E1545" s="2">
        <v>23.78</v>
      </c>
      <c r="F1545">
        <v>2729</v>
      </c>
      <c r="G1545" t="s">
        <v>2499</v>
      </c>
      <c r="H1545" t="s">
        <v>39</v>
      </c>
      <c r="I1545" t="s">
        <v>114</v>
      </c>
      <c r="J1545" t="s">
        <v>41</v>
      </c>
      <c r="K1545" t="s">
        <v>150</v>
      </c>
      <c r="L1545" t="s">
        <v>120</v>
      </c>
      <c r="M1545" t="s">
        <v>816</v>
      </c>
      <c r="N1545">
        <v>0.6</v>
      </c>
      <c r="O1545" t="s">
        <v>33</v>
      </c>
      <c r="P1545" t="s">
        <v>34</v>
      </c>
      <c r="Q1545" t="s">
        <v>35</v>
      </c>
      <c r="R1545" t="s">
        <v>559</v>
      </c>
      <c r="S1545">
        <v>98226</v>
      </c>
      <c r="T1545" s="1">
        <v>42069</v>
      </c>
      <c r="U1545" s="1">
        <v>42073</v>
      </c>
      <c r="V1545" s="2">
        <v>501.69</v>
      </c>
      <c r="W1545">
        <v>4</v>
      </c>
      <c r="X1545" s="2">
        <v>924.8</v>
      </c>
      <c r="Y1545">
        <v>88114</v>
      </c>
      <c r="Z1545">
        <f t="shared" si="24"/>
        <v>3699.2</v>
      </c>
    </row>
    <row r="1546" spans="1:26" x14ac:dyDescent="0.25">
      <c r="A1546">
        <v>19819</v>
      </c>
      <c r="B1546" t="s">
        <v>37</v>
      </c>
      <c r="C1546" s="2">
        <v>0.05</v>
      </c>
      <c r="D1546" s="2">
        <v>100.98</v>
      </c>
      <c r="E1546" s="2">
        <v>7.18</v>
      </c>
      <c r="F1546">
        <v>2737</v>
      </c>
      <c r="G1546" t="s">
        <v>2500</v>
      </c>
      <c r="H1546" t="s">
        <v>49</v>
      </c>
      <c r="I1546" t="s">
        <v>58</v>
      </c>
      <c r="J1546" t="s">
        <v>77</v>
      </c>
      <c r="K1546" t="s">
        <v>177</v>
      </c>
      <c r="L1546" t="s">
        <v>59</v>
      </c>
      <c r="M1546" t="s">
        <v>2257</v>
      </c>
      <c r="N1546">
        <v>0.4</v>
      </c>
      <c r="O1546" t="s">
        <v>33</v>
      </c>
      <c r="P1546" t="s">
        <v>53</v>
      </c>
      <c r="Q1546" t="s">
        <v>147</v>
      </c>
      <c r="R1546" t="s">
        <v>731</v>
      </c>
      <c r="S1546">
        <v>5701</v>
      </c>
      <c r="T1546" s="1">
        <v>42116</v>
      </c>
      <c r="U1546" s="1">
        <v>42118</v>
      </c>
      <c r="V1546" s="2">
        <v>566.60730000000001</v>
      </c>
      <c r="W1546">
        <v>8</v>
      </c>
      <c r="X1546" s="2">
        <v>821.17</v>
      </c>
      <c r="Y1546">
        <v>89018</v>
      </c>
      <c r="Z1546">
        <f t="shared" si="24"/>
        <v>6569.36</v>
      </c>
    </row>
    <row r="1547" spans="1:26" x14ac:dyDescent="0.25">
      <c r="A1547">
        <v>18790</v>
      </c>
      <c r="B1547" t="s">
        <v>56</v>
      </c>
      <c r="C1547" s="2">
        <v>0.03</v>
      </c>
      <c r="D1547" s="2">
        <v>15.31</v>
      </c>
      <c r="E1547" s="2">
        <v>8.7799999999999994</v>
      </c>
      <c r="F1547">
        <v>2737</v>
      </c>
      <c r="G1547" t="s">
        <v>2500</v>
      </c>
      <c r="H1547" t="s">
        <v>49</v>
      </c>
      <c r="I1547" t="s">
        <v>58</v>
      </c>
      <c r="J1547" t="s">
        <v>29</v>
      </c>
      <c r="K1547" t="s">
        <v>139</v>
      </c>
      <c r="L1547" t="s">
        <v>59</v>
      </c>
      <c r="M1547" t="s">
        <v>1913</v>
      </c>
      <c r="N1547">
        <v>0.56999999999999995</v>
      </c>
      <c r="O1547" t="s">
        <v>33</v>
      </c>
      <c r="P1547" t="s">
        <v>53</v>
      </c>
      <c r="Q1547" t="s">
        <v>147</v>
      </c>
      <c r="R1547" t="s">
        <v>731</v>
      </c>
      <c r="S1547">
        <v>5701</v>
      </c>
      <c r="T1547" s="1">
        <v>42156</v>
      </c>
      <c r="U1547" s="1">
        <v>42157</v>
      </c>
      <c r="V1547" s="2">
        <v>-57.56</v>
      </c>
      <c r="W1547">
        <v>12</v>
      </c>
      <c r="X1547" s="2">
        <v>194.08</v>
      </c>
      <c r="Y1547">
        <v>89019</v>
      </c>
      <c r="Z1547">
        <f t="shared" si="24"/>
        <v>2328.96</v>
      </c>
    </row>
    <row r="1548" spans="1:26" x14ac:dyDescent="0.25">
      <c r="A1548">
        <v>24278</v>
      </c>
      <c r="B1548" t="s">
        <v>47</v>
      </c>
      <c r="C1548" s="2">
        <v>0.02</v>
      </c>
      <c r="D1548" s="2">
        <v>33.979999999999997</v>
      </c>
      <c r="E1548" s="2">
        <v>1.99</v>
      </c>
      <c r="F1548">
        <v>2738</v>
      </c>
      <c r="G1548" t="s">
        <v>2501</v>
      </c>
      <c r="H1548" t="s">
        <v>49</v>
      </c>
      <c r="I1548" t="s">
        <v>58</v>
      </c>
      <c r="J1548" t="s">
        <v>77</v>
      </c>
      <c r="K1548" t="s">
        <v>177</v>
      </c>
      <c r="L1548" t="s">
        <v>51</v>
      </c>
      <c r="M1548" t="s">
        <v>2502</v>
      </c>
      <c r="N1548">
        <v>0.45</v>
      </c>
      <c r="O1548" t="s">
        <v>33</v>
      </c>
      <c r="P1548" t="s">
        <v>53</v>
      </c>
      <c r="Q1548" t="s">
        <v>147</v>
      </c>
      <c r="R1548" t="s">
        <v>769</v>
      </c>
      <c r="S1548">
        <v>5403</v>
      </c>
      <c r="T1548" s="1">
        <v>42107</v>
      </c>
      <c r="U1548" s="1">
        <v>42109</v>
      </c>
      <c r="V1548" s="2">
        <v>164.06129999999999</v>
      </c>
      <c r="W1548">
        <v>7</v>
      </c>
      <c r="X1548" s="2">
        <v>237.77</v>
      </c>
      <c r="Y1548">
        <v>89017</v>
      </c>
      <c r="Z1548">
        <f t="shared" si="24"/>
        <v>1664.39</v>
      </c>
    </row>
    <row r="1549" spans="1:26" x14ac:dyDescent="0.25">
      <c r="A1549">
        <v>19987</v>
      </c>
      <c r="B1549" t="s">
        <v>106</v>
      </c>
      <c r="C1549" s="2">
        <v>0.01</v>
      </c>
      <c r="D1549" s="2">
        <v>35.99</v>
      </c>
      <c r="E1549" s="2">
        <v>5.99</v>
      </c>
      <c r="F1549">
        <v>2741</v>
      </c>
      <c r="G1549" t="s">
        <v>2503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972</v>
      </c>
      <c r="N1549">
        <v>0.38</v>
      </c>
      <c r="O1549" t="s">
        <v>33</v>
      </c>
      <c r="P1549" t="s">
        <v>34</v>
      </c>
      <c r="Q1549" t="s">
        <v>1727</v>
      </c>
      <c r="R1549" t="s">
        <v>2504</v>
      </c>
      <c r="S1549">
        <v>83605</v>
      </c>
      <c r="T1549" s="1">
        <v>42075</v>
      </c>
      <c r="U1549" s="1">
        <v>42082</v>
      </c>
      <c r="V1549" s="2">
        <v>218.23320000000001</v>
      </c>
      <c r="W1549">
        <v>10</v>
      </c>
      <c r="X1549" s="2">
        <v>316.27999999999997</v>
      </c>
      <c r="Y1549">
        <v>89481</v>
      </c>
      <c r="Z1549">
        <f t="shared" si="24"/>
        <v>3162.7999999999997</v>
      </c>
    </row>
    <row r="1550" spans="1:26" x14ac:dyDescent="0.25">
      <c r="A1550">
        <v>21323</v>
      </c>
      <c r="B1550" t="s">
        <v>56</v>
      </c>
      <c r="C1550" s="2">
        <v>0.01</v>
      </c>
      <c r="D1550" s="2">
        <v>220.98</v>
      </c>
      <c r="E1550" s="2">
        <v>64.66</v>
      </c>
      <c r="F1550">
        <v>2745</v>
      </c>
      <c r="G1550" t="s">
        <v>2505</v>
      </c>
      <c r="H1550" t="s">
        <v>39</v>
      </c>
      <c r="I1550" t="s">
        <v>28</v>
      </c>
      <c r="J1550" t="s">
        <v>41</v>
      </c>
      <c r="K1550" t="s">
        <v>187</v>
      </c>
      <c r="L1550" t="s">
        <v>120</v>
      </c>
      <c r="M1550" t="s">
        <v>2506</v>
      </c>
      <c r="N1550">
        <v>0.62</v>
      </c>
      <c r="O1550" t="s">
        <v>33</v>
      </c>
      <c r="P1550" t="s">
        <v>34</v>
      </c>
      <c r="Q1550" t="s">
        <v>372</v>
      </c>
      <c r="R1550" t="s">
        <v>2507</v>
      </c>
      <c r="S1550">
        <v>85224</v>
      </c>
      <c r="T1550" s="1">
        <v>42081</v>
      </c>
      <c r="U1550" s="1">
        <v>42082</v>
      </c>
      <c r="V1550" s="2">
        <v>1049.03</v>
      </c>
      <c r="W1550">
        <v>11</v>
      </c>
      <c r="X1550" s="2">
        <v>2591.09</v>
      </c>
      <c r="Y1550">
        <v>86184</v>
      </c>
      <c r="Z1550">
        <f t="shared" si="24"/>
        <v>28501.99</v>
      </c>
    </row>
    <row r="1551" spans="1:26" x14ac:dyDescent="0.25">
      <c r="A1551">
        <v>4949</v>
      </c>
      <c r="B1551" t="s">
        <v>56</v>
      </c>
      <c r="C1551" s="2">
        <v>0.08</v>
      </c>
      <c r="D1551" s="2">
        <v>9.98</v>
      </c>
      <c r="E1551" s="2">
        <v>12.52</v>
      </c>
      <c r="F1551">
        <v>2747</v>
      </c>
      <c r="G1551" t="s">
        <v>2508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2509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1">
        <v>42040</v>
      </c>
      <c r="U1551" s="1">
        <v>42042</v>
      </c>
      <c r="V1551" s="2">
        <v>-102.93</v>
      </c>
      <c r="W1551">
        <v>15</v>
      </c>
      <c r="X1551" s="2">
        <v>150.24</v>
      </c>
      <c r="Y1551">
        <v>35200</v>
      </c>
      <c r="Z1551">
        <f t="shared" si="24"/>
        <v>2253.6000000000004</v>
      </c>
    </row>
    <row r="1552" spans="1:26" x14ac:dyDescent="0.25">
      <c r="A1552">
        <v>3323</v>
      </c>
      <c r="B1552" t="s">
        <v>56</v>
      </c>
      <c r="C1552" s="2">
        <v>0.01</v>
      </c>
      <c r="D1552" s="2">
        <v>220.98</v>
      </c>
      <c r="E1552" s="2">
        <v>64.66</v>
      </c>
      <c r="F1552">
        <v>2747</v>
      </c>
      <c r="G1552" t="s">
        <v>2508</v>
      </c>
      <c r="H1552" t="s">
        <v>39</v>
      </c>
      <c r="I1552" t="s">
        <v>28</v>
      </c>
      <c r="J1552" t="s">
        <v>41</v>
      </c>
      <c r="K1552" t="s">
        <v>187</v>
      </c>
      <c r="L1552" t="s">
        <v>120</v>
      </c>
      <c r="M1552" t="s">
        <v>2506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1">
        <v>42081</v>
      </c>
      <c r="U1552" s="1">
        <v>42082</v>
      </c>
      <c r="V1552" s="2">
        <v>1049.03</v>
      </c>
      <c r="W1552">
        <v>44</v>
      </c>
      <c r="X1552" s="2">
        <v>10364.36</v>
      </c>
      <c r="Y1552">
        <v>23751</v>
      </c>
      <c r="Z1552">
        <f t="shared" si="24"/>
        <v>456031.84</v>
      </c>
    </row>
    <row r="1553" spans="1:26" x14ac:dyDescent="0.25">
      <c r="A1553">
        <v>23271</v>
      </c>
      <c r="B1553" t="s">
        <v>47</v>
      </c>
      <c r="C1553" s="2">
        <v>0.02</v>
      </c>
      <c r="D1553" s="2">
        <v>161.55000000000001</v>
      </c>
      <c r="E1553" s="2">
        <v>19.989999999999998</v>
      </c>
      <c r="F1553">
        <v>2750</v>
      </c>
      <c r="G1553" t="s">
        <v>2510</v>
      </c>
      <c r="H1553" t="s">
        <v>49</v>
      </c>
      <c r="I1553" t="s">
        <v>58</v>
      </c>
      <c r="J1553" t="s">
        <v>29</v>
      </c>
      <c r="K1553" t="s">
        <v>139</v>
      </c>
      <c r="L1553" t="s">
        <v>59</v>
      </c>
      <c r="M1553" t="s">
        <v>159</v>
      </c>
      <c r="N1553">
        <v>0.66</v>
      </c>
      <c r="O1553" t="s">
        <v>33</v>
      </c>
      <c r="P1553" t="s">
        <v>135</v>
      </c>
      <c r="Q1553" t="s">
        <v>136</v>
      </c>
      <c r="R1553" t="s">
        <v>2511</v>
      </c>
      <c r="S1553">
        <v>22980</v>
      </c>
      <c r="T1553" s="1">
        <v>42071</v>
      </c>
      <c r="U1553" s="1">
        <v>42071</v>
      </c>
      <c r="V1553" s="2">
        <v>664.51800000000003</v>
      </c>
      <c r="W1553">
        <v>4</v>
      </c>
      <c r="X1553" s="2">
        <v>657.61</v>
      </c>
      <c r="Y1553">
        <v>91424</v>
      </c>
      <c r="Z1553">
        <f t="shared" si="24"/>
        <v>2630.44</v>
      </c>
    </row>
    <row r="1554" spans="1:26" x14ac:dyDescent="0.25">
      <c r="A1554">
        <v>21630</v>
      </c>
      <c r="B1554" t="s">
        <v>56</v>
      </c>
      <c r="C1554" s="2">
        <v>0.08</v>
      </c>
      <c r="D1554" s="2">
        <v>22.01</v>
      </c>
      <c r="E1554" s="2">
        <v>5.53</v>
      </c>
      <c r="F1554">
        <v>2760</v>
      </c>
      <c r="G1554" t="s">
        <v>2512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2035</v>
      </c>
      <c r="N1554">
        <v>0.59</v>
      </c>
      <c r="O1554" t="s">
        <v>33</v>
      </c>
      <c r="P1554" t="s">
        <v>53</v>
      </c>
      <c r="Q1554" t="s">
        <v>223</v>
      </c>
      <c r="R1554" t="s">
        <v>2513</v>
      </c>
      <c r="S1554">
        <v>6708</v>
      </c>
      <c r="T1554" s="1">
        <v>42116</v>
      </c>
      <c r="U1554" s="1">
        <v>42118</v>
      </c>
      <c r="V1554" s="2">
        <v>105.7</v>
      </c>
      <c r="W1554">
        <v>11</v>
      </c>
      <c r="X1554" s="2">
        <v>241.97</v>
      </c>
      <c r="Y1554">
        <v>90724</v>
      </c>
      <c r="Z1554">
        <f t="shared" si="24"/>
        <v>2661.67</v>
      </c>
    </row>
    <row r="1555" spans="1:26" x14ac:dyDescent="0.25">
      <c r="A1555">
        <v>21629</v>
      </c>
      <c r="B1555" t="s">
        <v>56</v>
      </c>
      <c r="C1555" s="2">
        <v>0.02</v>
      </c>
      <c r="D1555" s="2">
        <v>29.74</v>
      </c>
      <c r="E1555" s="2">
        <v>6.64</v>
      </c>
      <c r="F1555">
        <v>2764</v>
      </c>
      <c r="G1555" t="s">
        <v>2514</v>
      </c>
      <c r="H1555" t="s">
        <v>49</v>
      </c>
      <c r="I1555" t="s">
        <v>28</v>
      </c>
      <c r="J1555" t="s">
        <v>29</v>
      </c>
      <c r="K1555" t="s">
        <v>139</v>
      </c>
      <c r="L1555" t="s">
        <v>59</v>
      </c>
      <c r="M1555" t="s">
        <v>2515</v>
      </c>
      <c r="N1555">
        <v>0.7</v>
      </c>
      <c r="O1555" t="s">
        <v>33</v>
      </c>
      <c r="P1555" t="s">
        <v>53</v>
      </c>
      <c r="Q1555" t="s">
        <v>54</v>
      </c>
      <c r="R1555" t="s">
        <v>2407</v>
      </c>
      <c r="S1555">
        <v>7601</v>
      </c>
      <c r="T1555" s="1">
        <v>42116</v>
      </c>
      <c r="U1555" s="1">
        <v>42116</v>
      </c>
      <c r="V1555" s="2">
        <v>-21.06</v>
      </c>
      <c r="W1555">
        <v>4</v>
      </c>
      <c r="X1555" s="2">
        <v>120.81</v>
      </c>
      <c r="Y1555">
        <v>90724</v>
      </c>
      <c r="Z1555">
        <f t="shared" si="24"/>
        <v>483.24</v>
      </c>
    </row>
    <row r="1556" spans="1:26" x14ac:dyDescent="0.25">
      <c r="A1556">
        <v>26156</v>
      </c>
      <c r="B1556" t="s">
        <v>106</v>
      </c>
      <c r="C1556" s="2">
        <v>0.03</v>
      </c>
      <c r="D1556" s="2">
        <v>5.85</v>
      </c>
      <c r="E1556" s="2">
        <v>2.27</v>
      </c>
      <c r="F1556">
        <v>2765</v>
      </c>
      <c r="G1556" t="s">
        <v>2516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2517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2518</v>
      </c>
      <c r="S1556">
        <v>8021</v>
      </c>
      <c r="T1556" s="1">
        <v>42152</v>
      </c>
      <c r="U1556" s="1">
        <v>42154</v>
      </c>
      <c r="V1556" s="2">
        <v>-5.08</v>
      </c>
      <c r="W1556">
        <v>7</v>
      </c>
      <c r="X1556" s="2">
        <v>41.4</v>
      </c>
      <c r="Y1556">
        <v>90725</v>
      </c>
      <c r="Z1556">
        <f t="shared" si="24"/>
        <v>289.8</v>
      </c>
    </row>
    <row r="1557" spans="1:26" x14ac:dyDescent="0.25">
      <c r="A1557">
        <v>23342</v>
      </c>
      <c r="B1557" t="s">
        <v>47</v>
      </c>
      <c r="C1557" s="2">
        <v>0.02</v>
      </c>
      <c r="D1557" s="2">
        <v>11.55</v>
      </c>
      <c r="E1557" s="2">
        <v>2.36</v>
      </c>
      <c r="F1557">
        <v>2770</v>
      </c>
      <c r="G1557" t="s">
        <v>2519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307</v>
      </c>
      <c r="N1557">
        <v>0.55000000000000004</v>
      </c>
      <c r="O1557" t="s">
        <v>33</v>
      </c>
      <c r="P1557" t="s">
        <v>135</v>
      </c>
      <c r="Q1557" t="s">
        <v>381</v>
      </c>
      <c r="R1557" t="s">
        <v>2520</v>
      </c>
      <c r="S1557">
        <v>30338</v>
      </c>
      <c r="T1557" s="1">
        <v>42071</v>
      </c>
      <c r="U1557" s="1">
        <v>42073</v>
      </c>
      <c r="V1557" s="2">
        <v>1289.3820000000001</v>
      </c>
      <c r="W1557">
        <v>14</v>
      </c>
      <c r="X1557" s="2">
        <v>159.53</v>
      </c>
      <c r="Y1557">
        <v>88975</v>
      </c>
      <c r="Z1557">
        <f t="shared" si="24"/>
        <v>2233.42</v>
      </c>
    </row>
    <row r="1558" spans="1:26" x14ac:dyDescent="0.25">
      <c r="A1558">
        <v>26157</v>
      </c>
      <c r="B1558" t="s">
        <v>25</v>
      </c>
      <c r="C1558" s="2">
        <v>7.0000000000000007E-2</v>
      </c>
      <c r="D1558" s="2">
        <v>177.98</v>
      </c>
      <c r="E1558" s="2">
        <v>0.99</v>
      </c>
      <c r="F1558">
        <v>2771</v>
      </c>
      <c r="G1558" t="s">
        <v>2521</v>
      </c>
      <c r="H1558" t="s">
        <v>49</v>
      </c>
      <c r="I1558" t="s">
        <v>28</v>
      </c>
      <c r="J1558" t="s">
        <v>29</v>
      </c>
      <c r="K1558" t="s">
        <v>252</v>
      </c>
      <c r="L1558" t="s">
        <v>59</v>
      </c>
      <c r="M1558" t="s">
        <v>1483</v>
      </c>
      <c r="N1558">
        <v>0.56000000000000005</v>
      </c>
      <c r="O1558" t="s">
        <v>33</v>
      </c>
      <c r="P1558" t="s">
        <v>135</v>
      </c>
      <c r="Q1558" t="s">
        <v>381</v>
      </c>
      <c r="R1558" t="s">
        <v>2522</v>
      </c>
      <c r="S1558">
        <v>30344</v>
      </c>
      <c r="T1558" s="1">
        <v>42168</v>
      </c>
      <c r="U1558" s="1">
        <v>42168</v>
      </c>
      <c r="V1558" s="2">
        <v>-191.548</v>
      </c>
      <c r="W1558">
        <v>3</v>
      </c>
      <c r="X1558" s="2">
        <v>536.29</v>
      </c>
      <c r="Y1558">
        <v>88974</v>
      </c>
      <c r="Z1558">
        <f t="shared" si="24"/>
        <v>1608.87</v>
      </c>
    </row>
    <row r="1559" spans="1:26" x14ac:dyDescent="0.25">
      <c r="A1559">
        <v>24523</v>
      </c>
      <c r="B1559" t="s">
        <v>37</v>
      </c>
      <c r="C1559" s="2">
        <v>0.1</v>
      </c>
      <c r="D1559" s="2">
        <v>5.18</v>
      </c>
      <c r="E1559" s="2">
        <v>5.74</v>
      </c>
      <c r="F1559">
        <v>2773</v>
      </c>
      <c r="G1559" t="s">
        <v>2523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866</v>
      </c>
      <c r="N1559">
        <v>0.36</v>
      </c>
      <c r="O1559" t="s">
        <v>33</v>
      </c>
      <c r="P1559" t="s">
        <v>34</v>
      </c>
      <c r="Q1559" t="s">
        <v>45</v>
      </c>
      <c r="R1559" t="s">
        <v>1141</v>
      </c>
      <c r="S1559">
        <v>94568</v>
      </c>
      <c r="T1559" s="1">
        <v>42089</v>
      </c>
      <c r="U1559" s="1">
        <v>42091</v>
      </c>
      <c r="V1559" s="2">
        <v>-29.003</v>
      </c>
      <c r="W1559">
        <v>2</v>
      </c>
      <c r="X1559" s="2">
        <v>10.96</v>
      </c>
      <c r="Y1559">
        <v>91584</v>
      </c>
      <c r="Z1559">
        <f t="shared" si="24"/>
        <v>21.92</v>
      </c>
    </row>
    <row r="1560" spans="1:26" x14ac:dyDescent="0.25">
      <c r="A1560">
        <v>20956</v>
      </c>
      <c r="B1560" t="s">
        <v>106</v>
      </c>
      <c r="C1560" s="2">
        <v>7.0000000000000007E-2</v>
      </c>
      <c r="D1560" s="2">
        <v>574.74</v>
      </c>
      <c r="E1560" s="2">
        <v>24.49</v>
      </c>
      <c r="F1560">
        <v>2775</v>
      </c>
      <c r="G1560" t="s">
        <v>2524</v>
      </c>
      <c r="H1560" t="s">
        <v>49</v>
      </c>
      <c r="I1560" t="s">
        <v>114</v>
      </c>
      <c r="J1560" t="s">
        <v>77</v>
      </c>
      <c r="K1560" t="s">
        <v>85</v>
      </c>
      <c r="L1560" t="s">
        <v>231</v>
      </c>
      <c r="M1560" t="s">
        <v>264</v>
      </c>
      <c r="N1560">
        <v>0.37</v>
      </c>
      <c r="O1560" t="s">
        <v>33</v>
      </c>
      <c r="P1560" t="s">
        <v>61</v>
      </c>
      <c r="Q1560" t="s">
        <v>175</v>
      </c>
      <c r="R1560" t="s">
        <v>2525</v>
      </c>
      <c r="S1560">
        <v>60131</v>
      </c>
      <c r="T1560" s="1">
        <v>42034</v>
      </c>
      <c r="U1560" s="1">
        <v>42039</v>
      </c>
      <c r="V1560" s="2">
        <v>2860.9331999999999</v>
      </c>
      <c r="W1560">
        <v>8</v>
      </c>
      <c r="X1560" s="2">
        <v>4146.28</v>
      </c>
      <c r="Y1560">
        <v>91229</v>
      </c>
      <c r="Z1560">
        <f t="shared" si="24"/>
        <v>33170.239999999998</v>
      </c>
    </row>
    <row r="1561" spans="1:26" x14ac:dyDescent="0.25">
      <c r="A1561">
        <v>24122</v>
      </c>
      <c r="B1561" t="s">
        <v>47</v>
      </c>
      <c r="C1561" s="2">
        <v>0.03</v>
      </c>
      <c r="D1561" s="2">
        <v>350.98</v>
      </c>
      <c r="E1561" s="2">
        <v>30</v>
      </c>
      <c r="F1561">
        <v>2776</v>
      </c>
      <c r="G1561" t="s">
        <v>2526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853</v>
      </c>
      <c r="N1561">
        <v>0.61</v>
      </c>
      <c r="O1561" t="s">
        <v>33</v>
      </c>
      <c r="P1561" t="s">
        <v>53</v>
      </c>
      <c r="Q1561" t="s">
        <v>409</v>
      </c>
      <c r="R1561" t="s">
        <v>2527</v>
      </c>
      <c r="S1561">
        <v>20877</v>
      </c>
      <c r="T1561" s="1">
        <v>42016</v>
      </c>
      <c r="U1561" s="1">
        <v>42019</v>
      </c>
      <c r="V1561" s="2">
        <v>2692.4421000000002</v>
      </c>
      <c r="W1561">
        <v>11</v>
      </c>
      <c r="X1561" s="2">
        <v>3902.09</v>
      </c>
      <c r="Y1561">
        <v>91228</v>
      </c>
      <c r="Z1561">
        <f t="shared" si="24"/>
        <v>42922.990000000005</v>
      </c>
    </row>
    <row r="1562" spans="1:26" x14ac:dyDescent="0.25">
      <c r="A1562">
        <v>24123</v>
      </c>
      <c r="B1562" t="s">
        <v>47</v>
      </c>
      <c r="C1562" s="2">
        <v>0.04</v>
      </c>
      <c r="D1562" s="2">
        <v>1.68</v>
      </c>
      <c r="E1562" s="2">
        <v>1</v>
      </c>
      <c r="F1562">
        <v>2776</v>
      </c>
      <c r="G1562" t="s">
        <v>2526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2528</v>
      </c>
      <c r="N1562">
        <v>0.35</v>
      </c>
      <c r="O1562" t="s">
        <v>33</v>
      </c>
      <c r="P1562" t="s">
        <v>53</v>
      </c>
      <c r="Q1562" t="s">
        <v>409</v>
      </c>
      <c r="R1562" t="s">
        <v>2527</v>
      </c>
      <c r="S1562">
        <v>20877</v>
      </c>
      <c r="T1562" s="1">
        <v>42016</v>
      </c>
      <c r="U1562" s="1">
        <v>42018</v>
      </c>
      <c r="V1562" s="2">
        <v>2.0672000000000001</v>
      </c>
      <c r="W1562">
        <v>8</v>
      </c>
      <c r="X1562" s="2">
        <v>14.18</v>
      </c>
      <c r="Y1562">
        <v>91228</v>
      </c>
      <c r="Z1562">
        <f t="shared" si="24"/>
        <v>113.44</v>
      </c>
    </row>
    <row r="1563" spans="1:26" x14ac:dyDescent="0.25">
      <c r="A1563">
        <v>20097</v>
      </c>
      <c r="B1563" t="s">
        <v>25</v>
      </c>
      <c r="C1563" s="2">
        <v>0.05</v>
      </c>
      <c r="D1563" s="2">
        <v>205.99</v>
      </c>
      <c r="E1563" s="2">
        <v>8.99</v>
      </c>
      <c r="F1563">
        <v>2778</v>
      </c>
      <c r="G1563" t="s">
        <v>2529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2530</v>
      </c>
      <c r="N1563">
        <v>0.57999999999999996</v>
      </c>
      <c r="O1563" t="s">
        <v>33</v>
      </c>
      <c r="P1563" t="s">
        <v>135</v>
      </c>
      <c r="Q1563" t="s">
        <v>316</v>
      </c>
      <c r="R1563" t="s">
        <v>1011</v>
      </c>
      <c r="S1563">
        <v>28403</v>
      </c>
      <c r="T1563" s="1">
        <v>42046</v>
      </c>
      <c r="U1563" s="1">
        <v>42047</v>
      </c>
      <c r="V1563" s="2">
        <v>111.05249999999999</v>
      </c>
      <c r="W1563">
        <v>12</v>
      </c>
      <c r="X1563" s="2">
        <v>2118.9899999999998</v>
      </c>
      <c r="Y1563">
        <v>87160</v>
      </c>
      <c r="Z1563">
        <f t="shared" si="24"/>
        <v>25427.879999999997</v>
      </c>
    </row>
    <row r="1564" spans="1:26" x14ac:dyDescent="0.25">
      <c r="A1564">
        <v>20098</v>
      </c>
      <c r="B1564" t="s">
        <v>25</v>
      </c>
      <c r="C1564" s="2">
        <v>0.08</v>
      </c>
      <c r="D1564" s="2">
        <v>205.99</v>
      </c>
      <c r="E1564" s="2">
        <v>8.99</v>
      </c>
      <c r="F1564">
        <v>2778</v>
      </c>
      <c r="G1564" t="s">
        <v>2529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135</v>
      </c>
      <c r="Q1564" t="s">
        <v>316</v>
      </c>
      <c r="R1564" t="s">
        <v>1011</v>
      </c>
      <c r="S1564">
        <v>28403</v>
      </c>
      <c r="T1564" s="1">
        <v>42046</v>
      </c>
      <c r="U1564" s="1">
        <v>42047</v>
      </c>
      <c r="V1564" s="2">
        <v>-1963.752</v>
      </c>
      <c r="W1564">
        <v>5</v>
      </c>
      <c r="X1564" s="2">
        <v>837.64</v>
      </c>
      <c r="Y1564">
        <v>87160</v>
      </c>
      <c r="Z1564">
        <f t="shared" si="24"/>
        <v>4188.2</v>
      </c>
    </row>
    <row r="1565" spans="1:26" x14ac:dyDescent="0.25">
      <c r="A1565">
        <v>21707</v>
      </c>
      <c r="B1565" t="s">
        <v>47</v>
      </c>
      <c r="C1565" s="2">
        <v>0.01</v>
      </c>
      <c r="D1565" s="2">
        <v>35.99</v>
      </c>
      <c r="E1565" s="2">
        <v>5.99</v>
      </c>
      <c r="F1565">
        <v>2779</v>
      </c>
      <c r="G1565" t="s">
        <v>2531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972</v>
      </c>
      <c r="N1565">
        <v>0.38</v>
      </c>
      <c r="O1565" t="s">
        <v>33</v>
      </c>
      <c r="P1565" t="s">
        <v>135</v>
      </c>
      <c r="Q1565" t="s">
        <v>316</v>
      </c>
      <c r="R1565" t="s">
        <v>2532</v>
      </c>
      <c r="S1565">
        <v>27893</v>
      </c>
      <c r="T1565" s="1">
        <v>42166</v>
      </c>
      <c r="U1565" s="1">
        <v>42167</v>
      </c>
      <c r="V1565" s="2">
        <v>-60.704000000000001</v>
      </c>
      <c r="W1565">
        <v>11</v>
      </c>
      <c r="X1565" s="2">
        <v>345.07</v>
      </c>
      <c r="Y1565">
        <v>87161</v>
      </c>
      <c r="Z1565">
        <f t="shared" si="24"/>
        <v>3795.77</v>
      </c>
    </row>
    <row r="1566" spans="1:26" x14ac:dyDescent="0.25">
      <c r="A1566">
        <v>22095</v>
      </c>
      <c r="B1566" t="s">
        <v>106</v>
      </c>
      <c r="C1566" s="2">
        <v>0.09</v>
      </c>
      <c r="D1566" s="2">
        <v>2.16</v>
      </c>
      <c r="E1566" s="2">
        <v>6.05</v>
      </c>
      <c r="F1566">
        <v>2781</v>
      </c>
      <c r="G1566" t="s">
        <v>2533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1523</v>
      </c>
      <c r="N1566">
        <v>0.37</v>
      </c>
      <c r="O1566" t="s">
        <v>33</v>
      </c>
      <c r="P1566" t="s">
        <v>34</v>
      </c>
      <c r="Q1566" t="s">
        <v>102</v>
      </c>
      <c r="R1566" t="s">
        <v>2534</v>
      </c>
      <c r="S1566">
        <v>97071</v>
      </c>
      <c r="T1566" s="1">
        <v>42035</v>
      </c>
      <c r="U1566" s="1">
        <v>42039</v>
      </c>
      <c r="V1566" s="2">
        <v>-37.789000000000001</v>
      </c>
      <c r="W1566">
        <v>2</v>
      </c>
      <c r="X1566" s="2">
        <v>5.48</v>
      </c>
      <c r="Y1566">
        <v>87162</v>
      </c>
      <c r="Z1566">
        <f t="shared" si="24"/>
        <v>10.96</v>
      </c>
    </row>
    <row r="1567" spans="1:26" x14ac:dyDescent="0.25">
      <c r="A1567">
        <v>22096</v>
      </c>
      <c r="B1567" t="s">
        <v>106</v>
      </c>
      <c r="C1567" s="2">
        <v>0.03</v>
      </c>
      <c r="D1567" s="2">
        <v>808.49</v>
      </c>
      <c r="E1567" s="2">
        <v>55.3</v>
      </c>
      <c r="F1567">
        <v>2781</v>
      </c>
      <c r="G1567" t="s">
        <v>2533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2535</v>
      </c>
      <c r="N1567">
        <v>0.4</v>
      </c>
      <c r="O1567" t="s">
        <v>33</v>
      </c>
      <c r="P1567" t="s">
        <v>34</v>
      </c>
      <c r="Q1567" t="s">
        <v>102</v>
      </c>
      <c r="R1567" t="s">
        <v>2534</v>
      </c>
      <c r="S1567">
        <v>97071</v>
      </c>
      <c r="T1567" s="1">
        <v>42035</v>
      </c>
      <c r="U1567" s="1">
        <v>42042</v>
      </c>
      <c r="V1567" s="2">
        <v>7576.11</v>
      </c>
      <c r="W1567">
        <v>11</v>
      </c>
      <c r="X1567" s="2">
        <v>8201.33</v>
      </c>
      <c r="Y1567">
        <v>87162</v>
      </c>
      <c r="Z1567">
        <f t="shared" si="24"/>
        <v>90214.63</v>
      </c>
    </row>
    <row r="1568" spans="1:26" x14ac:dyDescent="0.25">
      <c r="A1568">
        <v>22097</v>
      </c>
      <c r="B1568" t="s">
        <v>106</v>
      </c>
      <c r="C1568" s="2">
        <v>0</v>
      </c>
      <c r="D1568" s="2">
        <v>6.48</v>
      </c>
      <c r="E1568" s="2">
        <v>8.19</v>
      </c>
      <c r="F1568">
        <v>2781</v>
      </c>
      <c r="G1568" t="s">
        <v>2533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2536</v>
      </c>
      <c r="N1568">
        <v>0.37</v>
      </c>
      <c r="O1568" t="s">
        <v>33</v>
      </c>
      <c r="P1568" t="s">
        <v>34</v>
      </c>
      <c r="Q1568" t="s">
        <v>102</v>
      </c>
      <c r="R1568" t="s">
        <v>2534</v>
      </c>
      <c r="S1568">
        <v>97071</v>
      </c>
      <c r="T1568" s="1">
        <v>42035</v>
      </c>
      <c r="U1568" s="1">
        <v>42042</v>
      </c>
      <c r="V1568" s="2">
        <v>-43.26</v>
      </c>
      <c r="W1568">
        <v>3</v>
      </c>
      <c r="X1568" s="2">
        <v>22.67</v>
      </c>
      <c r="Y1568">
        <v>87162</v>
      </c>
      <c r="Z1568">
        <f t="shared" si="24"/>
        <v>68.010000000000005</v>
      </c>
    </row>
    <row r="1569" spans="1:26" x14ac:dyDescent="0.25">
      <c r="A1569">
        <v>21587</v>
      </c>
      <c r="B1569" t="s">
        <v>37</v>
      </c>
      <c r="C1569" s="2">
        <v>0.01</v>
      </c>
      <c r="D1569" s="2">
        <v>47.98</v>
      </c>
      <c r="E1569" s="2">
        <v>3.61</v>
      </c>
      <c r="F1569">
        <v>2787</v>
      </c>
      <c r="G1569" t="s">
        <v>2537</v>
      </c>
      <c r="H1569" t="s">
        <v>27</v>
      </c>
      <c r="I1569" t="s">
        <v>114</v>
      </c>
      <c r="J1569" t="s">
        <v>77</v>
      </c>
      <c r="K1569" t="s">
        <v>177</v>
      </c>
      <c r="L1569" t="s">
        <v>51</v>
      </c>
      <c r="M1569" t="s">
        <v>1003</v>
      </c>
      <c r="N1569">
        <v>0.71</v>
      </c>
      <c r="O1569" t="s">
        <v>33</v>
      </c>
      <c r="P1569" t="s">
        <v>135</v>
      </c>
      <c r="Q1569" t="s">
        <v>168</v>
      </c>
      <c r="R1569" t="s">
        <v>2538</v>
      </c>
      <c r="S1569">
        <v>70003</v>
      </c>
      <c r="T1569" s="1">
        <v>42075</v>
      </c>
      <c r="U1569" s="1">
        <v>42076</v>
      </c>
      <c r="V1569" s="2">
        <v>-44.436</v>
      </c>
      <c r="W1569">
        <v>8</v>
      </c>
      <c r="X1569" s="2">
        <v>393.98</v>
      </c>
      <c r="Y1569">
        <v>91316</v>
      </c>
      <c r="Z1569">
        <f t="shared" si="24"/>
        <v>3151.84</v>
      </c>
    </row>
    <row r="1570" spans="1:26" x14ac:dyDescent="0.25">
      <c r="A1570">
        <v>19860</v>
      </c>
      <c r="B1570" t="s">
        <v>47</v>
      </c>
      <c r="C1570" s="2">
        <v>0.09</v>
      </c>
      <c r="D1570" s="2">
        <v>2.88</v>
      </c>
      <c r="E1570" s="2">
        <v>0.7</v>
      </c>
      <c r="F1570">
        <v>2791</v>
      </c>
      <c r="G1570" t="s">
        <v>2539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2540</v>
      </c>
      <c r="N1570">
        <v>0.56000000000000005</v>
      </c>
      <c r="O1570" t="s">
        <v>33</v>
      </c>
      <c r="P1570" t="s">
        <v>61</v>
      </c>
      <c r="Q1570" t="s">
        <v>295</v>
      </c>
      <c r="R1570" t="s">
        <v>2541</v>
      </c>
      <c r="S1570">
        <v>48071</v>
      </c>
      <c r="T1570" s="1">
        <v>42019</v>
      </c>
      <c r="U1570" s="1">
        <v>42019</v>
      </c>
      <c r="V1570" s="2">
        <v>4.8499999999999996</v>
      </c>
      <c r="W1570">
        <v>7</v>
      </c>
      <c r="X1570" s="2">
        <v>19.29</v>
      </c>
      <c r="Y1570">
        <v>88758</v>
      </c>
      <c r="Z1570">
        <f t="shared" si="24"/>
        <v>135.03</v>
      </c>
    </row>
    <row r="1571" spans="1:26" x14ac:dyDescent="0.25">
      <c r="A1571">
        <v>18361</v>
      </c>
      <c r="B1571" t="s">
        <v>56</v>
      </c>
      <c r="C1571" s="2">
        <v>0.06</v>
      </c>
      <c r="D1571" s="2">
        <v>2.61</v>
      </c>
      <c r="E1571" s="2">
        <v>0.5</v>
      </c>
      <c r="F1571">
        <v>2794</v>
      </c>
      <c r="G1571" t="s">
        <v>2542</v>
      </c>
      <c r="H1571" t="s">
        <v>49</v>
      </c>
      <c r="I1571" t="s">
        <v>28</v>
      </c>
      <c r="J1571" t="s">
        <v>29</v>
      </c>
      <c r="K1571" t="s">
        <v>133</v>
      </c>
      <c r="L1571" t="s">
        <v>59</v>
      </c>
      <c r="M1571" t="s">
        <v>876</v>
      </c>
      <c r="N1571">
        <v>0.39</v>
      </c>
      <c r="O1571" t="s">
        <v>33</v>
      </c>
      <c r="P1571" t="s">
        <v>61</v>
      </c>
      <c r="Q1571" t="s">
        <v>324</v>
      </c>
      <c r="R1571" t="s">
        <v>2543</v>
      </c>
      <c r="S1571">
        <v>50158</v>
      </c>
      <c r="T1571" s="1">
        <v>42083</v>
      </c>
      <c r="U1571" s="1">
        <v>42085</v>
      </c>
      <c r="V1571" s="2">
        <v>3.5949</v>
      </c>
      <c r="W1571">
        <v>2</v>
      </c>
      <c r="X1571" s="2">
        <v>5.21</v>
      </c>
      <c r="Y1571">
        <v>87554</v>
      </c>
      <c r="Z1571">
        <f t="shared" si="24"/>
        <v>10.42</v>
      </c>
    </row>
    <row r="1572" spans="1:26" x14ac:dyDescent="0.25">
      <c r="A1572">
        <v>18895</v>
      </c>
      <c r="B1572" t="s">
        <v>25</v>
      </c>
      <c r="C1572" s="2">
        <v>7.0000000000000007E-2</v>
      </c>
      <c r="D1572" s="2">
        <v>4.76</v>
      </c>
      <c r="E1572" s="2">
        <v>0.88</v>
      </c>
      <c r="F1572">
        <v>2794</v>
      </c>
      <c r="G1572" t="s">
        <v>2542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2544</v>
      </c>
      <c r="N1572">
        <v>0.39</v>
      </c>
      <c r="O1572" t="s">
        <v>33</v>
      </c>
      <c r="P1572" t="s">
        <v>61</v>
      </c>
      <c r="Q1572" t="s">
        <v>324</v>
      </c>
      <c r="R1572" t="s">
        <v>2543</v>
      </c>
      <c r="S1572">
        <v>50158</v>
      </c>
      <c r="T1572" s="1">
        <v>42162</v>
      </c>
      <c r="U1572" s="1">
        <v>42162</v>
      </c>
      <c r="V1572" s="2">
        <v>15.8148</v>
      </c>
      <c r="W1572">
        <v>5</v>
      </c>
      <c r="X1572" s="2">
        <v>22.92</v>
      </c>
      <c r="Y1572">
        <v>87555</v>
      </c>
      <c r="Z1572">
        <f t="shared" si="24"/>
        <v>114.60000000000001</v>
      </c>
    </row>
    <row r="1573" spans="1:26" x14ac:dyDescent="0.25">
      <c r="A1573">
        <v>19486</v>
      </c>
      <c r="B1573" t="s">
        <v>106</v>
      </c>
      <c r="C1573" s="2">
        <v>0.04</v>
      </c>
      <c r="D1573" s="2">
        <v>3.57</v>
      </c>
      <c r="E1573" s="2">
        <v>4.17</v>
      </c>
      <c r="F1573">
        <v>2795</v>
      </c>
      <c r="G1573" t="s">
        <v>2545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2546</v>
      </c>
      <c r="N1573">
        <v>0.59</v>
      </c>
      <c r="O1573" t="s">
        <v>33</v>
      </c>
      <c r="P1573" t="s">
        <v>61</v>
      </c>
      <c r="Q1573" t="s">
        <v>324</v>
      </c>
      <c r="R1573" t="s">
        <v>2547</v>
      </c>
      <c r="S1573">
        <v>50401</v>
      </c>
      <c r="T1573" s="1">
        <v>42030</v>
      </c>
      <c r="U1573" s="1">
        <v>42032</v>
      </c>
      <c r="V1573" s="2">
        <v>-69.91</v>
      </c>
      <c r="W1573">
        <v>8</v>
      </c>
      <c r="X1573" s="2">
        <v>30.9</v>
      </c>
      <c r="Y1573">
        <v>87556</v>
      </c>
      <c r="Z1573">
        <f t="shared" si="24"/>
        <v>247.2</v>
      </c>
    </row>
    <row r="1574" spans="1:26" x14ac:dyDescent="0.25">
      <c r="A1574">
        <v>19487</v>
      </c>
      <c r="B1574" t="s">
        <v>106</v>
      </c>
      <c r="C1574" s="2">
        <v>0.05</v>
      </c>
      <c r="D1574" s="2">
        <v>200.99</v>
      </c>
      <c r="E1574" s="2">
        <v>4.2</v>
      </c>
      <c r="F1574">
        <v>2795</v>
      </c>
      <c r="G1574" t="s">
        <v>2545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541</v>
      </c>
      <c r="N1574">
        <v>0.59</v>
      </c>
      <c r="O1574" t="s">
        <v>33</v>
      </c>
      <c r="P1574" t="s">
        <v>61</v>
      </c>
      <c r="Q1574" t="s">
        <v>324</v>
      </c>
      <c r="R1574" t="s">
        <v>2547</v>
      </c>
      <c r="S1574">
        <v>50401</v>
      </c>
      <c r="T1574" s="1">
        <v>42030</v>
      </c>
      <c r="U1574" s="1">
        <v>42034</v>
      </c>
      <c r="V1574" s="2">
        <v>1630.5252</v>
      </c>
      <c r="W1574">
        <v>14</v>
      </c>
      <c r="X1574" s="2">
        <v>2363.08</v>
      </c>
      <c r="Y1574">
        <v>87556</v>
      </c>
      <c r="Z1574">
        <f t="shared" si="24"/>
        <v>33083.119999999995</v>
      </c>
    </row>
    <row r="1575" spans="1:26" x14ac:dyDescent="0.25">
      <c r="A1575">
        <v>19488</v>
      </c>
      <c r="B1575" t="s">
        <v>106</v>
      </c>
      <c r="C1575" s="2">
        <v>7.0000000000000007E-2</v>
      </c>
      <c r="D1575" s="2">
        <v>195.99</v>
      </c>
      <c r="E1575" s="2">
        <v>8.99</v>
      </c>
      <c r="F1575">
        <v>2795</v>
      </c>
      <c r="G1575" t="s">
        <v>2545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2548</v>
      </c>
      <c r="N1575">
        <v>0.57999999999999996</v>
      </c>
      <c r="O1575" t="s">
        <v>33</v>
      </c>
      <c r="P1575" t="s">
        <v>61</v>
      </c>
      <c r="Q1575" t="s">
        <v>324</v>
      </c>
      <c r="R1575" t="s">
        <v>2547</v>
      </c>
      <c r="S1575">
        <v>50401</v>
      </c>
      <c r="T1575" s="1">
        <v>42030</v>
      </c>
      <c r="U1575" s="1">
        <v>42030</v>
      </c>
      <c r="V1575" s="2">
        <v>-457.16</v>
      </c>
      <c r="W1575">
        <v>2</v>
      </c>
      <c r="X1575" s="2">
        <v>328.45</v>
      </c>
      <c r="Y1575">
        <v>87556</v>
      </c>
      <c r="Z1575">
        <f t="shared" si="24"/>
        <v>656.9</v>
      </c>
    </row>
    <row r="1576" spans="1:26" x14ac:dyDescent="0.25">
      <c r="A1576">
        <v>23351</v>
      </c>
      <c r="B1576" t="s">
        <v>56</v>
      </c>
      <c r="C1576" s="2">
        <v>0.02</v>
      </c>
      <c r="D1576" s="2">
        <v>30.44</v>
      </c>
      <c r="E1576" s="2">
        <v>1.49</v>
      </c>
      <c r="F1576">
        <v>2796</v>
      </c>
      <c r="G1576" t="s">
        <v>2549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2550</v>
      </c>
      <c r="N1576">
        <v>0.37</v>
      </c>
      <c r="O1576" t="s">
        <v>33</v>
      </c>
      <c r="P1576" t="s">
        <v>61</v>
      </c>
      <c r="Q1576" t="s">
        <v>324</v>
      </c>
      <c r="R1576" t="s">
        <v>2551</v>
      </c>
      <c r="S1576">
        <v>51106</v>
      </c>
      <c r="T1576" s="1">
        <v>42025</v>
      </c>
      <c r="U1576" s="1">
        <v>42027</v>
      </c>
      <c r="V1576" s="2">
        <v>266.76089999999999</v>
      </c>
      <c r="W1576">
        <v>12</v>
      </c>
      <c r="X1576" s="2">
        <v>386.61</v>
      </c>
      <c r="Y1576">
        <v>87553</v>
      </c>
      <c r="Z1576">
        <f t="shared" si="24"/>
        <v>4639.32</v>
      </c>
    </row>
    <row r="1577" spans="1:26" x14ac:dyDescent="0.25">
      <c r="A1577">
        <v>22787</v>
      </c>
      <c r="B1577" t="s">
        <v>56</v>
      </c>
      <c r="C1577" s="2">
        <v>0</v>
      </c>
      <c r="D1577" s="2">
        <v>5.0199999999999996</v>
      </c>
      <c r="E1577" s="2">
        <v>5.14</v>
      </c>
      <c r="F1577">
        <v>2797</v>
      </c>
      <c r="G1577" t="s">
        <v>2552</v>
      </c>
      <c r="H1577" t="s">
        <v>49</v>
      </c>
      <c r="I1577" t="s">
        <v>114</v>
      </c>
      <c r="J1577" t="s">
        <v>77</v>
      </c>
      <c r="K1577" t="s">
        <v>177</v>
      </c>
      <c r="L1577" t="s">
        <v>51</v>
      </c>
      <c r="M1577" t="s">
        <v>831</v>
      </c>
      <c r="N1577">
        <v>0.79</v>
      </c>
      <c r="O1577" t="s">
        <v>33</v>
      </c>
      <c r="P1577" t="s">
        <v>53</v>
      </c>
      <c r="Q1577" t="s">
        <v>229</v>
      </c>
      <c r="R1577" t="s">
        <v>2553</v>
      </c>
      <c r="S1577">
        <v>15122</v>
      </c>
      <c r="T1577" s="1">
        <v>42014</v>
      </c>
      <c r="U1577" s="1">
        <v>42015</v>
      </c>
      <c r="V1577" s="2">
        <v>-159.30279999999999</v>
      </c>
      <c r="W1577">
        <v>8</v>
      </c>
      <c r="X1577" s="2">
        <v>43.94</v>
      </c>
      <c r="Y1577">
        <v>87552</v>
      </c>
      <c r="Z1577">
        <f t="shared" si="24"/>
        <v>351.52</v>
      </c>
    </row>
    <row r="1578" spans="1:26" x14ac:dyDescent="0.25">
      <c r="A1578">
        <v>23350</v>
      </c>
      <c r="B1578" t="s">
        <v>56</v>
      </c>
      <c r="C1578" s="2">
        <v>0.02</v>
      </c>
      <c r="D1578" s="2">
        <v>4.91</v>
      </c>
      <c r="E1578" s="2">
        <v>0.5</v>
      </c>
      <c r="F1578">
        <v>2797</v>
      </c>
      <c r="G1578" t="s">
        <v>2552</v>
      </c>
      <c r="H1578" t="s">
        <v>49</v>
      </c>
      <c r="I1578" t="s">
        <v>28</v>
      </c>
      <c r="J1578" t="s">
        <v>29</v>
      </c>
      <c r="K1578" t="s">
        <v>133</v>
      </c>
      <c r="L1578" t="s">
        <v>59</v>
      </c>
      <c r="M1578" t="s">
        <v>1548</v>
      </c>
      <c r="N1578">
        <v>0.36</v>
      </c>
      <c r="O1578" t="s">
        <v>33</v>
      </c>
      <c r="P1578" t="s">
        <v>53</v>
      </c>
      <c r="Q1578" t="s">
        <v>229</v>
      </c>
      <c r="R1578" t="s">
        <v>2553</v>
      </c>
      <c r="S1578">
        <v>15122</v>
      </c>
      <c r="T1578" s="1">
        <v>42025</v>
      </c>
      <c r="U1578" s="1">
        <v>42026</v>
      </c>
      <c r="V1578" s="2">
        <v>29.883900000000001</v>
      </c>
      <c r="W1578">
        <v>9</v>
      </c>
      <c r="X1578" s="2">
        <v>43.31</v>
      </c>
      <c r="Y1578">
        <v>87553</v>
      </c>
      <c r="Z1578">
        <f t="shared" si="24"/>
        <v>389.79</v>
      </c>
    </row>
    <row r="1579" spans="1:26" x14ac:dyDescent="0.25">
      <c r="A1579">
        <v>20618</v>
      </c>
      <c r="B1579" t="s">
        <v>106</v>
      </c>
      <c r="C1579" s="2">
        <v>0</v>
      </c>
      <c r="D1579" s="2">
        <v>17.52</v>
      </c>
      <c r="E1579" s="2">
        <v>8.17</v>
      </c>
      <c r="F1579">
        <v>2801</v>
      </c>
      <c r="G1579" t="s">
        <v>2554</v>
      </c>
      <c r="H1579" t="s">
        <v>49</v>
      </c>
      <c r="I1579" t="s">
        <v>40</v>
      </c>
      <c r="J1579" t="s">
        <v>29</v>
      </c>
      <c r="K1579" t="s">
        <v>252</v>
      </c>
      <c r="L1579" t="s">
        <v>86</v>
      </c>
      <c r="M1579" t="s">
        <v>2555</v>
      </c>
      <c r="N1579">
        <v>0.5</v>
      </c>
      <c r="O1579" t="s">
        <v>33</v>
      </c>
      <c r="P1579" t="s">
        <v>34</v>
      </c>
      <c r="Q1579" t="s">
        <v>372</v>
      </c>
      <c r="R1579" t="s">
        <v>2507</v>
      </c>
      <c r="S1579">
        <v>85224</v>
      </c>
      <c r="T1579" s="1">
        <v>42183</v>
      </c>
      <c r="U1579" s="1">
        <v>42188</v>
      </c>
      <c r="V1579" s="2">
        <v>52.764000000000003</v>
      </c>
      <c r="W1579">
        <v>15</v>
      </c>
      <c r="X1579" s="2">
        <v>284.33999999999997</v>
      </c>
      <c r="Y1579">
        <v>91049</v>
      </c>
      <c r="Z1579">
        <f t="shared" si="24"/>
        <v>4265.0999999999995</v>
      </c>
    </row>
    <row r="1580" spans="1:26" x14ac:dyDescent="0.25">
      <c r="A1580">
        <v>18070</v>
      </c>
      <c r="B1580" t="s">
        <v>56</v>
      </c>
      <c r="C1580" s="2">
        <v>7.0000000000000007E-2</v>
      </c>
      <c r="D1580" s="2">
        <v>500.98</v>
      </c>
      <c r="E1580" s="2">
        <v>28.14</v>
      </c>
      <c r="F1580">
        <v>2803</v>
      </c>
      <c r="G1580" t="s">
        <v>2556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2557</v>
      </c>
      <c r="N1580">
        <v>0.38</v>
      </c>
      <c r="O1580" t="s">
        <v>33</v>
      </c>
      <c r="P1580" t="s">
        <v>34</v>
      </c>
      <c r="Q1580" t="s">
        <v>45</v>
      </c>
      <c r="R1580" t="s">
        <v>2558</v>
      </c>
      <c r="S1580">
        <v>90022</v>
      </c>
      <c r="T1580" s="1">
        <v>42040</v>
      </c>
      <c r="U1580" s="1">
        <v>42041</v>
      </c>
      <c r="V1580" s="2">
        <v>2699.9838</v>
      </c>
      <c r="W1580">
        <v>10</v>
      </c>
      <c r="X1580" s="2">
        <v>3913.02</v>
      </c>
      <c r="Y1580">
        <v>86227</v>
      </c>
      <c r="Z1580">
        <f t="shared" si="24"/>
        <v>39130.199999999997</v>
      </c>
    </row>
    <row r="1581" spans="1:26" x14ac:dyDescent="0.25">
      <c r="A1581">
        <v>18071</v>
      </c>
      <c r="B1581" t="s">
        <v>56</v>
      </c>
      <c r="C1581" s="2">
        <v>0.1</v>
      </c>
      <c r="D1581" s="2">
        <v>178.47</v>
      </c>
      <c r="E1581" s="2">
        <v>19.989999999999998</v>
      </c>
      <c r="F1581">
        <v>2803</v>
      </c>
      <c r="G1581" t="s">
        <v>2556</v>
      </c>
      <c r="H1581" t="s">
        <v>49</v>
      </c>
      <c r="I1581" t="s">
        <v>58</v>
      </c>
      <c r="J1581" t="s">
        <v>29</v>
      </c>
      <c r="K1581" t="s">
        <v>139</v>
      </c>
      <c r="L1581" t="s">
        <v>59</v>
      </c>
      <c r="M1581" t="s">
        <v>521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2558</v>
      </c>
      <c r="S1581">
        <v>90022</v>
      </c>
      <c r="T1581" s="1">
        <v>42040</v>
      </c>
      <c r="U1581" s="1">
        <v>42042</v>
      </c>
      <c r="V1581" s="2">
        <v>-170.98</v>
      </c>
      <c r="W1581">
        <v>1</v>
      </c>
      <c r="X1581" s="2">
        <v>180.14</v>
      </c>
      <c r="Y1581">
        <v>86227</v>
      </c>
      <c r="Z1581">
        <f t="shared" si="24"/>
        <v>180.14</v>
      </c>
    </row>
    <row r="1582" spans="1:26" x14ac:dyDescent="0.25">
      <c r="A1582">
        <v>24604</v>
      </c>
      <c r="B1582" t="s">
        <v>56</v>
      </c>
      <c r="C1582" s="2">
        <v>7.0000000000000007E-2</v>
      </c>
      <c r="D1582" s="2">
        <v>30.56</v>
      </c>
      <c r="E1582" s="2">
        <v>2.99</v>
      </c>
      <c r="F1582">
        <v>2813</v>
      </c>
      <c r="G1582" t="s">
        <v>2559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2560</v>
      </c>
      <c r="N1582">
        <v>0.35</v>
      </c>
      <c r="O1582" t="s">
        <v>33</v>
      </c>
      <c r="P1582" t="s">
        <v>135</v>
      </c>
      <c r="Q1582" t="s">
        <v>239</v>
      </c>
      <c r="R1582" t="s">
        <v>2561</v>
      </c>
      <c r="S1582">
        <v>37311</v>
      </c>
      <c r="T1582" s="1">
        <v>42042</v>
      </c>
      <c r="U1582" s="1">
        <v>42042</v>
      </c>
      <c r="V1582" s="2">
        <v>-95.618600000000001</v>
      </c>
      <c r="W1582">
        <v>12</v>
      </c>
      <c r="X1582" s="2">
        <v>364.92</v>
      </c>
      <c r="Y1582">
        <v>88819</v>
      </c>
      <c r="Z1582">
        <f t="shared" si="24"/>
        <v>4379.04</v>
      </c>
    </row>
    <row r="1583" spans="1:26" x14ac:dyDescent="0.25">
      <c r="A1583">
        <v>24044</v>
      </c>
      <c r="B1583" t="s">
        <v>25</v>
      </c>
      <c r="C1583" s="2">
        <v>0.05</v>
      </c>
      <c r="D1583" s="2">
        <v>4.71</v>
      </c>
      <c r="E1583" s="2">
        <v>0.7</v>
      </c>
      <c r="F1583">
        <v>2817</v>
      </c>
      <c r="G1583" t="s">
        <v>2562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1221</v>
      </c>
      <c r="N1583">
        <v>0.8</v>
      </c>
      <c r="O1583" t="s">
        <v>33</v>
      </c>
      <c r="P1583" t="s">
        <v>53</v>
      </c>
      <c r="Q1583" t="s">
        <v>152</v>
      </c>
      <c r="R1583" t="s">
        <v>395</v>
      </c>
      <c r="S1583">
        <v>43055</v>
      </c>
      <c r="T1583" s="1">
        <v>42156</v>
      </c>
      <c r="U1583" s="1">
        <v>42157</v>
      </c>
      <c r="V1583" s="2">
        <v>-2.3759999999999999</v>
      </c>
      <c r="W1583">
        <v>2</v>
      </c>
      <c r="X1583" s="2">
        <v>12.16</v>
      </c>
      <c r="Y1583">
        <v>89743</v>
      </c>
      <c r="Z1583">
        <f t="shared" si="24"/>
        <v>24.32</v>
      </c>
    </row>
    <row r="1584" spans="1:26" x14ac:dyDescent="0.25">
      <c r="A1584">
        <v>24045</v>
      </c>
      <c r="B1584" t="s">
        <v>25</v>
      </c>
      <c r="C1584" s="2">
        <v>0.04</v>
      </c>
      <c r="D1584" s="2">
        <v>55.99</v>
      </c>
      <c r="E1584" s="2">
        <v>1.25</v>
      </c>
      <c r="F1584">
        <v>2817</v>
      </c>
      <c r="G1584" t="s">
        <v>2562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2563</v>
      </c>
      <c r="N1584">
        <v>0.35</v>
      </c>
      <c r="O1584" t="s">
        <v>33</v>
      </c>
      <c r="P1584" t="s">
        <v>53</v>
      </c>
      <c r="Q1584" t="s">
        <v>152</v>
      </c>
      <c r="R1584" t="s">
        <v>395</v>
      </c>
      <c r="S1584">
        <v>43055</v>
      </c>
      <c r="T1584" s="1">
        <v>42156</v>
      </c>
      <c r="U1584" s="1">
        <v>42157</v>
      </c>
      <c r="V1584" s="2">
        <v>-18.3216</v>
      </c>
      <c r="W1584">
        <v>3</v>
      </c>
      <c r="X1584" s="2">
        <v>147.56</v>
      </c>
      <c r="Y1584">
        <v>89743</v>
      </c>
      <c r="Z1584">
        <f t="shared" si="24"/>
        <v>442.68</v>
      </c>
    </row>
    <row r="1585" spans="1:26" x14ac:dyDescent="0.25">
      <c r="A1585">
        <v>24373</v>
      </c>
      <c r="B1585" t="s">
        <v>106</v>
      </c>
      <c r="C1585" s="2">
        <v>0.08</v>
      </c>
      <c r="D1585" s="2">
        <v>6.48</v>
      </c>
      <c r="E1585" s="2">
        <v>2.74</v>
      </c>
      <c r="F1585">
        <v>2820</v>
      </c>
      <c r="G1585" t="s">
        <v>2564</v>
      </c>
      <c r="H1585" t="s">
        <v>49</v>
      </c>
      <c r="I1585" t="s">
        <v>40</v>
      </c>
      <c r="J1585" t="s">
        <v>77</v>
      </c>
      <c r="K1585" t="s">
        <v>177</v>
      </c>
      <c r="L1585" t="s">
        <v>51</v>
      </c>
      <c r="M1585" t="s">
        <v>1649</v>
      </c>
      <c r="N1585">
        <v>0.71</v>
      </c>
      <c r="O1585" t="s">
        <v>33</v>
      </c>
      <c r="P1585" t="s">
        <v>61</v>
      </c>
      <c r="Q1585" t="s">
        <v>499</v>
      </c>
      <c r="R1585" t="s">
        <v>2565</v>
      </c>
      <c r="S1585">
        <v>63129</v>
      </c>
      <c r="T1585" s="1">
        <v>42134</v>
      </c>
      <c r="U1585" s="1">
        <v>42136</v>
      </c>
      <c r="V1585" s="2">
        <v>-82.64</v>
      </c>
      <c r="W1585">
        <v>18</v>
      </c>
      <c r="X1585" s="2">
        <v>113.68</v>
      </c>
      <c r="Y1585">
        <v>87899</v>
      </c>
      <c r="Z1585">
        <f t="shared" si="24"/>
        <v>2046.2400000000002</v>
      </c>
    </row>
    <row r="1586" spans="1:26" x14ac:dyDescent="0.25">
      <c r="A1586">
        <v>24746</v>
      </c>
      <c r="B1586" t="s">
        <v>37</v>
      </c>
      <c r="C1586" s="2">
        <v>0.1</v>
      </c>
      <c r="D1586" s="2">
        <v>22.01</v>
      </c>
      <c r="E1586" s="2">
        <v>5.53</v>
      </c>
      <c r="F1586">
        <v>2820</v>
      </c>
      <c r="G1586" t="s">
        <v>2564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2035</v>
      </c>
      <c r="N1586">
        <v>0.59</v>
      </c>
      <c r="O1586" t="s">
        <v>33</v>
      </c>
      <c r="P1586" t="s">
        <v>61</v>
      </c>
      <c r="Q1586" t="s">
        <v>499</v>
      </c>
      <c r="R1586" t="s">
        <v>2565</v>
      </c>
      <c r="S1586">
        <v>63129</v>
      </c>
      <c r="T1586" s="1">
        <v>42018</v>
      </c>
      <c r="U1586" s="1">
        <v>42019</v>
      </c>
      <c r="V1586" s="2">
        <v>31.59</v>
      </c>
      <c r="W1586">
        <v>14</v>
      </c>
      <c r="X1586" s="2">
        <v>281.75</v>
      </c>
      <c r="Y1586">
        <v>87900</v>
      </c>
      <c r="Z1586">
        <f t="shared" si="24"/>
        <v>3944.5</v>
      </c>
    </row>
    <row r="1587" spans="1:26" x14ac:dyDescent="0.25">
      <c r="A1587">
        <v>23803</v>
      </c>
      <c r="B1587" t="s">
        <v>106</v>
      </c>
      <c r="C1587" s="2">
        <v>0.02</v>
      </c>
      <c r="D1587" s="2">
        <v>21.98</v>
      </c>
      <c r="E1587" s="2">
        <v>2.87</v>
      </c>
      <c r="F1587">
        <v>2823</v>
      </c>
      <c r="G1587" t="s">
        <v>2566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2567</v>
      </c>
      <c r="N1587">
        <v>0.55000000000000004</v>
      </c>
      <c r="O1587" t="s">
        <v>33</v>
      </c>
      <c r="P1587" t="s">
        <v>34</v>
      </c>
      <c r="Q1587" t="s">
        <v>526</v>
      </c>
      <c r="R1587" t="s">
        <v>2568</v>
      </c>
      <c r="S1587">
        <v>89031</v>
      </c>
      <c r="T1587" s="1">
        <v>42124</v>
      </c>
      <c r="U1587" s="1">
        <v>42126</v>
      </c>
      <c r="V1587" s="2">
        <v>165.6345</v>
      </c>
      <c r="W1587">
        <v>11</v>
      </c>
      <c r="X1587" s="2">
        <v>240.05</v>
      </c>
      <c r="Y1587">
        <v>87240</v>
      </c>
      <c r="Z1587">
        <f t="shared" si="24"/>
        <v>2640.55</v>
      </c>
    </row>
    <row r="1588" spans="1:26" x14ac:dyDescent="0.25">
      <c r="A1588">
        <v>22660</v>
      </c>
      <c r="B1588" t="s">
        <v>106</v>
      </c>
      <c r="C1588" s="2">
        <v>0.02</v>
      </c>
      <c r="D1588" s="2">
        <v>27.48</v>
      </c>
      <c r="E1588" s="2">
        <v>4</v>
      </c>
      <c r="F1588">
        <v>2825</v>
      </c>
      <c r="G1588" t="s">
        <v>2569</v>
      </c>
      <c r="H1588" t="s">
        <v>49</v>
      </c>
      <c r="I1588" t="s">
        <v>114</v>
      </c>
      <c r="J1588" t="s">
        <v>77</v>
      </c>
      <c r="K1588" t="s">
        <v>177</v>
      </c>
      <c r="L1588" t="s">
        <v>59</v>
      </c>
      <c r="M1588" t="s">
        <v>861</v>
      </c>
      <c r="N1588">
        <v>0.75</v>
      </c>
      <c r="O1588" t="s">
        <v>33</v>
      </c>
      <c r="P1588" t="s">
        <v>34</v>
      </c>
      <c r="Q1588" t="s">
        <v>1727</v>
      </c>
      <c r="R1588" t="s">
        <v>2434</v>
      </c>
      <c r="S1588">
        <v>83701</v>
      </c>
      <c r="T1588" s="1">
        <v>42144</v>
      </c>
      <c r="U1588" s="1">
        <v>42151</v>
      </c>
      <c r="V1588" s="2">
        <v>19.308</v>
      </c>
      <c r="W1588">
        <v>3</v>
      </c>
      <c r="X1588" s="2">
        <v>87.21</v>
      </c>
      <c r="Y1588">
        <v>89497</v>
      </c>
      <c r="Z1588">
        <f t="shared" si="24"/>
        <v>261.63</v>
      </c>
    </row>
    <row r="1589" spans="1:26" x14ac:dyDescent="0.25">
      <c r="A1589">
        <v>22661</v>
      </c>
      <c r="B1589" t="s">
        <v>106</v>
      </c>
      <c r="C1589" s="2">
        <v>0.08</v>
      </c>
      <c r="D1589" s="2">
        <v>10.06</v>
      </c>
      <c r="E1589" s="2">
        <v>2.06</v>
      </c>
      <c r="F1589">
        <v>2825</v>
      </c>
      <c r="G1589" t="s">
        <v>2569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275</v>
      </c>
      <c r="N1589">
        <v>0.39</v>
      </c>
      <c r="O1589" t="s">
        <v>33</v>
      </c>
      <c r="P1589" t="s">
        <v>34</v>
      </c>
      <c r="Q1589" t="s">
        <v>1727</v>
      </c>
      <c r="R1589" t="s">
        <v>2434</v>
      </c>
      <c r="S1589">
        <v>83701</v>
      </c>
      <c r="T1589" s="1">
        <v>42144</v>
      </c>
      <c r="U1589" s="1">
        <v>42148</v>
      </c>
      <c r="V1589" s="2">
        <v>0.33</v>
      </c>
      <c r="W1589">
        <v>4</v>
      </c>
      <c r="X1589" s="2">
        <v>40.15</v>
      </c>
      <c r="Y1589">
        <v>89497</v>
      </c>
      <c r="Z1589">
        <f t="shared" si="24"/>
        <v>160.6</v>
      </c>
    </row>
    <row r="1590" spans="1:26" x14ac:dyDescent="0.25">
      <c r="A1590">
        <v>24607</v>
      </c>
      <c r="B1590" t="s">
        <v>25</v>
      </c>
      <c r="C1590" s="2">
        <v>0.05</v>
      </c>
      <c r="D1590" s="2">
        <v>11.29</v>
      </c>
      <c r="E1590" s="2">
        <v>5.03</v>
      </c>
      <c r="F1590">
        <v>2828</v>
      </c>
      <c r="G1590" t="s">
        <v>2570</v>
      </c>
      <c r="H1590" t="s">
        <v>49</v>
      </c>
      <c r="I1590" t="s">
        <v>28</v>
      </c>
      <c r="J1590" t="s">
        <v>29</v>
      </c>
      <c r="K1590" t="s">
        <v>139</v>
      </c>
      <c r="L1590" t="s">
        <v>59</v>
      </c>
      <c r="M1590" t="s">
        <v>1440</v>
      </c>
      <c r="N1590">
        <v>0.59</v>
      </c>
      <c r="O1590" t="s">
        <v>33</v>
      </c>
      <c r="P1590" t="s">
        <v>34</v>
      </c>
      <c r="Q1590" t="s">
        <v>45</v>
      </c>
      <c r="R1590" t="s">
        <v>2571</v>
      </c>
      <c r="S1590">
        <v>92243</v>
      </c>
      <c r="T1590" s="1">
        <v>42054</v>
      </c>
      <c r="U1590" s="1">
        <v>42056</v>
      </c>
      <c r="V1590" s="2">
        <v>-35.26</v>
      </c>
      <c r="W1590">
        <v>8</v>
      </c>
      <c r="X1590" s="2">
        <v>90.46</v>
      </c>
      <c r="Y1590">
        <v>87720</v>
      </c>
      <c r="Z1590">
        <f t="shared" si="24"/>
        <v>723.68</v>
      </c>
    </row>
    <row r="1591" spans="1:26" x14ac:dyDescent="0.25">
      <c r="A1591">
        <v>23431</v>
      </c>
      <c r="B1591" t="s">
        <v>56</v>
      </c>
      <c r="C1591" s="2">
        <v>7.0000000000000007E-2</v>
      </c>
      <c r="D1591" s="2">
        <v>39.479999999999997</v>
      </c>
      <c r="E1591" s="2">
        <v>1.99</v>
      </c>
      <c r="F1591">
        <v>2828</v>
      </c>
      <c r="G1591" t="s">
        <v>2570</v>
      </c>
      <c r="H1591" t="s">
        <v>49</v>
      </c>
      <c r="I1591" t="s">
        <v>28</v>
      </c>
      <c r="J1591" t="s">
        <v>77</v>
      </c>
      <c r="K1591" t="s">
        <v>177</v>
      </c>
      <c r="L1591" t="s">
        <v>51</v>
      </c>
      <c r="M1591" t="s">
        <v>697</v>
      </c>
      <c r="N1591">
        <v>0.54</v>
      </c>
      <c r="O1591" t="s">
        <v>33</v>
      </c>
      <c r="P1591" t="s">
        <v>34</v>
      </c>
      <c r="Q1591" t="s">
        <v>45</v>
      </c>
      <c r="R1591" t="s">
        <v>2571</v>
      </c>
      <c r="S1591">
        <v>92243</v>
      </c>
      <c r="T1591" s="1">
        <v>42156</v>
      </c>
      <c r="U1591" s="1">
        <v>42157</v>
      </c>
      <c r="V1591" s="2">
        <v>322.25069999999999</v>
      </c>
      <c r="W1591">
        <v>12</v>
      </c>
      <c r="X1591" s="2">
        <v>467.03</v>
      </c>
      <c r="Y1591">
        <v>87721</v>
      </c>
      <c r="Z1591">
        <f t="shared" si="24"/>
        <v>5604.36</v>
      </c>
    </row>
    <row r="1592" spans="1:26" x14ac:dyDescent="0.25">
      <c r="A1592">
        <v>20594</v>
      </c>
      <c r="B1592" t="s">
        <v>37</v>
      </c>
      <c r="C1592" s="2">
        <v>0.03</v>
      </c>
      <c r="D1592" s="2">
        <v>140.97999999999999</v>
      </c>
      <c r="E1592" s="2">
        <v>36.090000000000003</v>
      </c>
      <c r="F1592">
        <v>2833</v>
      </c>
      <c r="G1592" t="s">
        <v>2572</v>
      </c>
      <c r="H1592" t="s">
        <v>39</v>
      </c>
      <c r="I1592" t="s">
        <v>58</v>
      </c>
      <c r="J1592" t="s">
        <v>41</v>
      </c>
      <c r="K1592" t="s">
        <v>187</v>
      </c>
      <c r="L1592" t="s">
        <v>120</v>
      </c>
      <c r="M1592" t="s">
        <v>1335</v>
      </c>
      <c r="N1592">
        <v>0.77</v>
      </c>
      <c r="O1592" t="s">
        <v>33</v>
      </c>
      <c r="P1592" t="s">
        <v>61</v>
      </c>
      <c r="Q1592" t="s">
        <v>62</v>
      </c>
      <c r="R1592" t="s">
        <v>2573</v>
      </c>
      <c r="S1592">
        <v>55076</v>
      </c>
      <c r="T1592" s="1">
        <v>42088</v>
      </c>
      <c r="U1592" s="1">
        <v>42090</v>
      </c>
      <c r="V1592" s="2">
        <v>-221.5</v>
      </c>
      <c r="W1592">
        <v>4</v>
      </c>
      <c r="X1592" s="2">
        <v>608.80999999999995</v>
      </c>
      <c r="Y1592">
        <v>91030</v>
      </c>
      <c r="Z1592">
        <f t="shared" si="24"/>
        <v>2435.2399999999998</v>
      </c>
    </row>
    <row r="1593" spans="1:26" x14ac:dyDescent="0.25">
      <c r="A1593">
        <v>20595</v>
      </c>
      <c r="B1593" t="s">
        <v>37</v>
      </c>
      <c r="C1593" s="2">
        <v>0.08</v>
      </c>
      <c r="D1593" s="2">
        <v>65.989999999999995</v>
      </c>
      <c r="E1593" s="2">
        <v>8.99</v>
      </c>
      <c r="F1593">
        <v>2833</v>
      </c>
      <c r="G1593" t="s">
        <v>2572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608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2573</v>
      </c>
      <c r="S1593">
        <v>55076</v>
      </c>
      <c r="T1593" s="1">
        <v>42088</v>
      </c>
      <c r="U1593" s="1">
        <v>42089</v>
      </c>
      <c r="V1593" s="2">
        <v>206.352</v>
      </c>
      <c r="W1593">
        <v>15</v>
      </c>
      <c r="X1593" s="2">
        <v>808.61</v>
      </c>
      <c r="Y1593">
        <v>91030</v>
      </c>
      <c r="Z1593">
        <f t="shared" si="24"/>
        <v>12129.15</v>
      </c>
    </row>
    <row r="1594" spans="1:26" x14ac:dyDescent="0.25">
      <c r="A1594">
        <v>19191</v>
      </c>
      <c r="B1594" t="s">
        <v>25</v>
      </c>
      <c r="C1594" s="2">
        <v>7.0000000000000007E-2</v>
      </c>
      <c r="D1594" s="2">
        <v>51.98</v>
      </c>
      <c r="E1594" s="2">
        <v>10.17</v>
      </c>
      <c r="F1594">
        <v>2837</v>
      </c>
      <c r="G1594" t="s">
        <v>2574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1131</v>
      </c>
      <c r="N1594">
        <v>0.37</v>
      </c>
      <c r="O1594" t="s">
        <v>33</v>
      </c>
      <c r="P1594" t="s">
        <v>61</v>
      </c>
      <c r="Q1594" t="s">
        <v>299</v>
      </c>
      <c r="R1594" t="s">
        <v>2575</v>
      </c>
      <c r="S1594">
        <v>74133</v>
      </c>
      <c r="T1594" s="1">
        <v>42071</v>
      </c>
      <c r="U1594" s="1">
        <v>42073</v>
      </c>
      <c r="V1594" s="2">
        <v>439.78530000000001</v>
      </c>
      <c r="W1594">
        <v>13</v>
      </c>
      <c r="X1594" s="2">
        <v>637.37</v>
      </c>
      <c r="Y1594">
        <v>89801</v>
      </c>
      <c r="Z1594">
        <f t="shared" si="24"/>
        <v>8285.81</v>
      </c>
    </row>
    <row r="1595" spans="1:26" x14ac:dyDescent="0.25">
      <c r="A1595">
        <v>19192</v>
      </c>
      <c r="B1595" t="s">
        <v>25</v>
      </c>
      <c r="C1595" s="2">
        <v>0.1</v>
      </c>
      <c r="D1595" s="2">
        <v>80.97</v>
      </c>
      <c r="E1595" s="2">
        <v>33.6</v>
      </c>
      <c r="F1595">
        <v>2837</v>
      </c>
      <c r="G1595" t="s">
        <v>2574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2016</v>
      </c>
      <c r="N1595">
        <v>0.37</v>
      </c>
      <c r="O1595" t="s">
        <v>33</v>
      </c>
      <c r="P1595" t="s">
        <v>61</v>
      </c>
      <c r="Q1595" t="s">
        <v>299</v>
      </c>
      <c r="R1595" t="s">
        <v>2575</v>
      </c>
      <c r="S1595">
        <v>74133</v>
      </c>
      <c r="T1595" s="1">
        <v>42071</v>
      </c>
      <c r="U1595" s="1">
        <v>42074</v>
      </c>
      <c r="V1595" s="2">
        <v>-149.4573</v>
      </c>
      <c r="W1595">
        <v>3</v>
      </c>
      <c r="X1595" s="2">
        <v>232.16</v>
      </c>
      <c r="Y1595">
        <v>89801</v>
      </c>
      <c r="Z1595">
        <f t="shared" si="24"/>
        <v>696.48</v>
      </c>
    </row>
    <row r="1596" spans="1:26" x14ac:dyDescent="0.25">
      <c r="A1596">
        <v>18416</v>
      </c>
      <c r="B1596" t="s">
        <v>25</v>
      </c>
      <c r="C1596" s="2">
        <v>0</v>
      </c>
      <c r="D1596" s="2">
        <v>21.98</v>
      </c>
      <c r="E1596" s="2">
        <v>2.87</v>
      </c>
      <c r="F1596">
        <v>2840</v>
      </c>
      <c r="G1596" t="s">
        <v>2576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2567</v>
      </c>
      <c r="N1596">
        <v>0.55000000000000004</v>
      </c>
      <c r="O1596" t="s">
        <v>33</v>
      </c>
      <c r="P1596" t="s">
        <v>135</v>
      </c>
      <c r="Q1596" t="s">
        <v>356</v>
      </c>
      <c r="R1596" t="s">
        <v>2577</v>
      </c>
      <c r="S1596">
        <v>33161</v>
      </c>
      <c r="T1596" s="1">
        <v>42082</v>
      </c>
      <c r="U1596" s="1">
        <v>42083</v>
      </c>
      <c r="V1596" s="2">
        <v>21.096</v>
      </c>
      <c r="W1596">
        <v>16</v>
      </c>
      <c r="X1596" s="2">
        <v>360.03</v>
      </c>
      <c r="Y1596">
        <v>87884</v>
      </c>
      <c r="Z1596">
        <f t="shared" si="24"/>
        <v>5760.48</v>
      </c>
    </row>
    <row r="1597" spans="1:26" x14ac:dyDescent="0.25">
      <c r="A1597">
        <v>18419</v>
      </c>
      <c r="B1597" t="s">
        <v>56</v>
      </c>
      <c r="C1597" s="2">
        <v>0.05</v>
      </c>
      <c r="D1597" s="2">
        <v>15.68</v>
      </c>
      <c r="E1597" s="2">
        <v>3.73</v>
      </c>
      <c r="F1597">
        <v>2840</v>
      </c>
      <c r="G1597" t="s">
        <v>2576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2361</v>
      </c>
      <c r="N1597">
        <v>0.46</v>
      </c>
      <c r="O1597" t="s">
        <v>33</v>
      </c>
      <c r="P1597" t="s">
        <v>135</v>
      </c>
      <c r="Q1597" t="s">
        <v>356</v>
      </c>
      <c r="R1597" t="s">
        <v>2577</v>
      </c>
      <c r="S1597">
        <v>33161</v>
      </c>
      <c r="T1597" s="1">
        <v>42166</v>
      </c>
      <c r="U1597" s="1">
        <v>42168</v>
      </c>
      <c r="V1597" s="2">
        <v>1166.6279999999999</v>
      </c>
      <c r="W1597">
        <v>17</v>
      </c>
      <c r="X1597" s="2">
        <v>260.01</v>
      </c>
      <c r="Y1597">
        <v>87885</v>
      </c>
      <c r="Z1597">
        <f t="shared" si="24"/>
        <v>4420.17</v>
      </c>
    </row>
    <row r="1598" spans="1:26" x14ac:dyDescent="0.25">
      <c r="A1598">
        <v>18420</v>
      </c>
      <c r="B1598" t="s">
        <v>56</v>
      </c>
      <c r="C1598" s="2">
        <v>0</v>
      </c>
      <c r="D1598" s="2">
        <v>14.98</v>
      </c>
      <c r="E1598" s="2">
        <v>8.99</v>
      </c>
      <c r="F1598">
        <v>2840</v>
      </c>
      <c r="G1598" t="s">
        <v>2576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2578</v>
      </c>
      <c r="N1598">
        <v>0.39</v>
      </c>
      <c r="O1598" t="s">
        <v>33</v>
      </c>
      <c r="P1598" t="s">
        <v>135</v>
      </c>
      <c r="Q1598" t="s">
        <v>356</v>
      </c>
      <c r="R1598" t="s">
        <v>2577</v>
      </c>
      <c r="S1598">
        <v>33161</v>
      </c>
      <c r="T1598" s="1">
        <v>42166</v>
      </c>
      <c r="U1598" s="1">
        <v>42167</v>
      </c>
      <c r="V1598" s="2">
        <v>-40.604199999999999</v>
      </c>
      <c r="W1598">
        <v>18</v>
      </c>
      <c r="X1598" s="2">
        <v>273.79000000000002</v>
      </c>
      <c r="Y1598">
        <v>87885</v>
      </c>
      <c r="Z1598">
        <f t="shared" si="24"/>
        <v>4928.22</v>
      </c>
    </row>
    <row r="1599" spans="1:26" x14ac:dyDescent="0.25">
      <c r="A1599">
        <v>18421</v>
      </c>
      <c r="B1599" t="s">
        <v>56</v>
      </c>
      <c r="C1599" s="2">
        <v>0.02</v>
      </c>
      <c r="D1599" s="2">
        <v>38.76</v>
      </c>
      <c r="E1599" s="2">
        <v>13.26</v>
      </c>
      <c r="F1599">
        <v>2840</v>
      </c>
      <c r="G1599" t="s">
        <v>2576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2579</v>
      </c>
      <c r="N1599">
        <v>0.36</v>
      </c>
      <c r="O1599" t="s">
        <v>33</v>
      </c>
      <c r="P1599" t="s">
        <v>135</v>
      </c>
      <c r="Q1599" t="s">
        <v>356</v>
      </c>
      <c r="R1599" t="s">
        <v>2577</v>
      </c>
      <c r="S1599">
        <v>33161</v>
      </c>
      <c r="T1599" s="1">
        <v>42166</v>
      </c>
      <c r="U1599" s="1">
        <v>42167</v>
      </c>
      <c r="V1599" s="2">
        <v>-294.084</v>
      </c>
      <c r="W1599">
        <v>1</v>
      </c>
      <c r="X1599" s="2">
        <v>44.62</v>
      </c>
      <c r="Y1599">
        <v>87885</v>
      </c>
      <c r="Z1599">
        <f t="shared" si="24"/>
        <v>44.62</v>
      </c>
    </row>
    <row r="1600" spans="1:26" x14ac:dyDescent="0.25">
      <c r="A1600">
        <v>21855</v>
      </c>
      <c r="B1600" t="s">
        <v>37</v>
      </c>
      <c r="C1600" s="2">
        <v>0.04</v>
      </c>
      <c r="D1600" s="2">
        <v>90.48</v>
      </c>
      <c r="E1600" s="2">
        <v>19.989999999999998</v>
      </c>
      <c r="F1600">
        <v>2847</v>
      </c>
      <c r="G1600" t="s">
        <v>2580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1825</v>
      </c>
      <c r="N1600">
        <v>0.4</v>
      </c>
      <c r="O1600" t="s">
        <v>33</v>
      </c>
      <c r="P1600" t="s">
        <v>135</v>
      </c>
      <c r="Q1600" t="s">
        <v>239</v>
      </c>
      <c r="R1600" t="s">
        <v>2581</v>
      </c>
      <c r="S1600">
        <v>38017</v>
      </c>
      <c r="T1600" s="1">
        <v>42103</v>
      </c>
      <c r="U1600" s="1">
        <v>42105</v>
      </c>
      <c r="V1600" s="2">
        <v>55.555199999999999</v>
      </c>
      <c r="W1600">
        <v>3</v>
      </c>
      <c r="X1600" s="2">
        <v>268.64</v>
      </c>
      <c r="Y1600">
        <v>85928</v>
      </c>
      <c r="Z1600">
        <f t="shared" si="24"/>
        <v>805.92</v>
      </c>
    </row>
    <row r="1601" spans="1:26" x14ac:dyDescent="0.25">
      <c r="A1601">
        <v>21856</v>
      </c>
      <c r="B1601" t="s">
        <v>37</v>
      </c>
      <c r="C1601" s="2">
        <v>0.02</v>
      </c>
      <c r="D1601" s="2">
        <v>9.77</v>
      </c>
      <c r="E1601" s="2">
        <v>6.02</v>
      </c>
      <c r="F1601">
        <v>2847</v>
      </c>
      <c r="G1601" t="s">
        <v>2580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1589</v>
      </c>
      <c r="N1601">
        <v>0.48</v>
      </c>
      <c r="O1601" t="s">
        <v>33</v>
      </c>
      <c r="P1601" t="s">
        <v>135</v>
      </c>
      <c r="Q1601" t="s">
        <v>239</v>
      </c>
      <c r="R1601" t="s">
        <v>2581</v>
      </c>
      <c r="S1601">
        <v>38017</v>
      </c>
      <c r="T1601" s="1">
        <v>42103</v>
      </c>
      <c r="U1601" s="1">
        <v>42104</v>
      </c>
      <c r="V1601" s="2">
        <v>-535.33199999999999</v>
      </c>
      <c r="W1601">
        <v>9</v>
      </c>
      <c r="X1601" s="2">
        <v>87.68</v>
      </c>
      <c r="Y1601">
        <v>85928</v>
      </c>
      <c r="Z1601">
        <f t="shared" si="24"/>
        <v>789.12000000000012</v>
      </c>
    </row>
    <row r="1602" spans="1:26" x14ac:dyDescent="0.25">
      <c r="A1602">
        <v>21857</v>
      </c>
      <c r="B1602" t="s">
        <v>37</v>
      </c>
      <c r="C1602" s="2">
        <v>0.09</v>
      </c>
      <c r="D1602" s="2">
        <v>34.99</v>
      </c>
      <c r="E1602" s="2">
        <v>7.73</v>
      </c>
      <c r="F1602">
        <v>2847</v>
      </c>
      <c r="G1602" t="s">
        <v>2580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135</v>
      </c>
      <c r="Q1602" t="s">
        <v>239</v>
      </c>
      <c r="R1602" t="s">
        <v>2581</v>
      </c>
      <c r="S1602">
        <v>38017</v>
      </c>
      <c r="T1602" s="1">
        <v>42103</v>
      </c>
      <c r="U1602" s="1">
        <v>42105</v>
      </c>
      <c r="V1602" s="2">
        <v>-208.72040000000001</v>
      </c>
      <c r="W1602">
        <v>1</v>
      </c>
      <c r="X1602" s="2">
        <v>37.619999999999997</v>
      </c>
      <c r="Y1602">
        <v>85928</v>
      </c>
      <c r="Z1602">
        <f t="shared" si="24"/>
        <v>37.619999999999997</v>
      </c>
    </row>
    <row r="1603" spans="1:26" x14ac:dyDescent="0.25">
      <c r="A1603">
        <v>24455</v>
      </c>
      <c r="B1603" t="s">
        <v>56</v>
      </c>
      <c r="C1603" s="2">
        <v>0</v>
      </c>
      <c r="D1603" s="2">
        <v>49.99</v>
      </c>
      <c r="E1603" s="2">
        <v>19.989999999999998</v>
      </c>
      <c r="F1603">
        <v>2848</v>
      </c>
      <c r="G1603" t="s">
        <v>2582</v>
      </c>
      <c r="H1603" t="s">
        <v>49</v>
      </c>
      <c r="I1603" t="s">
        <v>28</v>
      </c>
      <c r="J1603" t="s">
        <v>77</v>
      </c>
      <c r="K1603" t="s">
        <v>177</v>
      </c>
      <c r="L1603" t="s">
        <v>59</v>
      </c>
      <c r="M1603" t="s">
        <v>270</v>
      </c>
      <c r="N1603">
        <v>0.41</v>
      </c>
      <c r="O1603" t="s">
        <v>33</v>
      </c>
      <c r="P1603" t="s">
        <v>135</v>
      </c>
      <c r="Q1603" t="s">
        <v>239</v>
      </c>
      <c r="R1603" t="s">
        <v>2583</v>
      </c>
      <c r="S1603">
        <v>38401</v>
      </c>
      <c r="T1603" s="1">
        <v>42161</v>
      </c>
      <c r="U1603" s="1">
        <v>42163</v>
      </c>
      <c r="V1603" s="2">
        <v>38.886000000000003</v>
      </c>
      <c r="W1603">
        <v>16</v>
      </c>
      <c r="X1603" s="2">
        <v>832.97</v>
      </c>
      <c r="Y1603">
        <v>85929</v>
      </c>
      <c r="Z1603">
        <f t="shared" ref="Z1603:Z1666" si="25">W1603*X1603</f>
        <v>13327.52</v>
      </c>
    </row>
    <row r="1604" spans="1:26" x14ac:dyDescent="0.25">
      <c r="A1604">
        <v>23622</v>
      </c>
      <c r="B1604" t="s">
        <v>106</v>
      </c>
      <c r="C1604" s="2">
        <v>0.05</v>
      </c>
      <c r="D1604" s="2">
        <v>115.99</v>
      </c>
      <c r="E1604" s="2">
        <v>8.99</v>
      </c>
      <c r="F1604">
        <v>2851</v>
      </c>
      <c r="G1604" t="s">
        <v>2584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>
        <v>5185</v>
      </c>
      <c r="N1604">
        <v>0.57999999999999996</v>
      </c>
      <c r="O1604" t="s">
        <v>33</v>
      </c>
      <c r="P1604" t="s">
        <v>61</v>
      </c>
      <c r="Q1604" t="s">
        <v>129</v>
      </c>
      <c r="R1604" t="s">
        <v>2585</v>
      </c>
      <c r="S1604">
        <v>79762</v>
      </c>
      <c r="T1604" s="1">
        <v>42103</v>
      </c>
      <c r="U1604" s="1">
        <v>42107</v>
      </c>
      <c r="V1604" s="2">
        <v>719.35260000000005</v>
      </c>
      <c r="W1604">
        <v>11</v>
      </c>
      <c r="X1604" s="2">
        <v>1042.54</v>
      </c>
      <c r="Y1604">
        <v>86454</v>
      </c>
      <c r="Z1604">
        <f t="shared" si="25"/>
        <v>11467.939999999999</v>
      </c>
    </row>
    <row r="1605" spans="1:26" x14ac:dyDescent="0.25">
      <c r="A1605">
        <v>23042</v>
      </c>
      <c r="B1605" t="s">
        <v>56</v>
      </c>
      <c r="C1605" s="2">
        <v>0.08</v>
      </c>
      <c r="D1605" s="2">
        <v>7.84</v>
      </c>
      <c r="E1605" s="2">
        <v>4.71</v>
      </c>
      <c r="F1605">
        <v>2855</v>
      </c>
      <c r="G1605" t="s">
        <v>2586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2251</v>
      </c>
      <c r="N1605">
        <v>0.35</v>
      </c>
      <c r="O1605" t="s">
        <v>33</v>
      </c>
      <c r="P1605" t="s">
        <v>34</v>
      </c>
      <c r="Q1605" t="s">
        <v>35</v>
      </c>
      <c r="R1605" t="s">
        <v>2587</v>
      </c>
      <c r="S1605">
        <v>98198</v>
      </c>
      <c r="T1605" s="1">
        <v>42025</v>
      </c>
      <c r="U1605" s="1">
        <v>42026</v>
      </c>
      <c r="V1605" s="2">
        <v>-12.87678</v>
      </c>
      <c r="W1605">
        <v>10</v>
      </c>
      <c r="X1605" s="2">
        <v>76.16</v>
      </c>
      <c r="Y1605">
        <v>87316</v>
      </c>
      <c r="Z1605">
        <f t="shared" si="25"/>
        <v>761.59999999999991</v>
      </c>
    </row>
    <row r="1606" spans="1:26" x14ac:dyDescent="0.25">
      <c r="A1606">
        <v>23043</v>
      </c>
      <c r="B1606" t="s">
        <v>56</v>
      </c>
      <c r="C1606" s="2">
        <v>0.03</v>
      </c>
      <c r="D1606" s="2">
        <v>105.34</v>
      </c>
      <c r="E1606" s="2">
        <v>24.49</v>
      </c>
      <c r="F1606">
        <v>2855</v>
      </c>
      <c r="G1606" t="s">
        <v>2586</v>
      </c>
      <c r="H1606" t="s">
        <v>49</v>
      </c>
      <c r="I1606" t="s">
        <v>28</v>
      </c>
      <c r="J1606" t="s">
        <v>41</v>
      </c>
      <c r="K1606" t="s">
        <v>50</v>
      </c>
      <c r="L1606" t="s">
        <v>231</v>
      </c>
      <c r="M1606" t="s">
        <v>2588</v>
      </c>
      <c r="N1606">
        <v>0.61</v>
      </c>
      <c r="O1606" t="s">
        <v>33</v>
      </c>
      <c r="P1606" t="s">
        <v>34</v>
      </c>
      <c r="Q1606" t="s">
        <v>35</v>
      </c>
      <c r="R1606" t="s">
        <v>2587</v>
      </c>
      <c r="S1606">
        <v>98198</v>
      </c>
      <c r="T1606" s="1">
        <v>42025</v>
      </c>
      <c r="U1606" s="1">
        <v>42026</v>
      </c>
      <c r="V1606" s="2">
        <v>618.13080000000002</v>
      </c>
      <c r="W1606">
        <v>10</v>
      </c>
      <c r="X1606" s="2">
        <v>1038.1400000000001</v>
      </c>
      <c r="Y1606">
        <v>87316</v>
      </c>
      <c r="Z1606">
        <f t="shared" si="25"/>
        <v>10381.400000000001</v>
      </c>
    </row>
    <row r="1607" spans="1:26" x14ac:dyDescent="0.25">
      <c r="A1607">
        <v>23213</v>
      </c>
      <c r="B1607" t="s">
        <v>106</v>
      </c>
      <c r="C1607" s="2">
        <v>0.09</v>
      </c>
      <c r="D1607" s="2">
        <v>6783.02</v>
      </c>
      <c r="E1607" s="2">
        <v>24.49</v>
      </c>
      <c r="F1607">
        <v>2855</v>
      </c>
      <c r="G1607" t="s">
        <v>2586</v>
      </c>
      <c r="H1607" t="s">
        <v>49</v>
      </c>
      <c r="I1607" t="s">
        <v>114</v>
      </c>
      <c r="J1607" t="s">
        <v>77</v>
      </c>
      <c r="K1607" t="s">
        <v>85</v>
      </c>
      <c r="L1607" t="s">
        <v>231</v>
      </c>
      <c r="M1607" t="s">
        <v>1265</v>
      </c>
      <c r="N1607">
        <v>0.39</v>
      </c>
      <c r="O1607" t="s">
        <v>33</v>
      </c>
      <c r="P1607" t="s">
        <v>34</v>
      </c>
      <c r="Q1607" t="s">
        <v>35</v>
      </c>
      <c r="R1607" t="s">
        <v>2587</v>
      </c>
      <c r="S1607">
        <v>98198</v>
      </c>
      <c r="T1607" s="1">
        <v>42073</v>
      </c>
      <c r="U1607" s="1">
        <v>42077</v>
      </c>
      <c r="V1607" s="2">
        <v>-14140.7016</v>
      </c>
      <c r="W1607">
        <v>1</v>
      </c>
      <c r="X1607" s="2">
        <v>6296</v>
      </c>
      <c r="Y1607">
        <v>87317</v>
      </c>
      <c r="Z1607">
        <f t="shared" si="25"/>
        <v>6296</v>
      </c>
    </row>
    <row r="1608" spans="1:26" x14ac:dyDescent="0.25">
      <c r="A1608">
        <v>18516</v>
      </c>
      <c r="B1608" t="s">
        <v>56</v>
      </c>
      <c r="C1608" s="2">
        <v>0.06</v>
      </c>
      <c r="D1608" s="2">
        <v>2.94</v>
      </c>
      <c r="E1608" s="2">
        <v>0.96</v>
      </c>
      <c r="F1608">
        <v>2858</v>
      </c>
      <c r="G1608" t="s">
        <v>2589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592</v>
      </c>
      <c r="N1608">
        <v>0.57999999999999996</v>
      </c>
      <c r="O1608" t="s">
        <v>33</v>
      </c>
      <c r="P1608" t="s">
        <v>135</v>
      </c>
      <c r="Q1608" t="s">
        <v>356</v>
      </c>
      <c r="R1608" t="s">
        <v>2215</v>
      </c>
      <c r="S1608">
        <v>32259</v>
      </c>
      <c r="T1608" s="1">
        <v>42141</v>
      </c>
      <c r="U1608" s="1">
        <v>42142</v>
      </c>
      <c r="V1608" s="2">
        <v>-8.8759999999999994</v>
      </c>
      <c r="W1608">
        <v>3</v>
      </c>
      <c r="X1608" s="2">
        <v>8.7899999999999991</v>
      </c>
      <c r="Y1608">
        <v>88279</v>
      </c>
      <c r="Z1608">
        <f t="shared" si="25"/>
        <v>26.369999999999997</v>
      </c>
    </row>
    <row r="1609" spans="1:26" x14ac:dyDescent="0.25">
      <c r="A1609">
        <v>18506</v>
      </c>
      <c r="B1609" t="s">
        <v>106</v>
      </c>
      <c r="C1609" s="2">
        <v>0.04</v>
      </c>
      <c r="D1609" s="2">
        <v>67.28</v>
      </c>
      <c r="E1609" s="2">
        <v>19.989999999999998</v>
      </c>
      <c r="F1609">
        <v>2858</v>
      </c>
      <c r="G1609" t="s">
        <v>2589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665</v>
      </c>
      <c r="N1609">
        <v>0.4</v>
      </c>
      <c r="O1609" t="s">
        <v>33</v>
      </c>
      <c r="P1609" t="s">
        <v>135</v>
      </c>
      <c r="Q1609" t="s">
        <v>356</v>
      </c>
      <c r="R1609" t="s">
        <v>2215</v>
      </c>
      <c r="S1609">
        <v>32259</v>
      </c>
      <c r="T1609" s="1">
        <v>42147</v>
      </c>
      <c r="U1609" s="1">
        <v>42152</v>
      </c>
      <c r="V1609" s="2">
        <v>14.754</v>
      </c>
      <c r="W1609">
        <v>30</v>
      </c>
      <c r="X1609" s="2">
        <v>2051.6799999999998</v>
      </c>
      <c r="Y1609">
        <v>88282</v>
      </c>
      <c r="Z1609">
        <f t="shared" si="25"/>
        <v>61550.399999999994</v>
      </c>
    </row>
    <row r="1610" spans="1:26" x14ac:dyDescent="0.25">
      <c r="A1610">
        <v>18507</v>
      </c>
      <c r="B1610" t="s">
        <v>106</v>
      </c>
      <c r="C1610" s="2">
        <v>0.1</v>
      </c>
      <c r="D1610" s="2">
        <v>130.97999999999999</v>
      </c>
      <c r="E1610" s="2">
        <v>54.74</v>
      </c>
      <c r="F1610">
        <v>2858</v>
      </c>
      <c r="G1610" t="s">
        <v>2589</v>
      </c>
      <c r="H1610" t="s">
        <v>39</v>
      </c>
      <c r="I1610" t="s">
        <v>28</v>
      </c>
      <c r="J1610" t="s">
        <v>41</v>
      </c>
      <c r="K1610" t="s">
        <v>187</v>
      </c>
      <c r="L1610" t="s">
        <v>120</v>
      </c>
      <c r="M1610" t="s">
        <v>399</v>
      </c>
      <c r="N1610">
        <v>0.69</v>
      </c>
      <c r="O1610" t="s">
        <v>33</v>
      </c>
      <c r="P1610" t="s">
        <v>135</v>
      </c>
      <c r="Q1610" t="s">
        <v>356</v>
      </c>
      <c r="R1610" t="s">
        <v>2215</v>
      </c>
      <c r="S1610">
        <v>32259</v>
      </c>
      <c r="T1610" s="1">
        <v>42147</v>
      </c>
      <c r="U1610" s="1">
        <v>42147</v>
      </c>
      <c r="V1610" s="2">
        <v>669.61199999999997</v>
      </c>
      <c r="W1610">
        <v>42</v>
      </c>
      <c r="X1610" s="2">
        <v>5295.03</v>
      </c>
      <c r="Y1610">
        <v>88282</v>
      </c>
      <c r="Z1610">
        <f t="shared" si="25"/>
        <v>222391.25999999998</v>
      </c>
    </row>
    <row r="1611" spans="1:26" x14ac:dyDescent="0.25">
      <c r="A1611">
        <v>18508</v>
      </c>
      <c r="B1611" t="s">
        <v>106</v>
      </c>
      <c r="C1611" s="2">
        <v>0.04</v>
      </c>
      <c r="D1611" s="2">
        <v>2.78</v>
      </c>
      <c r="E1611" s="2">
        <v>1.25</v>
      </c>
      <c r="F1611">
        <v>2858</v>
      </c>
      <c r="G1611" t="s">
        <v>2589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2188</v>
      </c>
      <c r="N1611">
        <v>0.59</v>
      </c>
      <c r="O1611" t="s">
        <v>33</v>
      </c>
      <c r="P1611" t="s">
        <v>135</v>
      </c>
      <c r="Q1611" t="s">
        <v>356</v>
      </c>
      <c r="R1611" t="s">
        <v>2215</v>
      </c>
      <c r="S1611">
        <v>32259</v>
      </c>
      <c r="T1611" s="1">
        <v>42147</v>
      </c>
      <c r="U1611" s="1">
        <v>42147</v>
      </c>
      <c r="V1611" s="2">
        <v>213</v>
      </c>
      <c r="W1611">
        <v>28</v>
      </c>
      <c r="X1611" s="2">
        <v>80.27</v>
      </c>
      <c r="Y1611">
        <v>88282</v>
      </c>
      <c r="Z1611">
        <f t="shared" si="25"/>
        <v>2247.56</v>
      </c>
    </row>
    <row r="1612" spans="1:26" x14ac:dyDescent="0.25">
      <c r="A1612">
        <v>20270</v>
      </c>
      <c r="B1612" t="s">
        <v>37</v>
      </c>
      <c r="C1612" s="2">
        <v>0.03</v>
      </c>
      <c r="D1612" s="2">
        <v>142.86000000000001</v>
      </c>
      <c r="E1612" s="2">
        <v>19.989999999999998</v>
      </c>
      <c r="F1612">
        <v>2859</v>
      </c>
      <c r="G1612" t="s">
        <v>2590</v>
      </c>
      <c r="H1612" t="s">
        <v>49</v>
      </c>
      <c r="I1612" t="s">
        <v>28</v>
      </c>
      <c r="J1612" t="s">
        <v>29</v>
      </c>
      <c r="K1612" t="s">
        <v>139</v>
      </c>
      <c r="L1612" t="s">
        <v>59</v>
      </c>
      <c r="M1612" t="s">
        <v>1660</v>
      </c>
      <c r="N1612">
        <v>0.56000000000000005</v>
      </c>
      <c r="O1612" t="s">
        <v>33</v>
      </c>
      <c r="P1612" t="s">
        <v>135</v>
      </c>
      <c r="Q1612" t="s">
        <v>356</v>
      </c>
      <c r="R1612" t="s">
        <v>276</v>
      </c>
      <c r="S1612">
        <v>32601</v>
      </c>
      <c r="T1612" s="1">
        <v>42095</v>
      </c>
      <c r="U1612" s="1">
        <v>42097</v>
      </c>
      <c r="V1612" s="2">
        <v>-8.3880999999999997</v>
      </c>
      <c r="W1612">
        <v>23</v>
      </c>
      <c r="X1612" s="2">
        <v>3292.02</v>
      </c>
      <c r="Y1612">
        <v>88281</v>
      </c>
      <c r="Z1612">
        <f t="shared" si="25"/>
        <v>75716.460000000006</v>
      </c>
    </row>
    <row r="1613" spans="1:26" x14ac:dyDescent="0.25">
      <c r="A1613">
        <v>23238</v>
      </c>
      <c r="B1613" t="s">
        <v>56</v>
      </c>
      <c r="C1613" s="2">
        <v>0.05</v>
      </c>
      <c r="D1613" s="2">
        <v>20.99</v>
      </c>
      <c r="E1613" s="2">
        <v>4.8099999999999996</v>
      </c>
      <c r="F1613">
        <v>2861</v>
      </c>
      <c r="G1613" t="s">
        <v>2591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469</v>
      </c>
      <c r="N1613">
        <v>0.57999999999999996</v>
      </c>
      <c r="O1613" t="s">
        <v>33</v>
      </c>
      <c r="P1613" t="s">
        <v>61</v>
      </c>
      <c r="Q1613" t="s">
        <v>180</v>
      </c>
      <c r="R1613" t="s">
        <v>2592</v>
      </c>
      <c r="S1613">
        <v>67601</v>
      </c>
      <c r="T1613" s="1">
        <v>42063</v>
      </c>
      <c r="U1613" s="1">
        <v>42063</v>
      </c>
      <c r="V1613" s="2">
        <v>4.9017600000000003</v>
      </c>
      <c r="W1613">
        <v>11</v>
      </c>
      <c r="X1613" s="2">
        <v>199.43</v>
      </c>
      <c r="Y1613">
        <v>88280</v>
      </c>
      <c r="Z1613">
        <f t="shared" si="25"/>
        <v>2193.73</v>
      </c>
    </row>
    <row r="1614" spans="1:26" x14ac:dyDescent="0.25">
      <c r="A1614">
        <v>25932</v>
      </c>
      <c r="B1614" t="s">
        <v>25</v>
      </c>
      <c r="C1614" s="2">
        <v>0</v>
      </c>
      <c r="D1614" s="2">
        <v>12.22</v>
      </c>
      <c r="E1614" s="2">
        <v>2.85</v>
      </c>
      <c r="F1614">
        <v>2862</v>
      </c>
      <c r="G1614" t="s">
        <v>2593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2379</v>
      </c>
      <c r="N1614">
        <v>0.55000000000000004</v>
      </c>
      <c r="O1614" t="s">
        <v>33</v>
      </c>
      <c r="P1614" t="s">
        <v>61</v>
      </c>
      <c r="Q1614" t="s">
        <v>489</v>
      </c>
      <c r="R1614" t="s">
        <v>2594</v>
      </c>
      <c r="S1614">
        <v>68128</v>
      </c>
      <c r="T1614" s="1">
        <v>42105</v>
      </c>
      <c r="U1614" s="1">
        <v>42106</v>
      </c>
      <c r="V1614" s="2">
        <v>76.389899999999997</v>
      </c>
      <c r="W1614">
        <v>9</v>
      </c>
      <c r="X1614" s="2">
        <v>110.71</v>
      </c>
      <c r="Y1614">
        <v>88278</v>
      </c>
      <c r="Z1614">
        <f t="shared" si="25"/>
        <v>996.39</v>
      </c>
    </row>
    <row r="1615" spans="1:26" x14ac:dyDescent="0.25">
      <c r="A1615">
        <v>23136</v>
      </c>
      <c r="B1615" t="s">
        <v>47</v>
      </c>
      <c r="C1615" s="2">
        <v>0.01</v>
      </c>
      <c r="D1615" s="2">
        <v>13.79</v>
      </c>
      <c r="E1615" s="2">
        <v>8.7799999999999994</v>
      </c>
      <c r="F1615">
        <v>2865</v>
      </c>
      <c r="G1615" t="s">
        <v>2595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694</v>
      </c>
      <c r="N1615">
        <v>0.43</v>
      </c>
      <c r="O1615" t="s">
        <v>33</v>
      </c>
      <c r="P1615" t="s">
        <v>61</v>
      </c>
      <c r="Q1615" t="s">
        <v>129</v>
      </c>
      <c r="R1615" t="s">
        <v>2596</v>
      </c>
      <c r="S1615">
        <v>75460</v>
      </c>
      <c r="T1615" s="1">
        <v>42058</v>
      </c>
      <c r="U1615" s="1">
        <v>42060</v>
      </c>
      <c r="V1615" s="2">
        <v>-36.770000000000003</v>
      </c>
      <c r="W1615">
        <v>4</v>
      </c>
      <c r="X1615" s="2">
        <v>56.68</v>
      </c>
      <c r="Y1615">
        <v>90871</v>
      </c>
      <c r="Z1615">
        <f t="shared" si="25"/>
        <v>226.72</v>
      </c>
    </row>
    <row r="1616" spans="1:26" x14ac:dyDescent="0.25">
      <c r="A1616">
        <v>23137</v>
      </c>
      <c r="B1616" t="s">
        <v>47</v>
      </c>
      <c r="C1616" s="2">
        <v>0.04</v>
      </c>
      <c r="D1616" s="2">
        <v>33.29</v>
      </c>
      <c r="E1616" s="2">
        <v>8.74</v>
      </c>
      <c r="F1616">
        <v>2865</v>
      </c>
      <c r="G1616" t="s">
        <v>2595</v>
      </c>
      <c r="H1616" t="s">
        <v>49</v>
      </c>
      <c r="I1616" t="s">
        <v>28</v>
      </c>
      <c r="J1616" t="s">
        <v>29</v>
      </c>
      <c r="K1616" t="s">
        <v>139</v>
      </c>
      <c r="L1616" t="s">
        <v>59</v>
      </c>
      <c r="M1616" t="s">
        <v>2597</v>
      </c>
      <c r="N1616">
        <v>0.61</v>
      </c>
      <c r="O1616" t="s">
        <v>33</v>
      </c>
      <c r="P1616" t="s">
        <v>61</v>
      </c>
      <c r="Q1616" t="s">
        <v>129</v>
      </c>
      <c r="R1616" t="s">
        <v>2596</v>
      </c>
      <c r="S1616">
        <v>75460</v>
      </c>
      <c r="T1616" s="1">
        <v>42058</v>
      </c>
      <c r="U1616" s="1">
        <v>42059</v>
      </c>
      <c r="V1616" s="2">
        <v>87.03</v>
      </c>
      <c r="W1616">
        <v>8</v>
      </c>
      <c r="X1616" s="2">
        <v>273.33999999999997</v>
      </c>
      <c r="Y1616">
        <v>90871</v>
      </c>
      <c r="Z1616">
        <f t="shared" si="25"/>
        <v>2186.7199999999998</v>
      </c>
    </row>
    <row r="1617" spans="1:26" x14ac:dyDescent="0.25">
      <c r="A1617">
        <v>1529</v>
      </c>
      <c r="B1617" t="s">
        <v>25</v>
      </c>
      <c r="C1617" s="2">
        <v>0.01</v>
      </c>
      <c r="D1617" s="2">
        <v>125.99</v>
      </c>
      <c r="E1617" s="2">
        <v>8.99</v>
      </c>
      <c r="F1617">
        <v>2867</v>
      </c>
      <c r="G1617" t="s">
        <v>2598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459</v>
      </c>
      <c r="N1617">
        <v>0.59</v>
      </c>
      <c r="O1617" t="s">
        <v>33</v>
      </c>
      <c r="P1617" t="s">
        <v>53</v>
      </c>
      <c r="Q1617" t="s">
        <v>998</v>
      </c>
      <c r="R1617" t="s">
        <v>35</v>
      </c>
      <c r="S1617">
        <v>20016</v>
      </c>
      <c r="T1617" s="1">
        <v>42111</v>
      </c>
      <c r="U1617" s="1">
        <v>42112</v>
      </c>
      <c r="V1617" s="2">
        <v>-582.64800000000002</v>
      </c>
      <c r="W1617">
        <v>2</v>
      </c>
      <c r="X1617" s="2">
        <v>226.88</v>
      </c>
      <c r="Y1617">
        <v>11013</v>
      </c>
      <c r="Z1617">
        <f t="shared" si="25"/>
        <v>453.76</v>
      </c>
    </row>
    <row r="1618" spans="1:26" x14ac:dyDescent="0.25">
      <c r="A1618">
        <v>18998</v>
      </c>
      <c r="B1618" t="s">
        <v>25</v>
      </c>
      <c r="C1618" s="2">
        <v>0.03</v>
      </c>
      <c r="D1618" s="2">
        <v>896.99</v>
      </c>
      <c r="E1618" s="2">
        <v>19.989999999999998</v>
      </c>
      <c r="F1618">
        <v>2868</v>
      </c>
      <c r="G1618" t="s">
        <v>2599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157</v>
      </c>
      <c r="N1618">
        <v>0.38</v>
      </c>
      <c r="O1618" t="s">
        <v>33</v>
      </c>
      <c r="P1618" t="s">
        <v>34</v>
      </c>
      <c r="Q1618" t="s">
        <v>35</v>
      </c>
      <c r="R1618" t="s">
        <v>2600</v>
      </c>
      <c r="S1618">
        <v>98026</v>
      </c>
      <c r="T1618" s="1">
        <v>42012</v>
      </c>
      <c r="U1618" s="1">
        <v>42014</v>
      </c>
      <c r="V1618" s="2">
        <v>3602.1311999999998</v>
      </c>
      <c r="W1618">
        <v>6</v>
      </c>
      <c r="X1618" s="2">
        <v>5220.4799999999996</v>
      </c>
      <c r="Y1618">
        <v>85826</v>
      </c>
      <c r="Z1618">
        <f t="shared" si="25"/>
        <v>31322.879999999997</v>
      </c>
    </row>
    <row r="1619" spans="1:26" x14ac:dyDescent="0.25">
      <c r="A1619">
        <v>19529</v>
      </c>
      <c r="B1619" t="s">
        <v>25</v>
      </c>
      <c r="C1619" s="2">
        <v>0.01</v>
      </c>
      <c r="D1619" s="2">
        <v>125.99</v>
      </c>
      <c r="E1619" s="2">
        <v>8.99</v>
      </c>
      <c r="F1619">
        <v>2868</v>
      </c>
      <c r="G1619" t="s">
        <v>2599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459</v>
      </c>
      <c r="N1619">
        <v>0.59</v>
      </c>
      <c r="O1619" t="s">
        <v>33</v>
      </c>
      <c r="P1619" t="s">
        <v>34</v>
      </c>
      <c r="Q1619" t="s">
        <v>35</v>
      </c>
      <c r="R1619" t="s">
        <v>2600</v>
      </c>
      <c r="S1619">
        <v>98026</v>
      </c>
      <c r="T1619" s="1">
        <v>42111</v>
      </c>
      <c r="U1619" s="1">
        <v>42112</v>
      </c>
      <c r="V1619" s="2">
        <v>-582.64800000000002</v>
      </c>
      <c r="W1619">
        <v>1</v>
      </c>
      <c r="X1619" s="2">
        <v>113.44</v>
      </c>
      <c r="Y1619">
        <v>85827</v>
      </c>
      <c r="Z1619">
        <f t="shared" si="25"/>
        <v>113.44</v>
      </c>
    </row>
    <row r="1620" spans="1:26" x14ac:dyDescent="0.25">
      <c r="A1620">
        <v>19293</v>
      </c>
      <c r="B1620" t="s">
        <v>37</v>
      </c>
      <c r="C1620" s="2">
        <v>0.08</v>
      </c>
      <c r="D1620" s="2">
        <v>15.99</v>
      </c>
      <c r="E1620" s="2">
        <v>13.18</v>
      </c>
      <c r="F1620">
        <v>2868</v>
      </c>
      <c r="G1620" t="s">
        <v>2599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631</v>
      </c>
      <c r="N1620">
        <v>0.37</v>
      </c>
      <c r="O1620" t="s">
        <v>33</v>
      </c>
      <c r="P1620" t="s">
        <v>34</v>
      </c>
      <c r="Q1620" t="s">
        <v>35</v>
      </c>
      <c r="R1620" t="s">
        <v>2600</v>
      </c>
      <c r="S1620">
        <v>98026</v>
      </c>
      <c r="T1620" s="1">
        <v>42149</v>
      </c>
      <c r="U1620" s="1">
        <v>42151</v>
      </c>
      <c r="V1620" s="2">
        <v>-66.584999999999994</v>
      </c>
      <c r="W1620">
        <v>4</v>
      </c>
      <c r="X1620" s="2">
        <v>66.02</v>
      </c>
      <c r="Y1620">
        <v>85828</v>
      </c>
      <c r="Z1620">
        <f t="shared" si="25"/>
        <v>264.08</v>
      </c>
    </row>
    <row r="1621" spans="1:26" x14ac:dyDescent="0.25">
      <c r="A1621">
        <v>25724</v>
      </c>
      <c r="B1621" t="s">
        <v>56</v>
      </c>
      <c r="C1621" s="2">
        <v>7.0000000000000007E-2</v>
      </c>
      <c r="D1621" s="2">
        <v>2.89</v>
      </c>
      <c r="E1621" s="2">
        <v>0.5</v>
      </c>
      <c r="F1621">
        <v>2873</v>
      </c>
      <c r="G1621" t="s">
        <v>2601</v>
      </c>
      <c r="H1621" t="s">
        <v>49</v>
      </c>
      <c r="I1621" t="s">
        <v>58</v>
      </c>
      <c r="J1621" t="s">
        <v>29</v>
      </c>
      <c r="K1621" t="s">
        <v>133</v>
      </c>
      <c r="L1621" t="s">
        <v>59</v>
      </c>
      <c r="M1621" t="s">
        <v>780</v>
      </c>
      <c r="N1621">
        <v>0.38</v>
      </c>
      <c r="O1621" t="s">
        <v>33</v>
      </c>
      <c r="P1621" t="s">
        <v>135</v>
      </c>
      <c r="Q1621" t="s">
        <v>356</v>
      </c>
      <c r="R1621" t="s">
        <v>2602</v>
      </c>
      <c r="S1621">
        <v>33012</v>
      </c>
      <c r="T1621" s="1">
        <v>42026</v>
      </c>
      <c r="U1621" s="1">
        <v>42028</v>
      </c>
      <c r="V1621" s="2">
        <v>441.59399999999999</v>
      </c>
      <c r="W1621">
        <v>12</v>
      </c>
      <c r="X1621" s="2">
        <v>33.020000000000003</v>
      </c>
      <c r="Y1621">
        <v>89872</v>
      </c>
      <c r="Z1621">
        <f t="shared" si="25"/>
        <v>396.24</v>
      </c>
    </row>
    <row r="1622" spans="1:26" x14ac:dyDescent="0.25">
      <c r="A1622">
        <v>25725</v>
      </c>
      <c r="B1622" t="s">
        <v>56</v>
      </c>
      <c r="C1622" s="2">
        <v>0</v>
      </c>
      <c r="D1622" s="2">
        <v>217.85</v>
      </c>
      <c r="E1622" s="2">
        <v>29.1</v>
      </c>
      <c r="F1622">
        <v>2873</v>
      </c>
      <c r="G1622" t="s">
        <v>2601</v>
      </c>
      <c r="H1622" t="s">
        <v>39</v>
      </c>
      <c r="I1622" t="s">
        <v>58</v>
      </c>
      <c r="J1622" t="s">
        <v>41</v>
      </c>
      <c r="K1622" t="s">
        <v>150</v>
      </c>
      <c r="L1622" t="s">
        <v>120</v>
      </c>
      <c r="M1622" t="s">
        <v>2603</v>
      </c>
      <c r="N1622">
        <v>0.68</v>
      </c>
      <c r="O1622" t="s">
        <v>33</v>
      </c>
      <c r="P1622" t="s">
        <v>135</v>
      </c>
      <c r="Q1622" t="s">
        <v>356</v>
      </c>
      <c r="R1622" t="s">
        <v>2602</v>
      </c>
      <c r="S1622">
        <v>33012</v>
      </c>
      <c r="T1622" s="1">
        <v>42026</v>
      </c>
      <c r="U1622" s="1">
        <v>42027</v>
      </c>
      <c r="V1622" s="2">
        <v>394.17</v>
      </c>
      <c r="W1622">
        <v>10</v>
      </c>
      <c r="X1622" s="2">
        <v>2273.1</v>
      </c>
      <c r="Y1622">
        <v>89872</v>
      </c>
      <c r="Z1622">
        <f t="shared" si="25"/>
        <v>22731</v>
      </c>
    </row>
    <row r="1623" spans="1:26" x14ac:dyDescent="0.25">
      <c r="A1623">
        <v>21768</v>
      </c>
      <c r="B1623" t="s">
        <v>106</v>
      </c>
      <c r="C1623" s="2">
        <v>0.05</v>
      </c>
      <c r="D1623" s="2">
        <v>4.84</v>
      </c>
      <c r="E1623" s="2">
        <v>0.71</v>
      </c>
      <c r="F1623">
        <v>2874</v>
      </c>
      <c r="G1623" t="s">
        <v>2604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1463</v>
      </c>
      <c r="N1623">
        <v>0.52</v>
      </c>
      <c r="O1623" t="s">
        <v>33</v>
      </c>
      <c r="P1623" t="s">
        <v>61</v>
      </c>
      <c r="Q1623" t="s">
        <v>489</v>
      </c>
      <c r="R1623" t="s">
        <v>2594</v>
      </c>
      <c r="S1623">
        <v>68128</v>
      </c>
      <c r="T1623" s="1">
        <v>42100</v>
      </c>
      <c r="U1623" s="1">
        <v>42109</v>
      </c>
      <c r="V1623" s="2">
        <v>13.4481</v>
      </c>
      <c r="W1623">
        <v>4</v>
      </c>
      <c r="X1623" s="2">
        <v>19.489999999999998</v>
      </c>
      <c r="Y1623">
        <v>89873</v>
      </c>
      <c r="Z1623">
        <f t="shared" si="25"/>
        <v>77.959999999999994</v>
      </c>
    </row>
    <row r="1624" spans="1:26" x14ac:dyDescent="0.25">
      <c r="A1624">
        <v>19246</v>
      </c>
      <c r="B1624" t="s">
        <v>47</v>
      </c>
      <c r="C1624" s="2">
        <v>0.03</v>
      </c>
      <c r="D1624" s="2">
        <v>304.99</v>
      </c>
      <c r="E1624" s="2">
        <v>19.989999999999998</v>
      </c>
      <c r="F1624">
        <v>2874</v>
      </c>
      <c r="G1624" t="s">
        <v>2604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2605</v>
      </c>
      <c r="N1624">
        <v>0.4</v>
      </c>
      <c r="O1624" t="s">
        <v>33</v>
      </c>
      <c r="P1624" t="s">
        <v>61</v>
      </c>
      <c r="Q1624" t="s">
        <v>489</v>
      </c>
      <c r="R1624" t="s">
        <v>2594</v>
      </c>
      <c r="S1624">
        <v>68128</v>
      </c>
      <c r="T1624" s="1">
        <v>42177</v>
      </c>
      <c r="U1624" s="1">
        <v>42179</v>
      </c>
      <c r="V1624" s="2">
        <v>4033.6089000000002</v>
      </c>
      <c r="W1624">
        <v>19</v>
      </c>
      <c r="X1624" s="2">
        <v>5845.81</v>
      </c>
      <c r="Y1624">
        <v>89874</v>
      </c>
      <c r="Z1624">
        <f t="shared" si="25"/>
        <v>111070.39000000001</v>
      </c>
    </row>
    <row r="1625" spans="1:26" x14ac:dyDescent="0.25">
      <c r="A1625">
        <v>19247</v>
      </c>
      <c r="B1625" t="s">
        <v>47</v>
      </c>
      <c r="C1625" s="2">
        <v>0.09</v>
      </c>
      <c r="D1625" s="2">
        <v>65.989999999999995</v>
      </c>
      <c r="E1625" s="2">
        <v>8.99</v>
      </c>
      <c r="F1625">
        <v>2874</v>
      </c>
      <c r="G1625" t="s">
        <v>2604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2606</v>
      </c>
      <c r="N1625">
        <v>0.57999999999999996</v>
      </c>
      <c r="O1625" t="s">
        <v>33</v>
      </c>
      <c r="P1625" t="s">
        <v>61</v>
      </c>
      <c r="Q1625" t="s">
        <v>489</v>
      </c>
      <c r="R1625" t="s">
        <v>2594</v>
      </c>
      <c r="S1625">
        <v>68128</v>
      </c>
      <c r="T1625" s="1">
        <v>42177</v>
      </c>
      <c r="U1625" s="1">
        <v>42179</v>
      </c>
      <c r="V1625" s="2">
        <v>141.7824</v>
      </c>
      <c r="W1625">
        <v>12</v>
      </c>
      <c r="X1625" s="2">
        <v>633.85</v>
      </c>
      <c r="Y1625">
        <v>89874</v>
      </c>
      <c r="Z1625">
        <f t="shared" si="25"/>
        <v>7606.2000000000007</v>
      </c>
    </row>
    <row r="1626" spans="1:26" x14ac:dyDescent="0.25">
      <c r="A1626">
        <v>25599</v>
      </c>
      <c r="B1626" t="s">
        <v>37</v>
      </c>
      <c r="C1626" s="2">
        <v>0</v>
      </c>
      <c r="D1626" s="2">
        <v>8.33</v>
      </c>
      <c r="E1626" s="2">
        <v>1.99</v>
      </c>
      <c r="F1626">
        <v>2877</v>
      </c>
      <c r="G1626" t="s">
        <v>2607</v>
      </c>
      <c r="H1626" t="s">
        <v>27</v>
      </c>
      <c r="I1626" t="s">
        <v>114</v>
      </c>
      <c r="J1626" t="s">
        <v>77</v>
      </c>
      <c r="K1626" t="s">
        <v>177</v>
      </c>
      <c r="L1626" t="s">
        <v>51</v>
      </c>
      <c r="M1626" t="s">
        <v>408</v>
      </c>
      <c r="N1626">
        <v>0.52</v>
      </c>
      <c r="O1626" t="s">
        <v>33</v>
      </c>
      <c r="P1626" t="s">
        <v>53</v>
      </c>
      <c r="Q1626" t="s">
        <v>152</v>
      </c>
      <c r="R1626" t="s">
        <v>2608</v>
      </c>
      <c r="S1626">
        <v>44070</v>
      </c>
      <c r="T1626" s="1">
        <v>42065</v>
      </c>
      <c r="U1626" s="1">
        <v>42067</v>
      </c>
      <c r="V1626" s="2">
        <v>74.181899999999999</v>
      </c>
      <c r="W1626">
        <v>12</v>
      </c>
      <c r="X1626" s="2">
        <v>107.51</v>
      </c>
      <c r="Y1626">
        <v>91492</v>
      </c>
      <c r="Z1626">
        <f t="shared" si="25"/>
        <v>1290.1200000000001</v>
      </c>
    </row>
    <row r="1627" spans="1:26" x14ac:dyDescent="0.25">
      <c r="A1627">
        <v>7599</v>
      </c>
      <c r="B1627" t="s">
        <v>37</v>
      </c>
      <c r="C1627" s="2">
        <v>0</v>
      </c>
      <c r="D1627" s="2">
        <v>8.33</v>
      </c>
      <c r="E1627" s="2">
        <v>1.99</v>
      </c>
      <c r="F1627">
        <v>2878</v>
      </c>
      <c r="G1627" t="s">
        <v>2609</v>
      </c>
      <c r="H1627" t="s">
        <v>27</v>
      </c>
      <c r="I1627" t="s">
        <v>114</v>
      </c>
      <c r="J1627" t="s">
        <v>77</v>
      </c>
      <c r="K1627" t="s">
        <v>177</v>
      </c>
      <c r="L1627" t="s">
        <v>51</v>
      </c>
      <c r="M1627" t="s">
        <v>408</v>
      </c>
      <c r="N1627">
        <v>0.52</v>
      </c>
      <c r="O1627" t="s">
        <v>33</v>
      </c>
      <c r="P1627" t="s">
        <v>34</v>
      </c>
      <c r="Q1627" t="s">
        <v>35</v>
      </c>
      <c r="R1627" t="s">
        <v>205</v>
      </c>
      <c r="S1627">
        <v>98107</v>
      </c>
      <c r="T1627" s="1">
        <v>42065</v>
      </c>
      <c r="U1627" s="1">
        <v>42067</v>
      </c>
      <c r="V1627" s="2">
        <v>82.31</v>
      </c>
      <c r="W1627">
        <v>47</v>
      </c>
      <c r="X1627" s="2">
        <v>421.08</v>
      </c>
      <c r="Y1627">
        <v>54369</v>
      </c>
      <c r="Z1627">
        <f t="shared" si="25"/>
        <v>19790.759999999998</v>
      </c>
    </row>
    <row r="1628" spans="1:26" x14ac:dyDescent="0.25">
      <c r="A1628">
        <v>18642</v>
      </c>
      <c r="B1628" t="s">
        <v>56</v>
      </c>
      <c r="C1628" s="2">
        <v>0.05</v>
      </c>
      <c r="D1628" s="2">
        <v>6.68</v>
      </c>
      <c r="E1628" s="2">
        <v>6.93</v>
      </c>
      <c r="F1628">
        <v>2880</v>
      </c>
      <c r="G1628" t="s">
        <v>2610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2117</v>
      </c>
      <c r="N1628">
        <v>0.37</v>
      </c>
      <c r="O1628" t="s">
        <v>33</v>
      </c>
      <c r="P1628" t="s">
        <v>135</v>
      </c>
      <c r="Q1628" t="s">
        <v>356</v>
      </c>
      <c r="R1628" t="s">
        <v>2611</v>
      </c>
      <c r="S1628">
        <v>33160</v>
      </c>
      <c r="T1628" s="1">
        <v>42091</v>
      </c>
      <c r="U1628" s="1">
        <v>42092</v>
      </c>
      <c r="V1628" s="2">
        <v>-2.3519999999999999</v>
      </c>
      <c r="W1628">
        <v>11</v>
      </c>
      <c r="X1628" s="2">
        <v>77.2</v>
      </c>
      <c r="Y1628">
        <v>88626</v>
      </c>
      <c r="Z1628">
        <f t="shared" si="25"/>
        <v>849.2</v>
      </c>
    </row>
    <row r="1629" spans="1:26" x14ac:dyDescent="0.25">
      <c r="A1629">
        <v>20315</v>
      </c>
      <c r="B1629" t="s">
        <v>106</v>
      </c>
      <c r="C1629" s="2">
        <v>0.09</v>
      </c>
      <c r="D1629" s="2">
        <v>243.98</v>
      </c>
      <c r="E1629" s="2">
        <v>43.32</v>
      </c>
      <c r="F1629">
        <v>2880</v>
      </c>
      <c r="G1629" t="s">
        <v>2610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2043</v>
      </c>
      <c r="N1629">
        <v>0.55000000000000004</v>
      </c>
      <c r="O1629" t="s">
        <v>33</v>
      </c>
      <c r="P1629" t="s">
        <v>135</v>
      </c>
      <c r="Q1629" t="s">
        <v>356</v>
      </c>
      <c r="R1629" t="s">
        <v>2611</v>
      </c>
      <c r="S1629">
        <v>33160</v>
      </c>
      <c r="T1629" s="1">
        <v>42132</v>
      </c>
      <c r="U1629" s="1">
        <v>42137</v>
      </c>
      <c r="V1629" s="2">
        <v>1059.288</v>
      </c>
      <c r="W1629">
        <v>25</v>
      </c>
      <c r="X1629" s="2">
        <v>5587.89</v>
      </c>
      <c r="Y1629">
        <v>88627</v>
      </c>
      <c r="Z1629">
        <f t="shared" si="25"/>
        <v>139697.25</v>
      </c>
    </row>
    <row r="1630" spans="1:26" x14ac:dyDescent="0.25">
      <c r="A1630">
        <v>7718</v>
      </c>
      <c r="B1630" t="s">
        <v>25</v>
      </c>
      <c r="C1630" s="2">
        <v>0.03</v>
      </c>
      <c r="D1630" s="2">
        <v>4.0599999999999996</v>
      </c>
      <c r="E1630" s="2">
        <v>6.89</v>
      </c>
      <c r="F1630">
        <v>2882</v>
      </c>
      <c r="G1630" t="s">
        <v>2612</v>
      </c>
      <c r="H1630" t="s">
        <v>49</v>
      </c>
      <c r="I1630" t="s">
        <v>114</v>
      </c>
      <c r="J1630" t="s">
        <v>29</v>
      </c>
      <c r="K1630" t="s">
        <v>252</v>
      </c>
      <c r="L1630" t="s">
        <v>59</v>
      </c>
      <c r="M1630" t="s">
        <v>901</v>
      </c>
      <c r="N1630">
        <v>0.6</v>
      </c>
      <c r="O1630" t="s">
        <v>33</v>
      </c>
      <c r="P1630" t="s">
        <v>135</v>
      </c>
      <c r="Q1630" t="s">
        <v>316</v>
      </c>
      <c r="R1630" t="s">
        <v>384</v>
      </c>
      <c r="S1630">
        <v>28206</v>
      </c>
      <c r="T1630" s="1">
        <v>42055</v>
      </c>
      <c r="U1630" s="1">
        <v>42057</v>
      </c>
      <c r="V1630" s="2">
        <v>-246.27610000000001</v>
      </c>
      <c r="W1630">
        <v>37</v>
      </c>
      <c r="X1630" s="2">
        <v>159.88999999999999</v>
      </c>
      <c r="Y1630">
        <v>55300</v>
      </c>
      <c r="Z1630">
        <f t="shared" si="25"/>
        <v>5915.9299999999994</v>
      </c>
    </row>
    <row r="1631" spans="1:26" x14ac:dyDescent="0.25">
      <c r="A1631">
        <v>7719</v>
      </c>
      <c r="B1631" t="s">
        <v>25</v>
      </c>
      <c r="C1631" s="2">
        <v>0.01</v>
      </c>
      <c r="D1631" s="2">
        <v>3.75</v>
      </c>
      <c r="E1631" s="2">
        <v>0.5</v>
      </c>
      <c r="F1631">
        <v>2882</v>
      </c>
      <c r="G1631" t="s">
        <v>2612</v>
      </c>
      <c r="H1631" t="s">
        <v>49</v>
      </c>
      <c r="I1631" t="s">
        <v>114</v>
      </c>
      <c r="J1631" t="s">
        <v>29</v>
      </c>
      <c r="K1631" t="s">
        <v>133</v>
      </c>
      <c r="L1631" t="s">
        <v>59</v>
      </c>
      <c r="M1631" t="s">
        <v>2613</v>
      </c>
      <c r="N1631">
        <v>0.37</v>
      </c>
      <c r="O1631" t="s">
        <v>33</v>
      </c>
      <c r="P1631" t="s">
        <v>135</v>
      </c>
      <c r="Q1631" t="s">
        <v>316</v>
      </c>
      <c r="R1631" t="s">
        <v>384</v>
      </c>
      <c r="S1631">
        <v>28206</v>
      </c>
      <c r="T1631" s="1">
        <v>42055</v>
      </c>
      <c r="U1631" s="1">
        <v>42056</v>
      </c>
      <c r="V1631" s="2">
        <v>55.194600000000001</v>
      </c>
      <c r="W1631">
        <v>48</v>
      </c>
      <c r="X1631" s="2">
        <v>180.48</v>
      </c>
      <c r="Y1631">
        <v>55300</v>
      </c>
      <c r="Z1631">
        <f t="shared" si="25"/>
        <v>8663.0399999999991</v>
      </c>
    </row>
    <row r="1632" spans="1:26" x14ac:dyDescent="0.25">
      <c r="A1632">
        <v>7720</v>
      </c>
      <c r="B1632" t="s">
        <v>25</v>
      </c>
      <c r="C1632" s="2">
        <v>0.02</v>
      </c>
      <c r="D1632" s="2">
        <v>10.68</v>
      </c>
      <c r="E1632" s="2">
        <v>13.04</v>
      </c>
      <c r="F1632">
        <v>2882</v>
      </c>
      <c r="G1632" t="s">
        <v>2612</v>
      </c>
      <c r="H1632" t="s">
        <v>49</v>
      </c>
      <c r="I1632" t="s">
        <v>114</v>
      </c>
      <c r="J1632" t="s">
        <v>41</v>
      </c>
      <c r="K1632" t="s">
        <v>50</v>
      </c>
      <c r="L1632" t="s">
        <v>231</v>
      </c>
      <c r="M1632" t="s">
        <v>2614</v>
      </c>
      <c r="N1632">
        <v>0.6</v>
      </c>
      <c r="O1632" t="s">
        <v>33</v>
      </c>
      <c r="P1632" t="s">
        <v>135</v>
      </c>
      <c r="Q1632" t="s">
        <v>316</v>
      </c>
      <c r="R1632" t="s">
        <v>384</v>
      </c>
      <c r="S1632">
        <v>28206</v>
      </c>
      <c r="T1632" s="1">
        <v>42055</v>
      </c>
      <c r="U1632" s="1">
        <v>42057</v>
      </c>
      <c r="V1632" s="2">
        <v>-307.29649999999998</v>
      </c>
      <c r="W1632">
        <v>31</v>
      </c>
      <c r="X1632" s="2">
        <v>350.48</v>
      </c>
      <c r="Y1632">
        <v>55300</v>
      </c>
      <c r="Z1632">
        <f t="shared" si="25"/>
        <v>10864.880000000001</v>
      </c>
    </row>
    <row r="1633" spans="1:26" x14ac:dyDescent="0.25">
      <c r="A1633">
        <v>2314</v>
      </c>
      <c r="B1633" t="s">
        <v>25</v>
      </c>
      <c r="C1633" s="2">
        <v>7.0000000000000007E-2</v>
      </c>
      <c r="D1633" s="2">
        <v>28.99</v>
      </c>
      <c r="E1633" s="2">
        <v>8.59</v>
      </c>
      <c r="F1633">
        <v>2882</v>
      </c>
      <c r="G1633" t="s">
        <v>2612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2029</v>
      </c>
      <c r="N1633">
        <v>0.56000000000000005</v>
      </c>
      <c r="O1633" t="s">
        <v>33</v>
      </c>
      <c r="P1633" t="s">
        <v>135</v>
      </c>
      <c r="Q1633" t="s">
        <v>316</v>
      </c>
      <c r="R1633" t="s">
        <v>384</v>
      </c>
      <c r="S1633">
        <v>28206</v>
      </c>
      <c r="T1633" s="1">
        <v>42082</v>
      </c>
      <c r="U1633" s="1">
        <v>42082</v>
      </c>
      <c r="V1633" s="2">
        <v>-16.063739999999999</v>
      </c>
      <c r="W1633">
        <v>39</v>
      </c>
      <c r="X1633" s="2">
        <v>936.8</v>
      </c>
      <c r="Y1633">
        <v>16676</v>
      </c>
      <c r="Z1633">
        <f t="shared" si="25"/>
        <v>36535.199999999997</v>
      </c>
    </row>
    <row r="1634" spans="1:26" x14ac:dyDescent="0.25">
      <c r="A1634">
        <v>694</v>
      </c>
      <c r="B1634" t="s">
        <v>47</v>
      </c>
      <c r="C1634" s="2">
        <v>0.05</v>
      </c>
      <c r="D1634" s="2">
        <v>6.48</v>
      </c>
      <c r="E1634" s="2">
        <v>8.73</v>
      </c>
      <c r="F1634">
        <v>2882</v>
      </c>
      <c r="G1634" t="s">
        <v>2612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2293</v>
      </c>
      <c r="N1634">
        <v>0.37</v>
      </c>
      <c r="O1634" t="s">
        <v>33</v>
      </c>
      <c r="P1634" t="s">
        <v>135</v>
      </c>
      <c r="Q1634" t="s">
        <v>316</v>
      </c>
      <c r="R1634" t="s">
        <v>384</v>
      </c>
      <c r="S1634">
        <v>28206</v>
      </c>
      <c r="T1634" s="1">
        <v>42133</v>
      </c>
      <c r="U1634" s="1">
        <v>42133</v>
      </c>
      <c r="V1634" s="2">
        <v>-160.38470000000001</v>
      </c>
      <c r="W1634">
        <v>35</v>
      </c>
      <c r="X1634" s="2">
        <v>232.5</v>
      </c>
      <c r="Y1634">
        <v>4839</v>
      </c>
      <c r="Z1634">
        <f t="shared" si="25"/>
        <v>8137.5</v>
      </c>
    </row>
    <row r="1635" spans="1:26" x14ac:dyDescent="0.25">
      <c r="A1635">
        <v>3065</v>
      </c>
      <c r="B1635" t="s">
        <v>25</v>
      </c>
      <c r="C1635" s="2">
        <v>0.09</v>
      </c>
      <c r="D1635" s="2">
        <v>363.25</v>
      </c>
      <c r="E1635" s="2">
        <v>19.989999999999998</v>
      </c>
      <c r="F1635">
        <v>2882</v>
      </c>
      <c r="G1635" t="s">
        <v>2612</v>
      </c>
      <c r="H1635" t="s">
        <v>49</v>
      </c>
      <c r="I1635" t="s">
        <v>114</v>
      </c>
      <c r="J1635" t="s">
        <v>29</v>
      </c>
      <c r="K1635" t="s">
        <v>252</v>
      </c>
      <c r="L1635" t="s">
        <v>59</v>
      </c>
      <c r="M1635" t="s">
        <v>1242</v>
      </c>
      <c r="N1635">
        <v>0.56999999999999995</v>
      </c>
      <c r="O1635" t="s">
        <v>33</v>
      </c>
      <c r="P1635" t="s">
        <v>135</v>
      </c>
      <c r="Q1635" t="s">
        <v>316</v>
      </c>
      <c r="R1635" t="s">
        <v>384</v>
      </c>
      <c r="S1635">
        <v>28206</v>
      </c>
      <c r="T1635" s="1">
        <v>42160</v>
      </c>
      <c r="U1635" s="1">
        <v>42161</v>
      </c>
      <c r="V1635" s="2">
        <v>732.26980000000003</v>
      </c>
      <c r="W1635">
        <v>21</v>
      </c>
      <c r="X1635" s="2">
        <v>7497.05</v>
      </c>
      <c r="Y1635">
        <v>21958</v>
      </c>
      <c r="Z1635">
        <f t="shared" si="25"/>
        <v>157438.05000000002</v>
      </c>
    </row>
    <row r="1636" spans="1:26" x14ac:dyDescent="0.25">
      <c r="A1636">
        <v>5689</v>
      </c>
      <c r="B1636" t="s">
        <v>106</v>
      </c>
      <c r="C1636" s="2">
        <v>0.05</v>
      </c>
      <c r="D1636" s="2">
        <v>63.94</v>
      </c>
      <c r="E1636" s="2">
        <v>14.48</v>
      </c>
      <c r="F1636">
        <v>2882</v>
      </c>
      <c r="G1636" t="s">
        <v>2612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512</v>
      </c>
      <c r="N1636">
        <v>0.46</v>
      </c>
      <c r="O1636" t="s">
        <v>33</v>
      </c>
      <c r="P1636" t="s">
        <v>135</v>
      </c>
      <c r="Q1636" t="s">
        <v>316</v>
      </c>
      <c r="R1636" t="s">
        <v>384</v>
      </c>
      <c r="S1636">
        <v>28206</v>
      </c>
      <c r="T1636" s="1">
        <v>42185</v>
      </c>
      <c r="U1636" s="1">
        <v>42192</v>
      </c>
      <c r="V1636" s="2">
        <v>270.87430000000001</v>
      </c>
      <c r="W1636">
        <v>21</v>
      </c>
      <c r="X1636" s="2">
        <v>1336.35</v>
      </c>
      <c r="Y1636">
        <v>40224</v>
      </c>
      <c r="Z1636">
        <f t="shared" si="25"/>
        <v>28063.35</v>
      </c>
    </row>
    <row r="1637" spans="1:26" x14ac:dyDescent="0.25">
      <c r="A1637">
        <v>7137</v>
      </c>
      <c r="B1637" t="s">
        <v>106</v>
      </c>
      <c r="C1637" s="2">
        <v>0.02</v>
      </c>
      <c r="D1637" s="2">
        <v>43.98</v>
      </c>
      <c r="E1637" s="2">
        <v>1.99</v>
      </c>
      <c r="F1637">
        <v>2882</v>
      </c>
      <c r="G1637" t="s">
        <v>2612</v>
      </c>
      <c r="H1637" t="s">
        <v>49</v>
      </c>
      <c r="I1637" t="s">
        <v>114</v>
      </c>
      <c r="J1637" t="s">
        <v>77</v>
      </c>
      <c r="K1637" t="s">
        <v>177</v>
      </c>
      <c r="L1637" t="s">
        <v>51</v>
      </c>
      <c r="M1637" t="s">
        <v>2615</v>
      </c>
      <c r="N1637">
        <v>0.44</v>
      </c>
      <c r="O1637" t="s">
        <v>33</v>
      </c>
      <c r="P1637" t="s">
        <v>135</v>
      </c>
      <c r="Q1637" t="s">
        <v>316</v>
      </c>
      <c r="R1637" t="s">
        <v>384</v>
      </c>
      <c r="S1637">
        <v>28206</v>
      </c>
      <c r="T1637" s="1">
        <v>42025</v>
      </c>
      <c r="U1637" s="1">
        <v>42029</v>
      </c>
      <c r="V1637" s="2">
        <v>333.76049999999998</v>
      </c>
      <c r="W1637">
        <v>40</v>
      </c>
      <c r="X1637" s="2">
        <v>1724.01</v>
      </c>
      <c r="Y1637">
        <v>50917</v>
      </c>
      <c r="Z1637">
        <f t="shared" si="25"/>
        <v>68960.399999999994</v>
      </c>
    </row>
    <row r="1638" spans="1:26" x14ac:dyDescent="0.25">
      <c r="A1638">
        <v>18694</v>
      </c>
      <c r="B1638" t="s">
        <v>47</v>
      </c>
      <c r="C1638" s="2">
        <v>0.05</v>
      </c>
      <c r="D1638" s="2">
        <v>6.48</v>
      </c>
      <c r="E1638" s="2">
        <v>8.73</v>
      </c>
      <c r="F1638">
        <v>2883</v>
      </c>
      <c r="G1638" t="s">
        <v>2616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2293</v>
      </c>
      <c r="N1638">
        <v>0.37</v>
      </c>
      <c r="O1638" t="s">
        <v>33</v>
      </c>
      <c r="P1638" t="s">
        <v>53</v>
      </c>
      <c r="Q1638" t="s">
        <v>152</v>
      </c>
      <c r="R1638" t="s">
        <v>2608</v>
      </c>
      <c r="S1638">
        <v>44070</v>
      </c>
      <c r="T1638" s="1">
        <v>42133</v>
      </c>
      <c r="U1638" s="1">
        <v>42133</v>
      </c>
      <c r="V1638" s="2">
        <v>-120.59</v>
      </c>
      <c r="W1638">
        <v>9</v>
      </c>
      <c r="X1638" s="2">
        <v>59.79</v>
      </c>
      <c r="Y1638">
        <v>87632</v>
      </c>
      <c r="Z1638">
        <f t="shared" si="25"/>
        <v>538.11</v>
      </c>
    </row>
    <row r="1639" spans="1:26" x14ac:dyDescent="0.25">
      <c r="A1639">
        <v>20314</v>
      </c>
      <c r="B1639" t="s">
        <v>25</v>
      </c>
      <c r="C1639" s="2">
        <v>7.0000000000000007E-2</v>
      </c>
      <c r="D1639" s="2">
        <v>28.99</v>
      </c>
      <c r="E1639" s="2">
        <v>8.59</v>
      </c>
      <c r="F1639">
        <v>2884</v>
      </c>
      <c r="G1639" t="s">
        <v>2617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2029</v>
      </c>
      <c r="N1639">
        <v>0.56000000000000005</v>
      </c>
      <c r="O1639" t="s">
        <v>33</v>
      </c>
      <c r="P1639" t="s">
        <v>53</v>
      </c>
      <c r="Q1639" t="s">
        <v>152</v>
      </c>
      <c r="R1639" t="s">
        <v>2618</v>
      </c>
      <c r="S1639">
        <v>44039</v>
      </c>
      <c r="T1639" s="1">
        <v>42082</v>
      </c>
      <c r="U1639" s="1">
        <v>42082</v>
      </c>
      <c r="V1639" s="2">
        <v>-12.077999999999999</v>
      </c>
      <c r="W1639">
        <v>10</v>
      </c>
      <c r="X1639" s="2">
        <v>240.21</v>
      </c>
      <c r="Y1639">
        <v>87631</v>
      </c>
      <c r="Z1639">
        <f t="shared" si="25"/>
        <v>2402.1</v>
      </c>
    </row>
    <row r="1640" spans="1:26" x14ac:dyDescent="0.25">
      <c r="A1640">
        <v>21065</v>
      </c>
      <c r="B1640" t="s">
        <v>25</v>
      </c>
      <c r="C1640" s="2">
        <v>0.09</v>
      </c>
      <c r="D1640" s="2">
        <v>363.25</v>
      </c>
      <c r="E1640" s="2">
        <v>19.989999999999998</v>
      </c>
      <c r="F1640">
        <v>2884</v>
      </c>
      <c r="G1640" t="s">
        <v>2617</v>
      </c>
      <c r="H1640" t="s">
        <v>49</v>
      </c>
      <c r="I1640" t="s">
        <v>114</v>
      </c>
      <c r="J1640" t="s">
        <v>29</v>
      </c>
      <c r="K1640" t="s">
        <v>252</v>
      </c>
      <c r="L1640" t="s">
        <v>59</v>
      </c>
      <c r="M1640" t="s">
        <v>1242</v>
      </c>
      <c r="N1640">
        <v>0.56999999999999995</v>
      </c>
      <c r="O1640" t="s">
        <v>33</v>
      </c>
      <c r="P1640" t="s">
        <v>53</v>
      </c>
      <c r="Q1640" t="s">
        <v>152</v>
      </c>
      <c r="R1640" t="s">
        <v>2618</v>
      </c>
      <c r="S1640">
        <v>44039</v>
      </c>
      <c r="T1640" s="1">
        <v>42160</v>
      </c>
      <c r="U1640" s="1">
        <v>42161</v>
      </c>
      <c r="V1640" s="2">
        <v>1231.6569</v>
      </c>
      <c r="W1640">
        <v>5</v>
      </c>
      <c r="X1640" s="2">
        <v>1785.01</v>
      </c>
      <c r="Y1640">
        <v>87633</v>
      </c>
      <c r="Z1640">
        <f t="shared" si="25"/>
        <v>8925.0499999999993</v>
      </c>
    </row>
    <row r="1641" spans="1:26" x14ac:dyDescent="0.25">
      <c r="A1641">
        <v>23689</v>
      </c>
      <c r="B1641" t="s">
        <v>106</v>
      </c>
      <c r="C1641" s="2">
        <v>0.05</v>
      </c>
      <c r="D1641" s="2">
        <v>63.94</v>
      </c>
      <c r="E1641" s="2">
        <v>14.48</v>
      </c>
      <c r="F1641">
        <v>2885</v>
      </c>
      <c r="G1641" t="s">
        <v>2619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512</v>
      </c>
      <c r="N1641">
        <v>0.46</v>
      </c>
      <c r="O1641" t="s">
        <v>33</v>
      </c>
      <c r="P1641" t="s">
        <v>53</v>
      </c>
      <c r="Q1641" t="s">
        <v>152</v>
      </c>
      <c r="R1641" t="s">
        <v>2620</v>
      </c>
      <c r="S1641">
        <v>44133</v>
      </c>
      <c r="T1641" s="1">
        <v>42185</v>
      </c>
      <c r="U1641" s="1">
        <v>42192</v>
      </c>
      <c r="V1641" s="2">
        <v>219.54419999999999</v>
      </c>
      <c r="W1641">
        <v>5</v>
      </c>
      <c r="X1641" s="2">
        <v>318.18</v>
      </c>
      <c r="Y1641">
        <v>87634</v>
      </c>
      <c r="Z1641">
        <f t="shared" si="25"/>
        <v>1590.9</v>
      </c>
    </row>
    <row r="1642" spans="1:26" x14ac:dyDescent="0.25">
      <c r="A1642">
        <v>25718</v>
      </c>
      <c r="B1642" t="s">
        <v>25</v>
      </c>
      <c r="C1642" s="2">
        <v>0.03</v>
      </c>
      <c r="D1642" s="2">
        <v>4.0599999999999996</v>
      </c>
      <c r="E1642" s="2">
        <v>6.89</v>
      </c>
      <c r="F1642">
        <v>2886</v>
      </c>
      <c r="G1642" t="s">
        <v>2621</v>
      </c>
      <c r="H1642" t="s">
        <v>49</v>
      </c>
      <c r="I1642" t="s">
        <v>114</v>
      </c>
      <c r="J1642" t="s">
        <v>29</v>
      </c>
      <c r="K1642" t="s">
        <v>252</v>
      </c>
      <c r="L1642" t="s">
        <v>59</v>
      </c>
      <c r="M1642" t="s">
        <v>901</v>
      </c>
      <c r="N1642">
        <v>0.6</v>
      </c>
      <c r="O1642" t="s">
        <v>33</v>
      </c>
      <c r="P1642" t="s">
        <v>53</v>
      </c>
      <c r="Q1642" t="s">
        <v>152</v>
      </c>
      <c r="R1642" t="s">
        <v>2622</v>
      </c>
      <c r="S1642">
        <v>44134</v>
      </c>
      <c r="T1642" s="1">
        <v>42055</v>
      </c>
      <c r="U1642" s="1">
        <v>42057</v>
      </c>
      <c r="V1642" s="2">
        <v>-185.17</v>
      </c>
      <c r="W1642">
        <v>9</v>
      </c>
      <c r="X1642" s="2">
        <v>38.89</v>
      </c>
      <c r="Y1642">
        <v>87630</v>
      </c>
      <c r="Z1642">
        <f t="shared" si="25"/>
        <v>350.01</v>
      </c>
    </row>
    <row r="1643" spans="1:26" x14ac:dyDescent="0.25">
      <c r="A1643">
        <v>25719</v>
      </c>
      <c r="B1643" t="s">
        <v>25</v>
      </c>
      <c r="C1643" s="2">
        <v>0.01</v>
      </c>
      <c r="D1643" s="2">
        <v>3.75</v>
      </c>
      <c r="E1643" s="2">
        <v>0.5</v>
      </c>
      <c r="F1643">
        <v>2886</v>
      </c>
      <c r="G1643" t="s">
        <v>2621</v>
      </c>
      <c r="H1643" t="s">
        <v>49</v>
      </c>
      <c r="I1643" t="s">
        <v>114</v>
      </c>
      <c r="J1643" t="s">
        <v>29</v>
      </c>
      <c r="K1643" t="s">
        <v>133</v>
      </c>
      <c r="L1643" t="s">
        <v>59</v>
      </c>
      <c r="M1643" t="s">
        <v>2613</v>
      </c>
      <c r="N1643">
        <v>0.37</v>
      </c>
      <c r="O1643" t="s">
        <v>33</v>
      </c>
      <c r="P1643" t="s">
        <v>53</v>
      </c>
      <c r="Q1643" t="s">
        <v>152</v>
      </c>
      <c r="R1643" t="s">
        <v>2622</v>
      </c>
      <c r="S1643">
        <v>44134</v>
      </c>
      <c r="T1643" s="1">
        <v>42055</v>
      </c>
      <c r="U1643" s="1">
        <v>42056</v>
      </c>
      <c r="V1643" s="2">
        <v>31.1328</v>
      </c>
      <c r="W1643">
        <v>12</v>
      </c>
      <c r="X1643" s="2">
        <v>45.12</v>
      </c>
      <c r="Y1643">
        <v>87630</v>
      </c>
      <c r="Z1643">
        <f t="shared" si="25"/>
        <v>541.43999999999994</v>
      </c>
    </row>
    <row r="1644" spans="1:26" x14ac:dyDescent="0.25">
      <c r="A1644">
        <v>25720</v>
      </c>
      <c r="B1644" t="s">
        <v>25</v>
      </c>
      <c r="C1644" s="2">
        <v>0.02</v>
      </c>
      <c r="D1644" s="2">
        <v>10.68</v>
      </c>
      <c r="E1644" s="2">
        <v>13.04</v>
      </c>
      <c r="F1644">
        <v>2886</v>
      </c>
      <c r="G1644" t="s">
        <v>2621</v>
      </c>
      <c r="H1644" t="s">
        <v>49</v>
      </c>
      <c r="I1644" t="s">
        <v>114</v>
      </c>
      <c r="J1644" t="s">
        <v>41</v>
      </c>
      <c r="K1644" t="s">
        <v>50</v>
      </c>
      <c r="L1644" t="s">
        <v>231</v>
      </c>
      <c r="M1644" t="s">
        <v>2614</v>
      </c>
      <c r="N1644">
        <v>0.6</v>
      </c>
      <c r="O1644" t="s">
        <v>33</v>
      </c>
      <c r="P1644" t="s">
        <v>53</v>
      </c>
      <c r="Q1644" t="s">
        <v>152</v>
      </c>
      <c r="R1644" t="s">
        <v>2622</v>
      </c>
      <c r="S1644">
        <v>44134</v>
      </c>
      <c r="T1644" s="1">
        <v>42055</v>
      </c>
      <c r="U1644" s="1">
        <v>42057</v>
      </c>
      <c r="V1644" s="2">
        <v>-231.05</v>
      </c>
      <c r="W1644">
        <v>8</v>
      </c>
      <c r="X1644" s="2">
        <v>90.45</v>
      </c>
      <c r="Y1644">
        <v>87630</v>
      </c>
      <c r="Z1644">
        <f t="shared" si="25"/>
        <v>723.6</v>
      </c>
    </row>
    <row r="1645" spans="1:26" x14ac:dyDescent="0.25">
      <c r="A1645">
        <v>21514</v>
      </c>
      <c r="B1645" t="s">
        <v>25</v>
      </c>
      <c r="C1645" s="2">
        <v>0.1</v>
      </c>
      <c r="D1645" s="2">
        <v>209.37</v>
      </c>
      <c r="E1645" s="2">
        <v>69</v>
      </c>
      <c r="F1645">
        <v>2892</v>
      </c>
      <c r="G1645" t="s">
        <v>2623</v>
      </c>
      <c r="H1645" t="s">
        <v>49</v>
      </c>
      <c r="I1645" t="s">
        <v>114</v>
      </c>
      <c r="J1645" t="s">
        <v>41</v>
      </c>
      <c r="K1645" t="s">
        <v>150</v>
      </c>
      <c r="L1645" t="s">
        <v>231</v>
      </c>
      <c r="M1645" t="s">
        <v>1620</v>
      </c>
      <c r="N1645">
        <v>0.79</v>
      </c>
      <c r="O1645" t="s">
        <v>33</v>
      </c>
      <c r="P1645" t="s">
        <v>61</v>
      </c>
      <c r="Q1645" t="s">
        <v>295</v>
      </c>
      <c r="R1645" t="s">
        <v>2624</v>
      </c>
      <c r="S1645">
        <v>48154</v>
      </c>
      <c r="T1645" s="1">
        <v>42058</v>
      </c>
      <c r="U1645" s="1">
        <v>42060</v>
      </c>
      <c r="V1645" s="2">
        <v>-165.59492040000001</v>
      </c>
      <c r="W1645">
        <v>11</v>
      </c>
      <c r="X1645" s="2">
        <v>2125.12</v>
      </c>
      <c r="Y1645">
        <v>90011</v>
      </c>
      <c r="Z1645">
        <f t="shared" si="25"/>
        <v>23376.32</v>
      </c>
    </row>
    <row r="1646" spans="1:26" x14ac:dyDescent="0.25">
      <c r="A1646">
        <v>21515</v>
      </c>
      <c r="B1646" t="s">
        <v>25</v>
      </c>
      <c r="C1646" s="2">
        <v>7.0000000000000007E-2</v>
      </c>
      <c r="D1646" s="2">
        <v>4.9800000000000004</v>
      </c>
      <c r="E1646" s="2">
        <v>4.7</v>
      </c>
      <c r="F1646">
        <v>2893</v>
      </c>
      <c r="G1646" t="s">
        <v>2625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1673</v>
      </c>
      <c r="N1646">
        <v>0.38</v>
      </c>
      <c r="O1646" t="s">
        <v>33</v>
      </c>
      <c r="P1646" t="s">
        <v>61</v>
      </c>
      <c r="Q1646" t="s">
        <v>295</v>
      </c>
      <c r="R1646" t="s">
        <v>2541</v>
      </c>
      <c r="S1646">
        <v>48071</v>
      </c>
      <c r="T1646" s="1">
        <v>42058</v>
      </c>
      <c r="U1646" s="1">
        <v>42059</v>
      </c>
      <c r="V1646" s="2">
        <v>-21.684000000000001</v>
      </c>
      <c r="W1646">
        <v>9</v>
      </c>
      <c r="X1646" s="2">
        <v>45.05</v>
      </c>
      <c r="Y1646">
        <v>90011</v>
      </c>
      <c r="Z1646">
        <f t="shared" si="25"/>
        <v>405.45</v>
      </c>
    </row>
    <row r="1647" spans="1:26" x14ac:dyDescent="0.25">
      <c r="A1647">
        <v>19909</v>
      </c>
      <c r="B1647" t="s">
        <v>106</v>
      </c>
      <c r="C1647" s="2">
        <v>0.02</v>
      </c>
      <c r="D1647" s="2">
        <v>880.98</v>
      </c>
      <c r="E1647" s="2">
        <v>44.55</v>
      </c>
      <c r="F1647">
        <v>2896</v>
      </c>
      <c r="G1647" t="s">
        <v>2626</v>
      </c>
      <c r="H1647" t="s">
        <v>39</v>
      </c>
      <c r="I1647" t="s">
        <v>40</v>
      </c>
      <c r="J1647" t="s">
        <v>41</v>
      </c>
      <c r="K1647" t="s">
        <v>187</v>
      </c>
      <c r="L1647" t="s">
        <v>120</v>
      </c>
      <c r="M1647" t="s">
        <v>760</v>
      </c>
      <c r="N1647">
        <v>0.62</v>
      </c>
      <c r="O1647" t="s">
        <v>33</v>
      </c>
      <c r="P1647" t="s">
        <v>61</v>
      </c>
      <c r="Q1647" t="s">
        <v>62</v>
      </c>
      <c r="R1647" t="s">
        <v>2627</v>
      </c>
      <c r="S1647">
        <v>56001</v>
      </c>
      <c r="T1647" s="1">
        <v>42026</v>
      </c>
      <c r="U1647" s="1">
        <v>42030</v>
      </c>
      <c r="V1647" s="2">
        <v>4861.0637999999999</v>
      </c>
      <c r="W1647">
        <v>8</v>
      </c>
      <c r="X1647" s="2">
        <v>7045.02</v>
      </c>
      <c r="Y1647">
        <v>86925</v>
      </c>
      <c r="Z1647">
        <f t="shared" si="25"/>
        <v>56360.160000000003</v>
      </c>
    </row>
    <row r="1648" spans="1:26" x14ac:dyDescent="0.25">
      <c r="A1648">
        <v>18198</v>
      </c>
      <c r="B1648" t="s">
        <v>47</v>
      </c>
      <c r="C1648" s="2">
        <v>0</v>
      </c>
      <c r="D1648" s="2">
        <v>22.84</v>
      </c>
      <c r="E1648" s="2">
        <v>16.920000000000002</v>
      </c>
      <c r="F1648">
        <v>2896</v>
      </c>
      <c r="G1648" t="s">
        <v>2626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2628</v>
      </c>
      <c r="N1648">
        <v>0.39</v>
      </c>
      <c r="O1648" t="s">
        <v>33</v>
      </c>
      <c r="P1648" t="s">
        <v>61</v>
      </c>
      <c r="Q1648" t="s">
        <v>62</v>
      </c>
      <c r="R1648" t="s">
        <v>2627</v>
      </c>
      <c r="S1648">
        <v>56001</v>
      </c>
      <c r="T1648" s="1">
        <v>42075</v>
      </c>
      <c r="U1648" s="1">
        <v>42077</v>
      </c>
      <c r="V1648" s="2">
        <v>-83.75</v>
      </c>
      <c r="W1648">
        <v>15</v>
      </c>
      <c r="X1648" s="2">
        <v>370.62</v>
      </c>
      <c r="Y1648">
        <v>86927</v>
      </c>
      <c r="Z1648">
        <f t="shared" si="25"/>
        <v>5559.3</v>
      </c>
    </row>
    <row r="1649" spans="1:26" x14ac:dyDescent="0.25">
      <c r="A1649">
        <v>20304</v>
      </c>
      <c r="B1649" t="s">
        <v>25</v>
      </c>
      <c r="C1649" s="2">
        <v>0.05</v>
      </c>
      <c r="D1649" s="2">
        <v>80.97</v>
      </c>
      <c r="E1649" s="2">
        <v>30.06</v>
      </c>
      <c r="F1649">
        <v>2897</v>
      </c>
      <c r="G1649" t="s">
        <v>2629</v>
      </c>
      <c r="H1649" t="s">
        <v>39</v>
      </c>
      <c r="I1649" t="s">
        <v>40</v>
      </c>
      <c r="J1649" t="s">
        <v>77</v>
      </c>
      <c r="K1649" t="s">
        <v>85</v>
      </c>
      <c r="L1649" t="s">
        <v>120</v>
      </c>
      <c r="M1649" t="s">
        <v>380</v>
      </c>
      <c r="N1649">
        <v>0.4</v>
      </c>
      <c r="O1649" t="s">
        <v>33</v>
      </c>
      <c r="P1649" t="s">
        <v>61</v>
      </c>
      <c r="Q1649" t="s">
        <v>62</v>
      </c>
      <c r="R1649" t="s">
        <v>2630</v>
      </c>
      <c r="S1649">
        <v>55369</v>
      </c>
      <c r="T1649" s="1">
        <v>42048</v>
      </c>
      <c r="U1649" s="1">
        <v>42049</v>
      </c>
      <c r="V1649" s="2">
        <v>565.17999999999995</v>
      </c>
      <c r="W1649">
        <v>11</v>
      </c>
      <c r="X1649" s="2">
        <v>904.25</v>
      </c>
      <c r="Y1649">
        <v>86926</v>
      </c>
      <c r="Z1649">
        <f t="shared" si="25"/>
        <v>9946.75</v>
      </c>
    </row>
    <row r="1650" spans="1:26" x14ac:dyDescent="0.25">
      <c r="A1650">
        <v>20305</v>
      </c>
      <c r="B1650" t="s">
        <v>25</v>
      </c>
      <c r="C1650" s="2">
        <v>0</v>
      </c>
      <c r="D1650" s="2">
        <v>6.48</v>
      </c>
      <c r="E1650" s="2">
        <v>10.050000000000001</v>
      </c>
      <c r="F1650">
        <v>2897</v>
      </c>
      <c r="G1650" t="s">
        <v>2629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2631</v>
      </c>
      <c r="N1650">
        <v>0.37</v>
      </c>
      <c r="O1650" t="s">
        <v>33</v>
      </c>
      <c r="P1650" t="s">
        <v>61</v>
      </c>
      <c r="Q1650" t="s">
        <v>62</v>
      </c>
      <c r="R1650" t="s">
        <v>2630</v>
      </c>
      <c r="S1650">
        <v>55369</v>
      </c>
      <c r="T1650" s="1">
        <v>42048</v>
      </c>
      <c r="U1650" s="1">
        <v>42050</v>
      </c>
      <c r="V1650" s="2">
        <v>-38.72</v>
      </c>
      <c r="W1650">
        <v>2</v>
      </c>
      <c r="X1650" s="2">
        <v>16.309999999999999</v>
      </c>
      <c r="Y1650">
        <v>86926</v>
      </c>
      <c r="Z1650">
        <f t="shared" si="25"/>
        <v>32.619999999999997</v>
      </c>
    </row>
    <row r="1651" spans="1:26" x14ac:dyDescent="0.25">
      <c r="A1651">
        <v>23151</v>
      </c>
      <c r="B1651" t="s">
        <v>37</v>
      </c>
      <c r="C1651" s="2">
        <v>0.06</v>
      </c>
      <c r="D1651" s="2">
        <v>70.89</v>
      </c>
      <c r="E1651" s="2">
        <v>89.3</v>
      </c>
      <c r="F1651">
        <v>2903</v>
      </c>
      <c r="G1651" t="s">
        <v>2632</v>
      </c>
      <c r="H1651" t="s">
        <v>39</v>
      </c>
      <c r="I1651" t="s">
        <v>58</v>
      </c>
      <c r="J1651" t="s">
        <v>41</v>
      </c>
      <c r="K1651" t="s">
        <v>150</v>
      </c>
      <c r="L1651" t="s">
        <v>120</v>
      </c>
      <c r="M1651" t="s">
        <v>2633</v>
      </c>
      <c r="N1651">
        <v>0.72</v>
      </c>
      <c r="O1651" t="s">
        <v>33</v>
      </c>
      <c r="P1651" t="s">
        <v>53</v>
      </c>
      <c r="Q1651" t="s">
        <v>152</v>
      </c>
      <c r="R1651" t="s">
        <v>2634</v>
      </c>
      <c r="S1651">
        <v>43068</v>
      </c>
      <c r="T1651" s="1">
        <v>42180</v>
      </c>
      <c r="U1651" s="1">
        <v>42180</v>
      </c>
      <c r="V1651" s="2">
        <v>65.077020000000005</v>
      </c>
      <c r="W1651">
        <v>6</v>
      </c>
      <c r="X1651" s="2">
        <v>364.26</v>
      </c>
      <c r="Y1651">
        <v>87374</v>
      </c>
      <c r="Z1651">
        <f t="shared" si="25"/>
        <v>2185.56</v>
      </c>
    </row>
    <row r="1652" spans="1:26" x14ac:dyDescent="0.25">
      <c r="A1652">
        <v>18611</v>
      </c>
      <c r="B1652" t="s">
        <v>25</v>
      </c>
      <c r="C1652" s="2">
        <v>7.0000000000000007E-2</v>
      </c>
      <c r="D1652" s="2">
        <v>4.13</v>
      </c>
      <c r="E1652" s="2">
        <v>0.99</v>
      </c>
      <c r="F1652">
        <v>2908</v>
      </c>
      <c r="G1652" t="s">
        <v>2635</v>
      </c>
      <c r="H1652" t="s">
        <v>49</v>
      </c>
      <c r="I1652" t="s">
        <v>40</v>
      </c>
      <c r="J1652" t="s">
        <v>29</v>
      </c>
      <c r="K1652" t="s">
        <v>133</v>
      </c>
      <c r="L1652" t="s">
        <v>59</v>
      </c>
      <c r="M1652" t="s">
        <v>1407</v>
      </c>
      <c r="N1652">
        <v>0.39</v>
      </c>
      <c r="O1652" t="s">
        <v>33</v>
      </c>
      <c r="P1652" t="s">
        <v>53</v>
      </c>
      <c r="Q1652" t="s">
        <v>152</v>
      </c>
      <c r="R1652" t="s">
        <v>2636</v>
      </c>
      <c r="S1652">
        <v>44125</v>
      </c>
      <c r="T1652" s="1">
        <v>42012</v>
      </c>
      <c r="U1652" s="1">
        <v>42012</v>
      </c>
      <c r="V1652" s="2">
        <v>10.959199999999999</v>
      </c>
      <c r="W1652">
        <v>4</v>
      </c>
      <c r="X1652" s="2">
        <v>16.07</v>
      </c>
      <c r="Y1652">
        <v>88156</v>
      </c>
      <c r="Z1652">
        <f t="shared" si="25"/>
        <v>64.28</v>
      </c>
    </row>
    <row r="1653" spans="1:26" x14ac:dyDescent="0.25">
      <c r="A1653">
        <v>18612</v>
      </c>
      <c r="B1653" t="s">
        <v>25</v>
      </c>
      <c r="C1653" s="2">
        <v>0.03</v>
      </c>
      <c r="D1653" s="2">
        <v>22.72</v>
      </c>
      <c r="E1653" s="2">
        <v>8.99</v>
      </c>
      <c r="F1653">
        <v>2908</v>
      </c>
      <c r="G1653" t="s">
        <v>2635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773</v>
      </c>
      <c r="N1653">
        <v>0.44</v>
      </c>
      <c r="O1653" t="s">
        <v>33</v>
      </c>
      <c r="P1653" t="s">
        <v>53</v>
      </c>
      <c r="Q1653" t="s">
        <v>152</v>
      </c>
      <c r="R1653" t="s">
        <v>2636</v>
      </c>
      <c r="S1653">
        <v>44125</v>
      </c>
      <c r="T1653" s="1">
        <v>42012</v>
      </c>
      <c r="U1653" s="1">
        <v>42012</v>
      </c>
      <c r="V1653" s="2">
        <v>17.429400000000001</v>
      </c>
      <c r="W1653">
        <v>1</v>
      </c>
      <c r="X1653" s="2">
        <v>25.26</v>
      </c>
      <c r="Y1653">
        <v>88156</v>
      </c>
      <c r="Z1653">
        <f t="shared" si="25"/>
        <v>25.26</v>
      </c>
    </row>
    <row r="1654" spans="1:26" x14ac:dyDescent="0.25">
      <c r="A1654">
        <v>20827</v>
      </c>
      <c r="B1654" t="s">
        <v>37</v>
      </c>
      <c r="C1654" s="2">
        <v>0.05</v>
      </c>
      <c r="D1654" s="2">
        <v>34.979999999999997</v>
      </c>
      <c r="E1654" s="2">
        <v>7.53</v>
      </c>
      <c r="F1654">
        <v>2908</v>
      </c>
      <c r="G1654" t="s">
        <v>2635</v>
      </c>
      <c r="H1654" t="s">
        <v>27</v>
      </c>
      <c r="I1654" t="s">
        <v>40</v>
      </c>
      <c r="J1654" t="s">
        <v>77</v>
      </c>
      <c r="K1654" t="s">
        <v>177</v>
      </c>
      <c r="L1654" t="s">
        <v>59</v>
      </c>
      <c r="M1654" t="s">
        <v>498</v>
      </c>
      <c r="N1654">
        <v>0.76</v>
      </c>
      <c r="O1654" t="s">
        <v>33</v>
      </c>
      <c r="P1654" t="s">
        <v>53</v>
      </c>
      <c r="Q1654" t="s">
        <v>152</v>
      </c>
      <c r="R1654" t="s">
        <v>2636</v>
      </c>
      <c r="S1654">
        <v>44125</v>
      </c>
      <c r="T1654" s="1">
        <v>42063</v>
      </c>
      <c r="U1654" s="1">
        <v>42066</v>
      </c>
      <c r="V1654" s="2">
        <v>-32.666400000000003</v>
      </c>
      <c r="W1654">
        <v>16</v>
      </c>
      <c r="X1654" s="2">
        <v>581.08000000000004</v>
      </c>
      <c r="Y1654">
        <v>88157</v>
      </c>
      <c r="Z1654">
        <f t="shared" si="25"/>
        <v>9297.2800000000007</v>
      </c>
    </row>
    <row r="1655" spans="1:26" x14ac:dyDescent="0.25">
      <c r="A1655">
        <v>20828</v>
      </c>
      <c r="B1655" t="s">
        <v>37</v>
      </c>
      <c r="C1655" s="2">
        <v>0</v>
      </c>
      <c r="D1655" s="2">
        <v>3.14</v>
      </c>
      <c r="E1655" s="2">
        <v>1.92</v>
      </c>
      <c r="F1655">
        <v>2908</v>
      </c>
      <c r="G1655" t="s">
        <v>2635</v>
      </c>
      <c r="H1655" t="s">
        <v>49</v>
      </c>
      <c r="I1655" t="s">
        <v>40</v>
      </c>
      <c r="J1655" t="s">
        <v>29</v>
      </c>
      <c r="K1655" t="s">
        <v>171</v>
      </c>
      <c r="L1655" t="s">
        <v>31</v>
      </c>
      <c r="M1655" t="s">
        <v>2637</v>
      </c>
      <c r="N1655">
        <v>0.84</v>
      </c>
      <c r="O1655" t="s">
        <v>33</v>
      </c>
      <c r="P1655" t="s">
        <v>53</v>
      </c>
      <c r="Q1655" t="s">
        <v>152</v>
      </c>
      <c r="R1655" t="s">
        <v>2636</v>
      </c>
      <c r="S1655">
        <v>44125</v>
      </c>
      <c r="T1655" s="1">
        <v>42063</v>
      </c>
      <c r="U1655" s="1">
        <v>42065</v>
      </c>
      <c r="V1655" s="2">
        <v>-13.135199999999999</v>
      </c>
      <c r="W1655">
        <v>8</v>
      </c>
      <c r="X1655" s="2">
        <v>27.53</v>
      </c>
      <c r="Y1655">
        <v>88157</v>
      </c>
      <c r="Z1655">
        <f t="shared" si="25"/>
        <v>220.24</v>
      </c>
    </row>
    <row r="1656" spans="1:26" x14ac:dyDescent="0.25">
      <c r="A1656">
        <v>21290</v>
      </c>
      <c r="B1656" t="s">
        <v>25</v>
      </c>
      <c r="C1656" s="2">
        <v>0.04</v>
      </c>
      <c r="D1656" s="2">
        <v>4.13</v>
      </c>
      <c r="E1656" s="2">
        <v>0.99</v>
      </c>
      <c r="F1656">
        <v>2912</v>
      </c>
      <c r="G1656" t="s">
        <v>2638</v>
      </c>
      <c r="H1656" t="s">
        <v>27</v>
      </c>
      <c r="I1656" t="s">
        <v>40</v>
      </c>
      <c r="J1656" t="s">
        <v>29</v>
      </c>
      <c r="K1656" t="s">
        <v>133</v>
      </c>
      <c r="L1656" t="s">
        <v>59</v>
      </c>
      <c r="M1656" t="s">
        <v>1407</v>
      </c>
      <c r="N1656">
        <v>0.39</v>
      </c>
      <c r="O1656" t="s">
        <v>33</v>
      </c>
      <c r="P1656" t="s">
        <v>61</v>
      </c>
      <c r="Q1656" t="s">
        <v>2639</v>
      </c>
      <c r="R1656" t="s">
        <v>2640</v>
      </c>
      <c r="S1656">
        <v>58201</v>
      </c>
      <c r="T1656" s="1">
        <v>42122</v>
      </c>
      <c r="U1656" s="1">
        <v>42124</v>
      </c>
      <c r="V1656" s="2">
        <v>22.307700000000001</v>
      </c>
      <c r="W1656">
        <v>7</v>
      </c>
      <c r="X1656" s="2">
        <v>32.33</v>
      </c>
      <c r="Y1656">
        <v>87396</v>
      </c>
      <c r="Z1656">
        <f t="shared" si="25"/>
        <v>226.31</v>
      </c>
    </row>
    <row r="1657" spans="1:26" x14ac:dyDescent="0.25">
      <c r="A1657">
        <v>21291</v>
      </c>
      <c r="B1657" t="s">
        <v>25</v>
      </c>
      <c r="C1657" s="2">
        <v>0.06</v>
      </c>
      <c r="D1657" s="2">
        <v>55.48</v>
      </c>
      <c r="E1657" s="2">
        <v>14.3</v>
      </c>
      <c r="F1657">
        <v>2912</v>
      </c>
      <c r="G1657" t="s">
        <v>2638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2639</v>
      </c>
      <c r="R1657" t="s">
        <v>2640</v>
      </c>
      <c r="S1657">
        <v>58201</v>
      </c>
      <c r="T1657" s="1">
        <v>42122</v>
      </c>
      <c r="U1657" s="1">
        <v>42124</v>
      </c>
      <c r="V1657" s="2">
        <v>443.02140000000003</v>
      </c>
      <c r="W1657">
        <v>12</v>
      </c>
      <c r="X1657" s="2">
        <v>642.05999999999995</v>
      </c>
      <c r="Y1657">
        <v>87396</v>
      </c>
      <c r="Z1657">
        <f t="shared" si="25"/>
        <v>7704.7199999999993</v>
      </c>
    </row>
    <row r="1658" spans="1:26" x14ac:dyDescent="0.25">
      <c r="A1658">
        <v>8310</v>
      </c>
      <c r="B1658" t="s">
        <v>56</v>
      </c>
      <c r="C1658" s="2">
        <v>0.05</v>
      </c>
      <c r="D1658" s="2">
        <v>535.64</v>
      </c>
      <c r="E1658" s="2">
        <v>14.7</v>
      </c>
      <c r="F1658">
        <v>2920</v>
      </c>
      <c r="G1658" t="s">
        <v>2641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1833</v>
      </c>
      <c r="N1658">
        <v>0.59</v>
      </c>
      <c r="O1658" t="s">
        <v>33</v>
      </c>
      <c r="P1658" t="s">
        <v>61</v>
      </c>
      <c r="Q1658" t="s">
        <v>175</v>
      </c>
      <c r="R1658" t="s">
        <v>176</v>
      </c>
      <c r="S1658">
        <v>60603</v>
      </c>
      <c r="T1658" s="1">
        <v>42162</v>
      </c>
      <c r="U1658" s="1">
        <v>42164</v>
      </c>
      <c r="V1658" s="2">
        <v>-1220.9145000000001</v>
      </c>
      <c r="W1658">
        <v>2</v>
      </c>
      <c r="X1658" s="2">
        <v>1068.5999999999999</v>
      </c>
      <c r="Y1658">
        <v>59365</v>
      </c>
      <c r="Z1658">
        <f t="shared" si="25"/>
        <v>2137.1999999999998</v>
      </c>
    </row>
    <row r="1659" spans="1:26" x14ac:dyDescent="0.25">
      <c r="A1659">
        <v>18166</v>
      </c>
      <c r="B1659" t="s">
        <v>56</v>
      </c>
      <c r="C1659" s="2">
        <v>0</v>
      </c>
      <c r="D1659" s="2">
        <v>6.37</v>
      </c>
      <c r="E1659" s="2">
        <v>5.19</v>
      </c>
      <c r="F1659">
        <v>2923</v>
      </c>
      <c r="G1659" t="s">
        <v>2642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616</v>
      </c>
      <c r="N1659">
        <v>0.38</v>
      </c>
      <c r="O1659" t="s">
        <v>33</v>
      </c>
      <c r="P1659" t="s">
        <v>53</v>
      </c>
      <c r="Q1659" t="s">
        <v>409</v>
      </c>
      <c r="R1659" t="s">
        <v>2643</v>
      </c>
      <c r="S1659">
        <v>21740</v>
      </c>
      <c r="T1659" s="1">
        <v>42063</v>
      </c>
      <c r="U1659" s="1">
        <v>42065</v>
      </c>
      <c r="V1659" s="2">
        <v>-27.1492</v>
      </c>
      <c r="W1659">
        <v>15</v>
      </c>
      <c r="X1659" s="2">
        <v>99.75</v>
      </c>
      <c r="Y1659">
        <v>86592</v>
      </c>
      <c r="Z1659">
        <f t="shared" si="25"/>
        <v>1496.25</v>
      </c>
    </row>
    <row r="1660" spans="1:26" x14ac:dyDescent="0.25">
      <c r="A1660">
        <v>18345</v>
      </c>
      <c r="B1660" t="s">
        <v>47</v>
      </c>
      <c r="C1660" s="2">
        <v>0.02</v>
      </c>
      <c r="D1660" s="2">
        <v>110.98</v>
      </c>
      <c r="E1660" s="2">
        <v>13.99</v>
      </c>
      <c r="F1660">
        <v>2924</v>
      </c>
      <c r="G1660" t="s">
        <v>2644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1876</v>
      </c>
      <c r="N1660">
        <v>0.69</v>
      </c>
      <c r="O1660" t="s">
        <v>33</v>
      </c>
      <c r="P1660" t="s">
        <v>53</v>
      </c>
      <c r="Q1660" t="s">
        <v>409</v>
      </c>
      <c r="R1660" t="s">
        <v>2645</v>
      </c>
      <c r="S1660">
        <v>20707</v>
      </c>
      <c r="T1660" s="1">
        <v>42020</v>
      </c>
      <c r="U1660" s="1">
        <v>42022</v>
      </c>
      <c r="V1660" s="2">
        <v>-106.3424</v>
      </c>
      <c r="W1660">
        <v>2</v>
      </c>
      <c r="X1660" s="2">
        <v>226.53</v>
      </c>
      <c r="Y1660">
        <v>86591</v>
      </c>
      <c r="Z1660">
        <f t="shared" si="25"/>
        <v>453.06</v>
      </c>
    </row>
    <row r="1661" spans="1:26" x14ac:dyDescent="0.25">
      <c r="A1661">
        <v>18346</v>
      </c>
      <c r="B1661" t="s">
        <v>47</v>
      </c>
      <c r="C1661" s="2">
        <v>0.01</v>
      </c>
      <c r="D1661" s="2">
        <v>8.01</v>
      </c>
      <c r="E1661" s="2">
        <v>2.87</v>
      </c>
      <c r="F1661">
        <v>2924</v>
      </c>
      <c r="G1661" t="s">
        <v>2644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2646</v>
      </c>
      <c r="N1661">
        <v>0.4</v>
      </c>
      <c r="O1661" t="s">
        <v>33</v>
      </c>
      <c r="P1661" t="s">
        <v>53</v>
      </c>
      <c r="Q1661" t="s">
        <v>409</v>
      </c>
      <c r="R1661" t="s">
        <v>2645</v>
      </c>
      <c r="S1661">
        <v>20707</v>
      </c>
      <c r="T1661" s="1">
        <v>42020</v>
      </c>
      <c r="U1661" s="1">
        <v>42022</v>
      </c>
      <c r="V1661" s="2">
        <v>44.976799999999997</v>
      </c>
      <c r="W1661">
        <v>8</v>
      </c>
      <c r="X1661" s="2">
        <v>68.650000000000006</v>
      </c>
      <c r="Y1661">
        <v>86591</v>
      </c>
      <c r="Z1661">
        <f t="shared" si="25"/>
        <v>549.20000000000005</v>
      </c>
    </row>
    <row r="1662" spans="1:26" x14ac:dyDescent="0.25">
      <c r="A1662">
        <v>25817</v>
      </c>
      <c r="B1662" t="s">
        <v>47</v>
      </c>
      <c r="C1662" s="2">
        <v>0.02</v>
      </c>
      <c r="D1662" s="2">
        <v>5.58</v>
      </c>
      <c r="E1662" s="2">
        <v>2.99</v>
      </c>
      <c r="F1662">
        <v>2928</v>
      </c>
      <c r="G1662" t="s">
        <v>2647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2648</v>
      </c>
      <c r="N1662">
        <v>0.37</v>
      </c>
      <c r="O1662" t="s">
        <v>33</v>
      </c>
      <c r="P1662" t="s">
        <v>135</v>
      </c>
      <c r="Q1662" t="s">
        <v>923</v>
      </c>
      <c r="R1662" t="s">
        <v>2649</v>
      </c>
      <c r="S1662">
        <v>29418</v>
      </c>
      <c r="T1662" s="1">
        <v>42150</v>
      </c>
      <c r="U1662" s="1">
        <v>42152</v>
      </c>
      <c r="V1662" s="2">
        <v>689.32799999999997</v>
      </c>
      <c r="W1662">
        <v>42</v>
      </c>
      <c r="X1662" s="2">
        <v>236.83</v>
      </c>
      <c r="Y1662">
        <v>90218</v>
      </c>
      <c r="Z1662">
        <f t="shared" si="25"/>
        <v>9946.86</v>
      </c>
    </row>
    <row r="1663" spans="1:26" x14ac:dyDescent="0.25">
      <c r="A1663">
        <v>25819</v>
      </c>
      <c r="B1663" t="s">
        <v>47</v>
      </c>
      <c r="C1663" s="2">
        <v>0.02</v>
      </c>
      <c r="D1663" s="2">
        <v>54.1</v>
      </c>
      <c r="E1663" s="2">
        <v>19.989999999999998</v>
      </c>
      <c r="F1663">
        <v>2928</v>
      </c>
      <c r="G1663" t="s">
        <v>2647</v>
      </c>
      <c r="H1663" t="s">
        <v>49</v>
      </c>
      <c r="I1663" t="s">
        <v>114</v>
      </c>
      <c r="J1663" t="s">
        <v>29</v>
      </c>
      <c r="K1663" t="s">
        <v>139</v>
      </c>
      <c r="L1663" t="s">
        <v>59</v>
      </c>
      <c r="M1663" t="s">
        <v>2163</v>
      </c>
      <c r="N1663">
        <v>0.59</v>
      </c>
      <c r="O1663" t="s">
        <v>33</v>
      </c>
      <c r="P1663" t="s">
        <v>135</v>
      </c>
      <c r="Q1663" t="s">
        <v>923</v>
      </c>
      <c r="R1663" t="s">
        <v>2649</v>
      </c>
      <c r="S1663">
        <v>29418</v>
      </c>
      <c r="T1663" s="1">
        <v>42150</v>
      </c>
      <c r="U1663" s="1">
        <v>42151</v>
      </c>
      <c r="V1663" s="2">
        <v>-33.585999999999999</v>
      </c>
      <c r="W1663">
        <v>36</v>
      </c>
      <c r="X1663" s="2">
        <v>1944.87</v>
      </c>
      <c r="Y1663">
        <v>90218</v>
      </c>
      <c r="Z1663">
        <f t="shared" si="25"/>
        <v>70015.319999999992</v>
      </c>
    </row>
    <row r="1664" spans="1:26" x14ac:dyDescent="0.25">
      <c r="A1664">
        <v>21313</v>
      </c>
      <c r="B1664" t="s">
        <v>37</v>
      </c>
      <c r="C1664" s="2">
        <v>0.1</v>
      </c>
      <c r="D1664" s="2">
        <v>11.55</v>
      </c>
      <c r="E1664" s="2">
        <v>2.36</v>
      </c>
      <c r="F1664">
        <v>2931</v>
      </c>
      <c r="G1664" t="s">
        <v>2650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307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2651</v>
      </c>
      <c r="S1664">
        <v>95630</v>
      </c>
      <c r="T1664" s="1">
        <v>42063</v>
      </c>
      <c r="U1664" s="1">
        <v>42063</v>
      </c>
      <c r="V1664" s="2">
        <v>69.767200000000003</v>
      </c>
      <c r="W1664">
        <v>12</v>
      </c>
      <c r="X1664" s="2">
        <v>135.77000000000001</v>
      </c>
      <c r="Y1664">
        <v>87619</v>
      </c>
      <c r="Z1664">
        <f t="shared" si="25"/>
        <v>1629.2400000000002</v>
      </c>
    </row>
    <row r="1665" spans="1:26" x14ac:dyDescent="0.25">
      <c r="A1665">
        <v>24866</v>
      </c>
      <c r="B1665" t="s">
        <v>25</v>
      </c>
      <c r="C1665" s="2">
        <v>0.01</v>
      </c>
      <c r="D1665" s="2">
        <v>35.44</v>
      </c>
      <c r="E1665" s="2">
        <v>19.989999999999998</v>
      </c>
      <c r="F1665">
        <v>2932</v>
      </c>
      <c r="G1665" t="s">
        <v>2652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1740</v>
      </c>
      <c r="N1665">
        <v>0.38</v>
      </c>
      <c r="O1665" t="s">
        <v>33</v>
      </c>
      <c r="P1665" t="s">
        <v>53</v>
      </c>
      <c r="Q1665" t="s">
        <v>223</v>
      </c>
      <c r="R1665" t="s">
        <v>848</v>
      </c>
      <c r="S1665">
        <v>6614</v>
      </c>
      <c r="T1665" s="1">
        <v>42116</v>
      </c>
      <c r="U1665" s="1">
        <v>42117</v>
      </c>
      <c r="V1665" s="2">
        <v>-52.822800000000001</v>
      </c>
      <c r="W1665">
        <v>1</v>
      </c>
      <c r="X1665" s="2">
        <v>55.43</v>
      </c>
      <c r="Y1665">
        <v>87620</v>
      </c>
      <c r="Z1665">
        <f t="shared" si="25"/>
        <v>55.43</v>
      </c>
    </row>
    <row r="1666" spans="1:26" x14ac:dyDescent="0.25">
      <c r="A1666">
        <v>24995</v>
      </c>
      <c r="B1666" t="s">
        <v>106</v>
      </c>
      <c r="C1666" s="2">
        <v>0.02</v>
      </c>
      <c r="D1666" s="2">
        <v>3.8</v>
      </c>
      <c r="E1666" s="2">
        <v>1.49</v>
      </c>
      <c r="F1666">
        <v>2935</v>
      </c>
      <c r="G1666" t="s">
        <v>2653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124</v>
      </c>
      <c r="N1666">
        <v>0.38</v>
      </c>
      <c r="O1666" t="s">
        <v>33</v>
      </c>
      <c r="P1666" t="s">
        <v>53</v>
      </c>
      <c r="Q1666" t="s">
        <v>189</v>
      </c>
      <c r="R1666" t="s">
        <v>190</v>
      </c>
      <c r="S1666">
        <v>2215</v>
      </c>
      <c r="T1666" s="1">
        <v>42135</v>
      </c>
      <c r="U1666" s="1">
        <v>42139</v>
      </c>
      <c r="V1666" s="2">
        <v>7.31</v>
      </c>
      <c r="W1666">
        <v>5</v>
      </c>
      <c r="X1666" s="2">
        <v>20.46</v>
      </c>
      <c r="Y1666">
        <v>87617</v>
      </c>
      <c r="Z1666">
        <f t="shared" si="25"/>
        <v>102.30000000000001</v>
      </c>
    </row>
    <row r="1667" spans="1:26" x14ac:dyDescent="0.25">
      <c r="A1667">
        <v>24865</v>
      </c>
      <c r="B1667" t="s">
        <v>25</v>
      </c>
      <c r="C1667" s="2">
        <v>0.03</v>
      </c>
      <c r="D1667" s="2">
        <v>47.9</v>
      </c>
      <c r="E1667" s="2">
        <v>5.86</v>
      </c>
      <c r="F1667">
        <v>2938</v>
      </c>
      <c r="G1667" t="s">
        <v>2654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1922</v>
      </c>
      <c r="N1667">
        <v>0.37</v>
      </c>
      <c r="O1667" t="s">
        <v>33</v>
      </c>
      <c r="P1667" t="s">
        <v>53</v>
      </c>
      <c r="Q1667" t="s">
        <v>189</v>
      </c>
      <c r="R1667" t="s">
        <v>2655</v>
      </c>
      <c r="S1667">
        <v>2180</v>
      </c>
      <c r="T1667" s="1">
        <v>42116</v>
      </c>
      <c r="U1667" s="1">
        <v>42119</v>
      </c>
      <c r="V1667" s="2">
        <v>642.99030000000005</v>
      </c>
      <c r="W1667">
        <v>20</v>
      </c>
      <c r="X1667" s="2">
        <v>931.87</v>
      </c>
      <c r="Y1667">
        <v>87620</v>
      </c>
      <c r="Z1667">
        <f t="shared" ref="Z1667:Z1730" si="26">W1667*X1667</f>
        <v>18637.400000000001</v>
      </c>
    </row>
    <row r="1668" spans="1:26" x14ac:dyDescent="0.25">
      <c r="A1668">
        <v>23567</v>
      </c>
      <c r="B1668" t="s">
        <v>47</v>
      </c>
      <c r="C1668" s="2">
        <v>0.05</v>
      </c>
      <c r="D1668" s="2">
        <v>2.62</v>
      </c>
      <c r="E1668" s="2">
        <v>0.8</v>
      </c>
      <c r="F1668">
        <v>2941</v>
      </c>
      <c r="G1668" t="s">
        <v>2656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1396</v>
      </c>
      <c r="N1668">
        <v>0.39</v>
      </c>
      <c r="O1668" t="s">
        <v>33</v>
      </c>
      <c r="P1668" t="s">
        <v>53</v>
      </c>
      <c r="Q1668" t="s">
        <v>54</v>
      </c>
      <c r="R1668" t="s">
        <v>478</v>
      </c>
      <c r="S1668">
        <v>7960</v>
      </c>
      <c r="T1668" s="1">
        <v>42150</v>
      </c>
      <c r="U1668" s="1">
        <v>42151</v>
      </c>
      <c r="V1668" s="2">
        <v>12.71</v>
      </c>
      <c r="W1668">
        <v>8</v>
      </c>
      <c r="X1668" s="2">
        <v>21.41</v>
      </c>
      <c r="Y1668">
        <v>87618</v>
      </c>
      <c r="Z1668">
        <f t="shared" si="26"/>
        <v>171.28</v>
      </c>
    </row>
    <row r="1669" spans="1:26" x14ac:dyDescent="0.25">
      <c r="A1669">
        <v>19575</v>
      </c>
      <c r="B1669" t="s">
        <v>106</v>
      </c>
      <c r="C1669" s="2">
        <v>0.04</v>
      </c>
      <c r="D1669" s="2">
        <v>4.55</v>
      </c>
      <c r="E1669" s="2">
        <v>1.49</v>
      </c>
      <c r="F1669">
        <v>2944</v>
      </c>
      <c r="G1669" t="s">
        <v>2657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1428</v>
      </c>
      <c r="N1669">
        <v>0.35</v>
      </c>
      <c r="O1669" t="s">
        <v>33</v>
      </c>
      <c r="P1669" t="s">
        <v>61</v>
      </c>
      <c r="Q1669" t="s">
        <v>295</v>
      </c>
      <c r="R1669" t="s">
        <v>1914</v>
      </c>
      <c r="S1669">
        <v>48640</v>
      </c>
      <c r="T1669" s="1">
        <v>42068</v>
      </c>
      <c r="U1669" s="1">
        <v>42070</v>
      </c>
      <c r="V1669" s="2">
        <v>28.288</v>
      </c>
      <c r="W1669">
        <v>13</v>
      </c>
      <c r="X1669" s="2">
        <v>59.75</v>
      </c>
      <c r="Y1669">
        <v>90309</v>
      </c>
      <c r="Z1669">
        <f t="shared" si="26"/>
        <v>776.75</v>
      </c>
    </row>
    <row r="1670" spans="1:26" x14ac:dyDescent="0.25">
      <c r="A1670">
        <v>26054</v>
      </c>
      <c r="B1670" t="s">
        <v>37</v>
      </c>
      <c r="C1670" s="2">
        <v>0.01</v>
      </c>
      <c r="D1670" s="2">
        <v>7.64</v>
      </c>
      <c r="E1670" s="2">
        <v>1.39</v>
      </c>
      <c r="F1670">
        <v>2947</v>
      </c>
      <c r="G1670" t="s">
        <v>2658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2419</v>
      </c>
      <c r="N1670">
        <v>0.36</v>
      </c>
      <c r="O1670" t="s">
        <v>33</v>
      </c>
      <c r="P1670" t="s">
        <v>53</v>
      </c>
      <c r="Q1670" t="s">
        <v>71</v>
      </c>
      <c r="R1670" t="s">
        <v>2659</v>
      </c>
      <c r="S1670">
        <v>14043</v>
      </c>
      <c r="T1670" s="1">
        <v>42039</v>
      </c>
      <c r="U1670" s="1">
        <v>42042</v>
      </c>
      <c r="V1670" s="2">
        <v>112.1181</v>
      </c>
      <c r="W1670">
        <v>20</v>
      </c>
      <c r="X1670" s="2">
        <v>162.49</v>
      </c>
      <c r="Y1670">
        <v>87511</v>
      </c>
      <c r="Z1670">
        <f t="shared" si="26"/>
        <v>3249.8</v>
      </c>
    </row>
    <row r="1671" spans="1:26" x14ac:dyDescent="0.25">
      <c r="A1671">
        <v>25051</v>
      </c>
      <c r="B1671" t="s">
        <v>56</v>
      </c>
      <c r="C1671" s="2">
        <v>7.0000000000000007E-2</v>
      </c>
      <c r="D1671" s="2">
        <v>42.98</v>
      </c>
      <c r="E1671" s="2">
        <v>4.62</v>
      </c>
      <c r="F1671">
        <v>2951</v>
      </c>
      <c r="G1671" t="s">
        <v>2660</v>
      </c>
      <c r="H1671" t="s">
        <v>27</v>
      </c>
      <c r="I1671" t="s">
        <v>28</v>
      </c>
      <c r="J1671" t="s">
        <v>29</v>
      </c>
      <c r="K1671" t="s">
        <v>252</v>
      </c>
      <c r="L1671" t="s">
        <v>59</v>
      </c>
      <c r="M1671" t="s">
        <v>1873</v>
      </c>
      <c r="N1671">
        <v>0.56000000000000005</v>
      </c>
      <c r="O1671" t="s">
        <v>33</v>
      </c>
      <c r="P1671" t="s">
        <v>61</v>
      </c>
      <c r="Q1671" t="s">
        <v>180</v>
      </c>
      <c r="R1671" t="s">
        <v>2592</v>
      </c>
      <c r="S1671">
        <v>67601</v>
      </c>
      <c r="T1671" s="1">
        <v>42050</v>
      </c>
      <c r="U1671" s="1">
        <v>42052</v>
      </c>
      <c r="V1671" s="2">
        <v>565.38599999999997</v>
      </c>
      <c r="W1671">
        <v>19</v>
      </c>
      <c r="X1671" s="2">
        <v>819.4</v>
      </c>
      <c r="Y1671">
        <v>91397</v>
      </c>
      <c r="Z1671">
        <f t="shared" si="26"/>
        <v>15568.6</v>
      </c>
    </row>
    <row r="1672" spans="1:26" x14ac:dyDescent="0.25">
      <c r="A1672">
        <v>25052</v>
      </c>
      <c r="B1672" t="s">
        <v>56</v>
      </c>
      <c r="C1672" s="2">
        <v>0.03</v>
      </c>
      <c r="D1672" s="2">
        <v>89.99</v>
      </c>
      <c r="E1672" s="2">
        <v>42</v>
      </c>
      <c r="F1672">
        <v>2951</v>
      </c>
      <c r="G1672" t="s">
        <v>2660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2446</v>
      </c>
      <c r="N1672">
        <v>0.66</v>
      </c>
      <c r="O1672" t="s">
        <v>33</v>
      </c>
      <c r="P1672" t="s">
        <v>61</v>
      </c>
      <c r="Q1672" t="s">
        <v>180</v>
      </c>
      <c r="R1672" t="s">
        <v>2592</v>
      </c>
      <c r="S1672">
        <v>67601</v>
      </c>
      <c r="T1672" s="1">
        <v>42050</v>
      </c>
      <c r="U1672" s="1">
        <v>42053</v>
      </c>
      <c r="V1672" s="2">
        <v>-230.9528</v>
      </c>
      <c r="W1672">
        <v>19</v>
      </c>
      <c r="X1672" s="2">
        <v>1809.75</v>
      </c>
      <c r="Y1672">
        <v>91397</v>
      </c>
      <c r="Z1672">
        <f t="shared" si="26"/>
        <v>34385.25</v>
      </c>
    </row>
    <row r="1673" spans="1:26" x14ac:dyDescent="0.25">
      <c r="A1673">
        <v>25970</v>
      </c>
      <c r="B1673" t="s">
        <v>56</v>
      </c>
      <c r="C1673" s="2">
        <v>0.08</v>
      </c>
      <c r="D1673" s="2">
        <v>5.74</v>
      </c>
      <c r="E1673" s="2">
        <v>5.01</v>
      </c>
      <c r="F1673">
        <v>2952</v>
      </c>
      <c r="G1673" t="s">
        <v>2661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2045</v>
      </c>
      <c r="N1673">
        <v>0.39</v>
      </c>
      <c r="O1673" t="s">
        <v>33</v>
      </c>
      <c r="P1673" t="s">
        <v>53</v>
      </c>
      <c r="Q1673" t="s">
        <v>152</v>
      </c>
      <c r="R1673" t="s">
        <v>2662</v>
      </c>
      <c r="S1673">
        <v>43123</v>
      </c>
      <c r="T1673" s="1">
        <v>42109</v>
      </c>
      <c r="U1673" s="1">
        <v>42111</v>
      </c>
      <c r="V1673" s="2">
        <v>-61.628039999999999</v>
      </c>
      <c r="W1673">
        <v>12</v>
      </c>
      <c r="X1673" s="2">
        <v>70.03</v>
      </c>
      <c r="Y1673">
        <v>91398</v>
      </c>
      <c r="Z1673">
        <f t="shared" si="26"/>
        <v>840.36</v>
      </c>
    </row>
    <row r="1674" spans="1:26" x14ac:dyDescent="0.25">
      <c r="A1674">
        <v>21200</v>
      </c>
      <c r="B1674" t="s">
        <v>106</v>
      </c>
      <c r="C1674" s="2">
        <v>0.09</v>
      </c>
      <c r="D1674" s="2">
        <v>12.22</v>
      </c>
      <c r="E1674" s="2">
        <v>2.85</v>
      </c>
      <c r="F1674">
        <v>2954</v>
      </c>
      <c r="G1674" t="s">
        <v>2663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2379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2664</v>
      </c>
      <c r="S1674">
        <v>55119</v>
      </c>
      <c r="T1674" s="1">
        <v>42173</v>
      </c>
      <c r="U1674" s="1">
        <v>42180</v>
      </c>
      <c r="V1674" s="2">
        <v>70.676699999999997</v>
      </c>
      <c r="W1674">
        <v>9</v>
      </c>
      <c r="X1674" s="2">
        <v>102.43</v>
      </c>
      <c r="Y1674">
        <v>86427</v>
      </c>
      <c r="Z1674">
        <f t="shared" si="26"/>
        <v>921.87000000000012</v>
      </c>
    </row>
    <row r="1675" spans="1:26" x14ac:dyDescent="0.25">
      <c r="A1675">
        <v>24817</v>
      </c>
      <c r="B1675" t="s">
        <v>56</v>
      </c>
      <c r="C1675" s="2">
        <v>0.1</v>
      </c>
      <c r="D1675" s="2">
        <v>37.94</v>
      </c>
      <c r="E1675" s="2">
        <v>5.08</v>
      </c>
      <c r="F1675">
        <v>2957</v>
      </c>
      <c r="G1675" t="s">
        <v>2665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883</v>
      </c>
      <c r="N1675">
        <v>0.38</v>
      </c>
      <c r="O1675" t="s">
        <v>33</v>
      </c>
      <c r="P1675" t="s">
        <v>61</v>
      </c>
      <c r="Q1675" t="s">
        <v>1843</v>
      </c>
      <c r="R1675" t="s">
        <v>2666</v>
      </c>
      <c r="S1675">
        <v>53209</v>
      </c>
      <c r="T1675" s="1">
        <v>42096</v>
      </c>
      <c r="U1675" s="1">
        <v>42098</v>
      </c>
      <c r="V1675" s="2">
        <v>95.054400000000001</v>
      </c>
      <c r="W1675">
        <v>4</v>
      </c>
      <c r="X1675" s="2">
        <v>137.76</v>
      </c>
      <c r="Y1675">
        <v>90264</v>
      </c>
      <c r="Z1675">
        <f t="shared" si="26"/>
        <v>551.04</v>
      </c>
    </row>
    <row r="1676" spans="1:26" x14ac:dyDescent="0.25">
      <c r="A1676">
        <v>25709</v>
      </c>
      <c r="B1676" t="s">
        <v>106</v>
      </c>
      <c r="C1676" s="2">
        <v>0.06</v>
      </c>
      <c r="D1676" s="2">
        <v>20.99</v>
      </c>
      <c r="E1676" s="2">
        <v>0.99</v>
      </c>
      <c r="F1676">
        <v>2958</v>
      </c>
      <c r="G1676" t="s">
        <v>2667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2668</v>
      </c>
      <c r="N1676">
        <v>0.37</v>
      </c>
      <c r="O1676" t="s">
        <v>33</v>
      </c>
      <c r="P1676" t="s">
        <v>61</v>
      </c>
      <c r="Q1676" t="s">
        <v>1843</v>
      </c>
      <c r="R1676" t="s">
        <v>2669</v>
      </c>
      <c r="S1676">
        <v>54956</v>
      </c>
      <c r="T1676" s="1">
        <v>42086</v>
      </c>
      <c r="U1676" s="1">
        <v>42091</v>
      </c>
      <c r="V1676" s="2">
        <v>224.9607</v>
      </c>
      <c r="W1676">
        <v>18</v>
      </c>
      <c r="X1676" s="2">
        <v>326.02999999999997</v>
      </c>
      <c r="Y1676">
        <v>90265</v>
      </c>
      <c r="Z1676">
        <f t="shared" si="26"/>
        <v>5868.5399999999991</v>
      </c>
    </row>
    <row r="1677" spans="1:26" x14ac:dyDescent="0.25">
      <c r="A1677">
        <v>19923</v>
      </c>
      <c r="B1677" t="s">
        <v>37</v>
      </c>
      <c r="C1677" s="2">
        <v>0.1</v>
      </c>
      <c r="D1677" s="2">
        <v>36.549999999999997</v>
      </c>
      <c r="E1677" s="2">
        <v>13.89</v>
      </c>
      <c r="F1677">
        <v>2960</v>
      </c>
      <c r="G1677" t="s">
        <v>2670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1278</v>
      </c>
      <c r="N1677">
        <v>0.41</v>
      </c>
      <c r="O1677" t="s">
        <v>33</v>
      </c>
      <c r="P1677" t="s">
        <v>135</v>
      </c>
      <c r="Q1677" t="s">
        <v>949</v>
      </c>
      <c r="R1677" t="s">
        <v>2671</v>
      </c>
      <c r="S1677">
        <v>72956</v>
      </c>
      <c r="T1677" s="1">
        <v>42099</v>
      </c>
      <c r="U1677" s="1">
        <v>42101</v>
      </c>
      <c r="V1677" s="2">
        <v>-89.572000000000003</v>
      </c>
      <c r="W1677">
        <v>11</v>
      </c>
      <c r="X1677" s="2">
        <v>379.72</v>
      </c>
      <c r="Y1677">
        <v>90646</v>
      </c>
      <c r="Z1677">
        <f t="shared" si="26"/>
        <v>4176.92</v>
      </c>
    </row>
    <row r="1678" spans="1:26" x14ac:dyDescent="0.25">
      <c r="A1678">
        <v>20390</v>
      </c>
      <c r="B1678" t="s">
        <v>25</v>
      </c>
      <c r="C1678" s="2">
        <v>7.0000000000000007E-2</v>
      </c>
      <c r="D1678" s="2">
        <v>4.76</v>
      </c>
      <c r="E1678" s="2">
        <v>0.88</v>
      </c>
      <c r="F1678">
        <v>2962</v>
      </c>
      <c r="G1678" t="s">
        <v>2672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2544</v>
      </c>
      <c r="N1678">
        <v>0.39</v>
      </c>
      <c r="O1678" t="s">
        <v>33</v>
      </c>
      <c r="P1678" t="s">
        <v>34</v>
      </c>
      <c r="Q1678" t="s">
        <v>250</v>
      </c>
      <c r="R1678" t="s">
        <v>331</v>
      </c>
      <c r="S1678">
        <v>80027</v>
      </c>
      <c r="T1678" s="1">
        <v>42131</v>
      </c>
      <c r="U1678" s="1">
        <v>42133</v>
      </c>
      <c r="V1678" s="2">
        <v>33.347700000000003</v>
      </c>
      <c r="W1678">
        <v>10</v>
      </c>
      <c r="X1678" s="2">
        <v>48.33</v>
      </c>
      <c r="Y1678">
        <v>88611</v>
      </c>
      <c r="Z1678">
        <f t="shared" si="26"/>
        <v>483.29999999999995</v>
      </c>
    </row>
    <row r="1679" spans="1:26" x14ac:dyDescent="0.25">
      <c r="A1679">
        <v>22175</v>
      </c>
      <c r="B1679" t="s">
        <v>47</v>
      </c>
      <c r="C1679" s="2">
        <v>0.01</v>
      </c>
      <c r="D1679" s="2">
        <v>7.98</v>
      </c>
      <c r="E1679" s="2">
        <v>6.5</v>
      </c>
      <c r="F1679">
        <v>2963</v>
      </c>
      <c r="G1679" t="s">
        <v>2673</v>
      </c>
      <c r="H1679" t="s">
        <v>49</v>
      </c>
      <c r="I1679" t="s">
        <v>114</v>
      </c>
      <c r="J1679" t="s">
        <v>29</v>
      </c>
      <c r="K1679" t="s">
        <v>139</v>
      </c>
      <c r="L1679" t="s">
        <v>86</v>
      </c>
      <c r="M1679" t="s">
        <v>2674</v>
      </c>
      <c r="N1679">
        <v>0.59</v>
      </c>
      <c r="O1679" t="s">
        <v>33</v>
      </c>
      <c r="P1679" t="s">
        <v>53</v>
      </c>
      <c r="Q1679" t="s">
        <v>409</v>
      </c>
      <c r="R1679" t="s">
        <v>2675</v>
      </c>
      <c r="S1679">
        <v>21220</v>
      </c>
      <c r="T1679" s="1">
        <v>42177</v>
      </c>
      <c r="U1679" s="1">
        <v>42178</v>
      </c>
      <c r="V1679" s="2">
        <v>-34.591999999999999</v>
      </c>
      <c r="W1679">
        <v>4</v>
      </c>
      <c r="X1679" s="2">
        <v>34.909999999999997</v>
      </c>
      <c r="Y1679">
        <v>88612</v>
      </c>
      <c r="Z1679">
        <f t="shared" si="26"/>
        <v>139.63999999999999</v>
      </c>
    </row>
    <row r="1680" spans="1:26" x14ac:dyDescent="0.25">
      <c r="A1680">
        <v>25953</v>
      </c>
      <c r="B1680" t="s">
        <v>25</v>
      </c>
      <c r="C1680" s="2">
        <v>0.06</v>
      </c>
      <c r="D1680" s="2">
        <v>42.98</v>
      </c>
      <c r="E1680" s="2">
        <v>4.62</v>
      </c>
      <c r="F1680">
        <v>2964</v>
      </c>
      <c r="G1680" t="s">
        <v>2676</v>
      </c>
      <c r="H1680" t="s">
        <v>49</v>
      </c>
      <c r="I1680" t="s">
        <v>114</v>
      </c>
      <c r="J1680" t="s">
        <v>29</v>
      </c>
      <c r="K1680" t="s">
        <v>252</v>
      </c>
      <c r="L1680" t="s">
        <v>59</v>
      </c>
      <c r="M1680" t="s">
        <v>1873</v>
      </c>
      <c r="N1680">
        <v>0.56000000000000005</v>
      </c>
      <c r="O1680" t="s">
        <v>33</v>
      </c>
      <c r="P1680" t="s">
        <v>53</v>
      </c>
      <c r="Q1680" t="s">
        <v>152</v>
      </c>
      <c r="R1680" t="s">
        <v>1945</v>
      </c>
      <c r="S1680">
        <v>43050</v>
      </c>
      <c r="T1680" s="1">
        <v>42115</v>
      </c>
      <c r="U1680" s="1">
        <v>42117</v>
      </c>
      <c r="V1680" s="2">
        <v>-24.63</v>
      </c>
      <c r="W1680">
        <v>1</v>
      </c>
      <c r="X1680" s="2">
        <v>47.04</v>
      </c>
      <c r="Y1680">
        <v>88610</v>
      </c>
      <c r="Z1680">
        <f t="shared" si="26"/>
        <v>47.04</v>
      </c>
    </row>
    <row r="1681" spans="1:26" x14ac:dyDescent="0.25">
      <c r="A1681">
        <v>21390</v>
      </c>
      <c r="B1681" t="s">
        <v>37</v>
      </c>
      <c r="C1681" s="2">
        <v>0.08</v>
      </c>
      <c r="D1681" s="2">
        <v>9.68</v>
      </c>
      <c r="E1681" s="2">
        <v>2.0299999999999998</v>
      </c>
      <c r="F1681">
        <v>2968</v>
      </c>
      <c r="G1681" t="s">
        <v>2677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2678</v>
      </c>
      <c r="N1681">
        <v>0.37</v>
      </c>
      <c r="O1681" t="s">
        <v>33</v>
      </c>
      <c r="P1681" t="s">
        <v>135</v>
      </c>
      <c r="Q1681" t="s">
        <v>356</v>
      </c>
      <c r="R1681" t="s">
        <v>2679</v>
      </c>
      <c r="S1681">
        <v>33021</v>
      </c>
      <c r="T1681" s="1">
        <v>42057</v>
      </c>
      <c r="U1681" s="1">
        <v>42059</v>
      </c>
      <c r="V1681" s="2">
        <v>-536.24199999999996</v>
      </c>
      <c r="W1681">
        <v>1</v>
      </c>
      <c r="X1681" s="2">
        <v>10.94</v>
      </c>
      <c r="Y1681">
        <v>86085</v>
      </c>
      <c r="Z1681">
        <f t="shared" si="26"/>
        <v>10.94</v>
      </c>
    </row>
    <row r="1682" spans="1:26" x14ac:dyDescent="0.25">
      <c r="A1682">
        <v>21391</v>
      </c>
      <c r="B1682" t="s">
        <v>37</v>
      </c>
      <c r="C1682" s="2">
        <v>0.04</v>
      </c>
      <c r="D1682" s="2">
        <v>150.97999999999999</v>
      </c>
      <c r="E1682" s="2">
        <v>16.010000000000002</v>
      </c>
      <c r="F1682">
        <v>2968</v>
      </c>
      <c r="G1682" t="s">
        <v>2677</v>
      </c>
      <c r="H1682" t="s">
        <v>39</v>
      </c>
      <c r="I1682" t="s">
        <v>58</v>
      </c>
      <c r="J1682" t="s">
        <v>41</v>
      </c>
      <c r="K1682" t="s">
        <v>150</v>
      </c>
      <c r="L1682" t="s">
        <v>120</v>
      </c>
      <c r="M1682" t="s">
        <v>2680</v>
      </c>
      <c r="N1682">
        <v>0.7</v>
      </c>
      <c r="O1682" t="s">
        <v>33</v>
      </c>
      <c r="P1682" t="s">
        <v>135</v>
      </c>
      <c r="Q1682" t="s">
        <v>356</v>
      </c>
      <c r="R1682" t="s">
        <v>2679</v>
      </c>
      <c r="S1682">
        <v>33021</v>
      </c>
      <c r="T1682" s="1">
        <v>42057</v>
      </c>
      <c r="U1682" s="1">
        <v>42058</v>
      </c>
      <c r="V1682" s="2">
        <v>-125.86</v>
      </c>
      <c r="W1682">
        <v>5</v>
      </c>
      <c r="X1682" s="2">
        <v>731.38</v>
      </c>
      <c r="Y1682">
        <v>86085</v>
      </c>
      <c r="Z1682">
        <f t="shared" si="26"/>
        <v>3656.9</v>
      </c>
    </row>
    <row r="1683" spans="1:26" x14ac:dyDescent="0.25">
      <c r="A1683">
        <v>18041</v>
      </c>
      <c r="B1683" t="s">
        <v>25</v>
      </c>
      <c r="C1683" s="2">
        <v>0.06</v>
      </c>
      <c r="D1683" s="2">
        <v>363.25</v>
      </c>
      <c r="E1683" s="2">
        <v>19.989999999999998</v>
      </c>
      <c r="F1683">
        <v>2968</v>
      </c>
      <c r="G1683" t="s">
        <v>2677</v>
      </c>
      <c r="H1683" t="s">
        <v>49</v>
      </c>
      <c r="I1683" t="s">
        <v>58</v>
      </c>
      <c r="J1683" t="s">
        <v>29</v>
      </c>
      <c r="K1683" t="s">
        <v>252</v>
      </c>
      <c r="L1683" t="s">
        <v>59</v>
      </c>
      <c r="M1683" t="s">
        <v>1242</v>
      </c>
      <c r="N1683">
        <v>0.56999999999999995</v>
      </c>
      <c r="O1683" t="s">
        <v>33</v>
      </c>
      <c r="P1683" t="s">
        <v>135</v>
      </c>
      <c r="Q1683" t="s">
        <v>356</v>
      </c>
      <c r="R1683" t="s">
        <v>2679</v>
      </c>
      <c r="S1683">
        <v>33021</v>
      </c>
      <c r="T1683" s="1">
        <v>42091</v>
      </c>
      <c r="U1683" s="1">
        <v>42093</v>
      </c>
      <c r="V1683" s="2">
        <v>36.164099999999998</v>
      </c>
      <c r="W1683">
        <v>1</v>
      </c>
      <c r="X1683" s="2">
        <v>344.87</v>
      </c>
      <c r="Y1683">
        <v>86086</v>
      </c>
      <c r="Z1683">
        <f t="shared" si="26"/>
        <v>344.87</v>
      </c>
    </row>
    <row r="1684" spans="1:26" x14ac:dyDescent="0.25">
      <c r="A1684">
        <v>21096</v>
      </c>
      <c r="B1684" t="s">
        <v>25</v>
      </c>
      <c r="C1684" s="2">
        <v>0.01</v>
      </c>
      <c r="D1684" s="2">
        <v>30.97</v>
      </c>
      <c r="E1684" s="2">
        <v>4</v>
      </c>
      <c r="F1684">
        <v>2973</v>
      </c>
      <c r="G1684" t="s">
        <v>2681</v>
      </c>
      <c r="H1684" t="s">
        <v>49</v>
      </c>
      <c r="I1684" t="s">
        <v>40</v>
      </c>
      <c r="J1684" t="s">
        <v>77</v>
      </c>
      <c r="K1684" t="s">
        <v>177</v>
      </c>
      <c r="L1684" t="s">
        <v>59</v>
      </c>
      <c r="M1684" t="s">
        <v>2682</v>
      </c>
      <c r="N1684">
        <v>0.74</v>
      </c>
      <c r="O1684" t="s">
        <v>33</v>
      </c>
      <c r="P1684" t="s">
        <v>61</v>
      </c>
      <c r="Q1684" t="s">
        <v>1843</v>
      </c>
      <c r="R1684" t="s">
        <v>2683</v>
      </c>
      <c r="S1684">
        <v>53151</v>
      </c>
      <c r="T1684" s="1">
        <v>42107</v>
      </c>
      <c r="U1684" s="1">
        <v>42109</v>
      </c>
      <c r="V1684" s="2">
        <v>17.102799999999998</v>
      </c>
      <c r="W1684">
        <v>17</v>
      </c>
      <c r="X1684" s="2">
        <v>523.05999999999995</v>
      </c>
      <c r="Y1684">
        <v>87186</v>
      </c>
      <c r="Z1684">
        <f t="shared" si="26"/>
        <v>8892.0199999999986</v>
      </c>
    </row>
    <row r="1685" spans="1:26" x14ac:dyDescent="0.25">
      <c r="A1685">
        <v>21097</v>
      </c>
      <c r="B1685" t="s">
        <v>25</v>
      </c>
      <c r="C1685" s="2">
        <v>0.08</v>
      </c>
      <c r="D1685" s="2">
        <v>125.99</v>
      </c>
      <c r="E1685" s="2">
        <v>7.69</v>
      </c>
      <c r="F1685">
        <v>2973</v>
      </c>
      <c r="G1685" t="s">
        <v>2681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1214</v>
      </c>
      <c r="N1685">
        <v>0.57999999999999996</v>
      </c>
      <c r="O1685" t="s">
        <v>33</v>
      </c>
      <c r="P1685" t="s">
        <v>61</v>
      </c>
      <c r="Q1685" t="s">
        <v>1843</v>
      </c>
      <c r="R1685" t="s">
        <v>2683</v>
      </c>
      <c r="S1685">
        <v>53151</v>
      </c>
      <c r="T1685" s="1">
        <v>42107</v>
      </c>
      <c r="U1685" s="1">
        <v>42109</v>
      </c>
      <c r="V1685" s="2">
        <v>1269.3819599999999</v>
      </c>
      <c r="W1685">
        <v>23</v>
      </c>
      <c r="X1685" s="2">
        <v>2424.6799999999998</v>
      </c>
      <c r="Y1685">
        <v>87186</v>
      </c>
      <c r="Z1685">
        <f t="shared" si="26"/>
        <v>55767.64</v>
      </c>
    </row>
    <row r="1686" spans="1:26" x14ac:dyDescent="0.25">
      <c r="A1686">
        <v>24770</v>
      </c>
      <c r="B1686" t="s">
        <v>47</v>
      </c>
      <c r="C1686" s="2">
        <v>0.1</v>
      </c>
      <c r="D1686" s="2">
        <v>442.14</v>
      </c>
      <c r="E1686" s="2">
        <v>14.7</v>
      </c>
      <c r="F1686">
        <v>2973</v>
      </c>
      <c r="G1686" t="s">
        <v>2681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330</v>
      </c>
      <c r="N1686">
        <v>0.56000000000000005</v>
      </c>
      <c r="O1686" t="s">
        <v>33</v>
      </c>
      <c r="P1686" t="s">
        <v>61</v>
      </c>
      <c r="Q1686" t="s">
        <v>1843</v>
      </c>
      <c r="R1686" t="s">
        <v>2683</v>
      </c>
      <c r="S1686">
        <v>53151</v>
      </c>
      <c r="T1686" s="1">
        <v>42144</v>
      </c>
      <c r="U1686" s="1">
        <v>42145</v>
      </c>
      <c r="V1686" s="2">
        <v>137.68794</v>
      </c>
      <c r="W1686">
        <v>6</v>
      </c>
      <c r="X1686" s="2">
        <v>2411.4299999999998</v>
      </c>
      <c r="Y1686">
        <v>87187</v>
      </c>
      <c r="Z1686">
        <f t="shared" si="26"/>
        <v>14468.579999999998</v>
      </c>
    </row>
    <row r="1687" spans="1:26" x14ac:dyDescent="0.25">
      <c r="A1687">
        <v>19599</v>
      </c>
      <c r="B1687" t="s">
        <v>56</v>
      </c>
      <c r="C1687" s="2">
        <v>0.01</v>
      </c>
      <c r="D1687" s="2">
        <v>35.99</v>
      </c>
      <c r="E1687" s="2">
        <v>0.99</v>
      </c>
      <c r="F1687">
        <v>2976</v>
      </c>
      <c r="G1687" t="s">
        <v>2684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2366</v>
      </c>
      <c r="N1687">
        <v>0.35</v>
      </c>
      <c r="O1687" t="s">
        <v>33</v>
      </c>
      <c r="P1687" t="s">
        <v>61</v>
      </c>
      <c r="Q1687" t="s">
        <v>1843</v>
      </c>
      <c r="R1687" t="s">
        <v>2685</v>
      </c>
      <c r="S1687">
        <v>53154</v>
      </c>
      <c r="T1687" s="1">
        <v>42146</v>
      </c>
      <c r="U1687" s="1">
        <v>42147</v>
      </c>
      <c r="V1687" s="2">
        <v>882.48239999999998</v>
      </c>
      <c r="W1687">
        <v>41</v>
      </c>
      <c r="X1687" s="2">
        <v>1278.96</v>
      </c>
      <c r="Y1687">
        <v>89047</v>
      </c>
      <c r="Z1687">
        <f t="shared" si="26"/>
        <v>52437.36</v>
      </c>
    </row>
    <row r="1688" spans="1:26" x14ac:dyDescent="0.25">
      <c r="A1688">
        <v>20182</v>
      </c>
      <c r="B1688" t="s">
        <v>47</v>
      </c>
      <c r="C1688" s="2">
        <v>0.09</v>
      </c>
      <c r="D1688" s="2">
        <v>2.94</v>
      </c>
      <c r="E1688" s="2">
        <v>0.7</v>
      </c>
      <c r="F1688">
        <v>2979</v>
      </c>
      <c r="G1688" t="s">
        <v>2686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2639</v>
      </c>
      <c r="R1688" t="s">
        <v>2687</v>
      </c>
      <c r="S1688">
        <v>58601</v>
      </c>
      <c r="T1688" s="1">
        <v>42031</v>
      </c>
      <c r="U1688" s="1">
        <v>42032</v>
      </c>
      <c r="V1688" s="2">
        <v>6.3840000000000003</v>
      </c>
      <c r="W1688">
        <v>9</v>
      </c>
      <c r="X1688" s="2">
        <v>25.22</v>
      </c>
      <c r="Y1688">
        <v>86544</v>
      </c>
      <c r="Z1688">
        <f t="shared" si="26"/>
        <v>226.98</v>
      </c>
    </row>
    <row r="1689" spans="1:26" x14ac:dyDescent="0.25">
      <c r="A1689">
        <v>18169</v>
      </c>
      <c r="B1689" t="s">
        <v>47</v>
      </c>
      <c r="C1689" s="2">
        <v>0.02</v>
      </c>
      <c r="D1689" s="2">
        <v>5.34</v>
      </c>
      <c r="E1689" s="2">
        <v>2.99</v>
      </c>
      <c r="F1689">
        <v>2979</v>
      </c>
      <c r="G1689" t="s">
        <v>2686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813</v>
      </c>
      <c r="N1689">
        <v>0.38</v>
      </c>
      <c r="O1689" t="s">
        <v>33</v>
      </c>
      <c r="P1689" t="s">
        <v>61</v>
      </c>
      <c r="Q1689" t="s">
        <v>2639</v>
      </c>
      <c r="R1689" t="s">
        <v>2687</v>
      </c>
      <c r="S1689">
        <v>58601</v>
      </c>
      <c r="T1689" s="1">
        <v>42061</v>
      </c>
      <c r="U1689" s="1">
        <v>42063</v>
      </c>
      <c r="V1689" s="2">
        <v>5.2954999999999997</v>
      </c>
      <c r="W1689">
        <v>6</v>
      </c>
      <c r="X1689" s="2">
        <v>34.729999999999997</v>
      </c>
      <c r="Y1689">
        <v>86545</v>
      </c>
      <c r="Z1689">
        <f t="shared" si="26"/>
        <v>208.38</v>
      </c>
    </row>
    <row r="1690" spans="1:26" x14ac:dyDescent="0.25">
      <c r="A1690">
        <v>18170</v>
      </c>
      <c r="B1690" t="s">
        <v>47</v>
      </c>
      <c r="C1690" s="2">
        <v>0.03</v>
      </c>
      <c r="D1690" s="2">
        <v>40.98</v>
      </c>
      <c r="E1690" s="2">
        <v>7.47</v>
      </c>
      <c r="F1690">
        <v>2979</v>
      </c>
      <c r="G1690" t="s">
        <v>2686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1361</v>
      </c>
      <c r="N1690">
        <v>0.37</v>
      </c>
      <c r="O1690" t="s">
        <v>33</v>
      </c>
      <c r="P1690" t="s">
        <v>61</v>
      </c>
      <c r="Q1690" t="s">
        <v>2639</v>
      </c>
      <c r="R1690" t="s">
        <v>2687</v>
      </c>
      <c r="S1690">
        <v>58601</v>
      </c>
      <c r="T1690" s="1">
        <v>42061</v>
      </c>
      <c r="U1690" s="1">
        <v>42062</v>
      </c>
      <c r="V1690" s="2">
        <v>170.79570000000001</v>
      </c>
      <c r="W1690">
        <v>6</v>
      </c>
      <c r="X1690" s="2">
        <v>247.53</v>
      </c>
      <c r="Y1690">
        <v>86545</v>
      </c>
      <c r="Z1690">
        <f t="shared" si="26"/>
        <v>1485.18</v>
      </c>
    </row>
    <row r="1691" spans="1:26" x14ac:dyDescent="0.25">
      <c r="A1691">
        <v>18133</v>
      </c>
      <c r="B1691" t="s">
        <v>37</v>
      </c>
      <c r="C1691" s="2">
        <v>0.01</v>
      </c>
      <c r="D1691" s="2">
        <v>5.84</v>
      </c>
      <c r="E1691" s="2">
        <v>0.83</v>
      </c>
      <c r="F1691">
        <v>2979</v>
      </c>
      <c r="G1691" t="s">
        <v>2686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935</v>
      </c>
      <c r="N1691">
        <v>0.49</v>
      </c>
      <c r="O1691" t="s">
        <v>33</v>
      </c>
      <c r="P1691" t="s">
        <v>61</v>
      </c>
      <c r="Q1691" t="s">
        <v>2639</v>
      </c>
      <c r="R1691" t="s">
        <v>2687</v>
      </c>
      <c r="S1691">
        <v>58601</v>
      </c>
      <c r="T1691" s="1">
        <v>42169</v>
      </c>
      <c r="U1691" s="1">
        <v>42171</v>
      </c>
      <c r="V1691" s="2">
        <v>16.091999999999999</v>
      </c>
      <c r="W1691">
        <v>4</v>
      </c>
      <c r="X1691" s="2">
        <v>23.89</v>
      </c>
      <c r="Y1691">
        <v>86546</v>
      </c>
      <c r="Z1691">
        <f t="shared" si="26"/>
        <v>95.56</v>
      </c>
    </row>
    <row r="1692" spans="1:26" x14ac:dyDescent="0.25">
      <c r="A1692">
        <v>20183</v>
      </c>
      <c r="B1692" t="s">
        <v>47</v>
      </c>
      <c r="C1692" s="2">
        <v>0.03</v>
      </c>
      <c r="D1692" s="2">
        <v>43.98</v>
      </c>
      <c r="E1692" s="2">
        <v>8.99</v>
      </c>
      <c r="F1692">
        <v>2980</v>
      </c>
      <c r="G1692" t="s">
        <v>2688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1107</v>
      </c>
      <c r="N1692">
        <v>0.57999999999999996</v>
      </c>
      <c r="O1692" t="s">
        <v>33</v>
      </c>
      <c r="P1692" t="s">
        <v>53</v>
      </c>
      <c r="Q1692" t="s">
        <v>152</v>
      </c>
      <c r="R1692" t="s">
        <v>2689</v>
      </c>
      <c r="S1692">
        <v>44870</v>
      </c>
      <c r="T1692" s="1">
        <v>42031</v>
      </c>
      <c r="U1692" s="1">
        <v>42033</v>
      </c>
      <c r="V1692" s="2">
        <v>274.0788</v>
      </c>
      <c r="W1692">
        <v>10</v>
      </c>
      <c r="X1692" s="2">
        <v>454.4</v>
      </c>
      <c r="Y1692">
        <v>86544</v>
      </c>
      <c r="Z1692">
        <f t="shared" si="26"/>
        <v>4544</v>
      </c>
    </row>
    <row r="1693" spans="1:26" x14ac:dyDescent="0.25">
      <c r="A1693">
        <v>20184</v>
      </c>
      <c r="B1693" t="s">
        <v>47</v>
      </c>
      <c r="C1693" s="2">
        <v>0.06</v>
      </c>
      <c r="D1693" s="2">
        <v>1.1399999999999999</v>
      </c>
      <c r="E1693" s="2">
        <v>0.7</v>
      </c>
      <c r="F1693">
        <v>2980</v>
      </c>
      <c r="G1693" t="s">
        <v>2688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1000</v>
      </c>
      <c r="N1693">
        <v>0.38</v>
      </c>
      <c r="O1693" t="s">
        <v>33</v>
      </c>
      <c r="P1693" t="s">
        <v>53</v>
      </c>
      <c r="Q1693" t="s">
        <v>152</v>
      </c>
      <c r="R1693" t="s">
        <v>2689</v>
      </c>
      <c r="S1693">
        <v>44870</v>
      </c>
      <c r="T1693" s="1">
        <v>42031</v>
      </c>
      <c r="U1693" s="1">
        <v>42034</v>
      </c>
      <c r="V1693" s="2">
        <v>-3.782</v>
      </c>
      <c r="W1693">
        <v>13</v>
      </c>
      <c r="X1693" s="2">
        <v>14.53</v>
      </c>
      <c r="Y1693">
        <v>86544</v>
      </c>
      <c r="Z1693">
        <f t="shared" si="26"/>
        <v>188.89</v>
      </c>
    </row>
    <row r="1694" spans="1:26" x14ac:dyDescent="0.25">
      <c r="A1694">
        <v>20435</v>
      </c>
      <c r="B1694" t="s">
        <v>56</v>
      </c>
      <c r="C1694" s="2">
        <v>7.0000000000000007E-2</v>
      </c>
      <c r="D1694" s="2">
        <v>2.61</v>
      </c>
      <c r="E1694" s="2">
        <v>0.5</v>
      </c>
      <c r="F1694">
        <v>2980</v>
      </c>
      <c r="G1694" t="s">
        <v>2688</v>
      </c>
      <c r="H1694" t="s">
        <v>49</v>
      </c>
      <c r="I1694" t="s">
        <v>28</v>
      </c>
      <c r="J1694" t="s">
        <v>29</v>
      </c>
      <c r="K1694" t="s">
        <v>133</v>
      </c>
      <c r="L1694" t="s">
        <v>59</v>
      </c>
      <c r="M1694" t="s">
        <v>1127</v>
      </c>
      <c r="N1694">
        <v>0.39</v>
      </c>
      <c r="O1694" t="s">
        <v>33</v>
      </c>
      <c r="P1694" t="s">
        <v>53</v>
      </c>
      <c r="Q1694" t="s">
        <v>152</v>
      </c>
      <c r="R1694" t="s">
        <v>2689</v>
      </c>
      <c r="S1694">
        <v>44870</v>
      </c>
      <c r="T1694" s="1">
        <v>42060</v>
      </c>
      <c r="U1694" s="1">
        <v>42062</v>
      </c>
      <c r="V1694" s="2">
        <v>10.798500000000001</v>
      </c>
      <c r="W1694">
        <v>6</v>
      </c>
      <c r="X1694" s="2">
        <v>15.65</v>
      </c>
      <c r="Y1694">
        <v>86547</v>
      </c>
      <c r="Z1694">
        <f t="shared" si="26"/>
        <v>93.9</v>
      </c>
    </row>
    <row r="1695" spans="1:26" x14ac:dyDescent="0.25">
      <c r="A1695">
        <v>23110</v>
      </c>
      <c r="B1695" t="s">
        <v>106</v>
      </c>
      <c r="C1695" s="2">
        <v>0.04</v>
      </c>
      <c r="D1695" s="2">
        <v>2.88</v>
      </c>
      <c r="E1695" s="2">
        <v>1.01</v>
      </c>
      <c r="F1695">
        <v>2980</v>
      </c>
      <c r="G1695" t="s">
        <v>2688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785</v>
      </c>
      <c r="N1695">
        <v>0.55000000000000004</v>
      </c>
      <c r="O1695" t="s">
        <v>33</v>
      </c>
      <c r="P1695" t="s">
        <v>53</v>
      </c>
      <c r="Q1695" t="s">
        <v>152</v>
      </c>
      <c r="R1695" t="s">
        <v>2689</v>
      </c>
      <c r="S1695">
        <v>44870</v>
      </c>
      <c r="T1695" s="1">
        <v>42154</v>
      </c>
      <c r="U1695" s="1">
        <v>42159</v>
      </c>
      <c r="V1695" s="2">
        <v>15.246</v>
      </c>
      <c r="W1695">
        <v>39</v>
      </c>
      <c r="X1695" s="2">
        <v>111.92</v>
      </c>
      <c r="Y1695">
        <v>86548</v>
      </c>
      <c r="Z1695">
        <f t="shared" si="26"/>
        <v>4364.88</v>
      </c>
    </row>
    <row r="1696" spans="1:26" x14ac:dyDescent="0.25">
      <c r="A1696">
        <v>20816</v>
      </c>
      <c r="B1696" t="s">
        <v>47</v>
      </c>
      <c r="C1696" s="2">
        <v>0.09</v>
      </c>
      <c r="D1696" s="2">
        <v>100.98</v>
      </c>
      <c r="E1696" s="2">
        <v>35.840000000000003</v>
      </c>
      <c r="F1696">
        <v>2987</v>
      </c>
      <c r="G1696" t="s">
        <v>2690</v>
      </c>
      <c r="H1696" t="s">
        <v>39</v>
      </c>
      <c r="I1696" t="s">
        <v>40</v>
      </c>
      <c r="J1696" t="s">
        <v>41</v>
      </c>
      <c r="K1696" t="s">
        <v>187</v>
      </c>
      <c r="L1696" t="s">
        <v>120</v>
      </c>
      <c r="M1696" t="s">
        <v>255</v>
      </c>
      <c r="N1696">
        <v>0.62</v>
      </c>
      <c r="O1696" t="s">
        <v>33</v>
      </c>
      <c r="P1696" t="s">
        <v>61</v>
      </c>
      <c r="Q1696" t="s">
        <v>324</v>
      </c>
      <c r="R1696" t="s">
        <v>2691</v>
      </c>
      <c r="S1696">
        <v>50265</v>
      </c>
      <c r="T1696" s="1">
        <v>42183</v>
      </c>
      <c r="U1696" s="1">
        <v>42183</v>
      </c>
      <c r="V1696" s="2">
        <v>-103.624</v>
      </c>
      <c r="W1696">
        <v>17</v>
      </c>
      <c r="X1696" s="2">
        <v>1700.38</v>
      </c>
      <c r="Y1696">
        <v>91180</v>
      </c>
      <c r="Z1696">
        <f t="shared" si="26"/>
        <v>28906.460000000003</v>
      </c>
    </row>
    <row r="1697" spans="1:26" x14ac:dyDescent="0.25">
      <c r="A1697">
        <v>20817</v>
      </c>
      <c r="B1697" t="s">
        <v>47</v>
      </c>
      <c r="C1697" s="2">
        <v>0.1</v>
      </c>
      <c r="D1697" s="2">
        <v>5.78</v>
      </c>
      <c r="E1697" s="2">
        <v>7.96</v>
      </c>
      <c r="F1697">
        <v>2987</v>
      </c>
      <c r="G1697" t="s">
        <v>2690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2692</v>
      </c>
      <c r="N1697">
        <v>0.36</v>
      </c>
      <c r="O1697" t="s">
        <v>33</v>
      </c>
      <c r="P1697" t="s">
        <v>61</v>
      </c>
      <c r="Q1697" t="s">
        <v>324</v>
      </c>
      <c r="R1697" t="s">
        <v>2691</v>
      </c>
      <c r="S1697">
        <v>50265</v>
      </c>
      <c r="T1697" s="1">
        <v>42183</v>
      </c>
      <c r="U1697" s="1">
        <v>42183</v>
      </c>
      <c r="V1697" s="2">
        <v>-57.823999999999998</v>
      </c>
      <c r="W1697">
        <v>6</v>
      </c>
      <c r="X1697" s="2">
        <v>35.96</v>
      </c>
      <c r="Y1697">
        <v>91180</v>
      </c>
      <c r="Z1697">
        <f t="shared" si="26"/>
        <v>215.76</v>
      </c>
    </row>
    <row r="1698" spans="1:26" x14ac:dyDescent="0.25">
      <c r="A1698">
        <v>22473</v>
      </c>
      <c r="B1698" t="s">
        <v>106</v>
      </c>
      <c r="C1698" s="2">
        <v>0.05</v>
      </c>
      <c r="D1698" s="2">
        <v>70.97</v>
      </c>
      <c r="E1698" s="2">
        <v>3.5</v>
      </c>
      <c r="F1698">
        <v>2991</v>
      </c>
      <c r="G1698" t="s">
        <v>2693</v>
      </c>
      <c r="H1698" t="s">
        <v>49</v>
      </c>
      <c r="I1698" t="s">
        <v>40</v>
      </c>
      <c r="J1698" t="s">
        <v>29</v>
      </c>
      <c r="K1698" t="s">
        <v>252</v>
      </c>
      <c r="L1698" t="s">
        <v>59</v>
      </c>
      <c r="M1698" t="s">
        <v>664</v>
      </c>
      <c r="N1698">
        <v>0.59</v>
      </c>
      <c r="O1698" t="s">
        <v>33</v>
      </c>
      <c r="P1698" t="s">
        <v>61</v>
      </c>
      <c r="Q1698" t="s">
        <v>1843</v>
      </c>
      <c r="R1698" t="s">
        <v>2694</v>
      </c>
      <c r="S1698">
        <v>53402</v>
      </c>
      <c r="T1698" s="1">
        <v>42132</v>
      </c>
      <c r="U1698" s="1">
        <v>42137</v>
      </c>
      <c r="V1698" s="2">
        <v>18.218</v>
      </c>
      <c r="W1698">
        <v>2</v>
      </c>
      <c r="X1698" s="2">
        <v>141.59</v>
      </c>
      <c r="Y1698">
        <v>91466</v>
      </c>
      <c r="Z1698">
        <f t="shared" si="26"/>
        <v>283.18</v>
      </c>
    </row>
    <row r="1699" spans="1:26" x14ac:dyDescent="0.25">
      <c r="A1699">
        <v>22476</v>
      </c>
      <c r="B1699" t="s">
        <v>106</v>
      </c>
      <c r="C1699" s="2">
        <v>0</v>
      </c>
      <c r="D1699" s="2">
        <v>5.28</v>
      </c>
      <c r="E1699" s="2">
        <v>6.26</v>
      </c>
      <c r="F1699">
        <v>2992</v>
      </c>
      <c r="G1699" t="s">
        <v>2695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1351</v>
      </c>
      <c r="N1699">
        <v>0.4</v>
      </c>
      <c r="O1699" t="s">
        <v>33</v>
      </c>
      <c r="P1699" t="s">
        <v>61</v>
      </c>
      <c r="Q1699" t="s">
        <v>1843</v>
      </c>
      <c r="R1699" t="s">
        <v>2696</v>
      </c>
      <c r="S1699">
        <v>53081</v>
      </c>
      <c r="T1699" s="1">
        <v>42132</v>
      </c>
      <c r="U1699" s="1">
        <v>42139</v>
      </c>
      <c r="V1699" s="2">
        <v>25.058</v>
      </c>
      <c r="W1699">
        <v>36</v>
      </c>
      <c r="X1699" s="2">
        <v>203.05</v>
      </c>
      <c r="Y1699">
        <v>91466</v>
      </c>
      <c r="Z1699">
        <f t="shared" si="26"/>
        <v>7309.8</v>
      </c>
    </row>
    <row r="1700" spans="1:26" x14ac:dyDescent="0.25">
      <c r="A1700">
        <v>20891</v>
      </c>
      <c r="B1700" t="s">
        <v>37</v>
      </c>
      <c r="C1700" s="2">
        <v>0.03</v>
      </c>
      <c r="D1700" s="2">
        <v>10.98</v>
      </c>
      <c r="E1700" s="2">
        <v>3.37</v>
      </c>
      <c r="F1700">
        <v>2999</v>
      </c>
      <c r="G1700" t="s">
        <v>2697</v>
      </c>
      <c r="H1700" t="s">
        <v>49</v>
      </c>
      <c r="I1700" t="s">
        <v>114</v>
      </c>
      <c r="J1700" t="s">
        <v>29</v>
      </c>
      <c r="K1700" t="s">
        <v>171</v>
      </c>
      <c r="L1700" t="s">
        <v>51</v>
      </c>
      <c r="M1700" t="s">
        <v>220</v>
      </c>
      <c r="N1700">
        <v>0.56999999999999995</v>
      </c>
      <c r="O1700" t="s">
        <v>33</v>
      </c>
      <c r="P1700" t="s">
        <v>61</v>
      </c>
      <c r="Q1700" t="s">
        <v>295</v>
      </c>
      <c r="R1700" t="s">
        <v>2698</v>
      </c>
      <c r="S1700">
        <v>48237</v>
      </c>
      <c r="T1700" s="1">
        <v>42104</v>
      </c>
      <c r="U1700" s="1">
        <v>42105</v>
      </c>
      <c r="V1700" s="2">
        <v>11.82</v>
      </c>
      <c r="W1700">
        <v>5</v>
      </c>
      <c r="X1700" s="2">
        <v>56.19</v>
      </c>
      <c r="Y1700">
        <v>87041</v>
      </c>
      <c r="Z1700">
        <f t="shared" si="26"/>
        <v>280.95</v>
      </c>
    </row>
    <row r="1701" spans="1:26" x14ac:dyDescent="0.25">
      <c r="A1701">
        <v>21499</v>
      </c>
      <c r="B1701" t="s">
        <v>106</v>
      </c>
      <c r="C1701" s="2">
        <v>0.01</v>
      </c>
      <c r="D1701" s="2">
        <v>10.14</v>
      </c>
      <c r="E1701" s="2">
        <v>2.27</v>
      </c>
      <c r="F1701">
        <v>3000</v>
      </c>
      <c r="G1701" t="s">
        <v>2699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265</v>
      </c>
      <c r="N1701">
        <v>0.36</v>
      </c>
      <c r="O1701" t="s">
        <v>33</v>
      </c>
      <c r="P1701" t="s">
        <v>61</v>
      </c>
      <c r="Q1701" t="s">
        <v>295</v>
      </c>
      <c r="R1701" t="s">
        <v>2700</v>
      </c>
      <c r="S1701">
        <v>48342</v>
      </c>
      <c r="T1701" s="1">
        <v>42030</v>
      </c>
      <c r="U1701" s="1">
        <v>42032</v>
      </c>
      <c r="V1701" s="2">
        <v>28.152000000000001</v>
      </c>
      <c r="W1701">
        <v>4</v>
      </c>
      <c r="X1701" s="2">
        <v>40.799999999999997</v>
      </c>
      <c r="Y1701">
        <v>87042</v>
      </c>
      <c r="Z1701">
        <f t="shared" si="26"/>
        <v>163.19999999999999</v>
      </c>
    </row>
    <row r="1702" spans="1:26" x14ac:dyDescent="0.25">
      <c r="A1702">
        <v>23836</v>
      </c>
      <c r="B1702" t="s">
        <v>37</v>
      </c>
      <c r="C1702" s="2">
        <v>0.03</v>
      </c>
      <c r="D1702" s="2">
        <v>5.4</v>
      </c>
      <c r="E1702" s="2">
        <v>7.78</v>
      </c>
      <c r="F1702">
        <v>3001</v>
      </c>
      <c r="G1702" t="s">
        <v>2701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305</v>
      </c>
      <c r="N1702">
        <v>0.37</v>
      </c>
      <c r="O1702" t="s">
        <v>33</v>
      </c>
      <c r="P1702" t="s">
        <v>61</v>
      </c>
      <c r="Q1702" t="s">
        <v>295</v>
      </c>
      <c r="R1702" t="s">
        <v>2702</v>
      </c>
      <c r="S1702">
        <v>48060</v>
      </c>
      <c r="T1702" s="1">
        <v>42080</v>
      </c>
      <c r="U1702" s="1">
        <v>42082</v>
      </c>
      <c r="V1702" s="2">
        <v>-237.54400000000001</v>
      </c>
      <c r="W1702">
        <v>21</v>
      </c>
      <c r="X1702" s="2">
        <v>117.87</v>
      </c>
      <c r="Y1702">
        <v>87043</v>
      </c>
      <c r="Z1702">
        <f t="shared" si="26"/>
        <v>2475.27</v>
      </c>
    </row>
    <row r="1703" spans="1:26" x14ac:dyDescent="0.25">
      <c r="A1703">
        <v>25282</v>
      </c>
      <c r="B1703" t="s">
        <v>56</v>
      </c>
      <c r="C1703" s="2">
        <v>0.03</v>
      </c>
      <c r="D1703" s="2">
        <v>85.99</v>
      </c>
      <c r="E1703" s="2">
        <v>0.99</v>
      </c>
      <c r="F1703">
        <v>3003</v>
      </c>
      <c r="G1703" t="s">
        <v>2703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411</v>
      </c>
      <c r="N1703">
        <v>0.55000000000000004</v>
      </c>
      <c r="O1703" t="s">
        <v>33</v>
      </c>
      <c r="P1703" t="s">
        <v>34</v>
      </c>
      <c r="Q1703" t="s">
        <v>1727</v>
      </c>
      <c r="R1703" t="s">
        <v>2704</v>
      </c>
      <c r="S1703">
        <v>83814</v>
      </c>
      <c r="T1703" s="1">
        <v>42068</v>
      </c>
      <c r="U1703" s="1">
        <v>42069</v>
      </c>
      <c r="V1703" s="2">
        <v>1037.1044999999999</v>
      </c>
      <c r="W1703">
        <v>20</v>
      </c>
      <c r="X1703" s="2">
        <v>1503.05</v>
      </c>
      <c r="Y1703">
        <v>91586</v>
      </c>
      <c r="Z1703">
        <f t="shared" si="26"/>
        <v>30061</v>
      </c>
    </row>
    <row r="1704" spans="1:26" x14ac:dyDescent="0.25">
      <c r="A1704">
        <v>7664</v>
      </c>
      <c r="B1704" t="s">
        <v>106</v>
      </c>
      <c r="C1704" s="2">
        <v>0.08</v>
      </c>
      <c r="D1704" s="2">
        <v>6.48</v>
      </c>
      <c r="E1704" s="2">
        <v>6.81</v>
      </c>
      <c r="F1704">
        <v>3004</v>
      </c>
      <c r="G1704" t="s">
        <v>2705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2706</v>
      </c>
      <c r="N1704">
        <v>0.36</v>
      </c>
      <c r="O1704" t="s">
        <v>33</v>
      </c>
      <c r="P1704" t="s">
        <v>34</v>
      </c>
      <c r="Q1704" t="s">
        <v>45</v>
      </c>
      <c r="R1704" t="s">
        <v>655</v>
      </c>
      <c r="S1704">
        <v>90049</v>
      </c>
      <c r="T1704" s="1">
        <v>42045</v>
      </c>
      <c r="U1704" s="1">
        <v>42050</v>
      </c>
      <c r="V1704" s="2">
        <v>-94.59</v>
      </c>
      <c r="W1704">
        <v>58</v>
      </c>
      <c r="X1704" s="2">
        <v>382.33</v>
      </c>
      <c r="Y1704">
        <v>54949</v>
      </c>
      <c r="Z1704">
        <f t="shared" si="26"/>
        <v>22175.14</v>
      </c>
    </row>
    <row r="1705" spans="1:26" x14ac:dyDescent="0.25">
      <c r="A1705">
        <v>7665</v>
      </c>
      <c r="B1705" t="s">
        <v>106</v>
      </c>
      <c r="C1705" s="2">
        <v>0.09</v>
      </c>
      <c r="D1705" s="2">
        <v>20.98</v>
      </c>
      <c r="E1705" s="2">
        <v>53.03</v>
      </c>
      <c r="F1705">
        <v>3004</v>
      </c>
      <c r="G1705" t="s">
        <v>2705</v>
      </c>
      <c r="H1705" t="s">
        <v>39</v>
      </c>
      <c r="I1705" t="s">
        <v>28</v>
      </c>
      <c r="J1705" t="s">
        <v>29</v>
      </c>
      <c r="K1705" t="s">
        <v>139</v>
      </c>
      <c r="L1705" t="s">
        <v>43</v>
      </c>
      <c r="M1705" t="s">
        <v>610</v>
      </c>
      <c r="N1705">
        <v>0.78</v>
      </c>
      <c r="O1705" t="s">
        <v>33</v>
      </c>
      <c r="P1705" t="s">
        <v>34</v>
      </c>
      <c r="Q1705" t="s">
        <v>45</v>
      </c>
      <c r="R1705" t="s">
        <v>655</v>
      </c>
      <c r="S1705">
        <v>90049</v>
      </c>
      <c r="T1705" s="1">
        <v>42045</v>
      </c>
      <c r="U1705" s="1">
        <v>42052</v>
      </c>
      <c r="V1705" s="2">
        <v>-293.74</v>
      </c>
      <c r="W1705">
        <v>13</v>
      </c>
      <c r="X1705" s="2">
        <v>356.61</v>
      </c>
      <c r="Y1705">
        <v>54949</v>
      </c>
      <c r="Z1705">
        <f t="shared" si="26"/>
        <v>4635.93</v>
      </c>
    </row>
    <row r="1706" spans="1:26" x14ac:dyDescent="0.25">
      <c r="A1706">
        <v>23295</v>
      </c>
      <c r="B1706" t="s">
        <v>47</v>
      </c>
      <c r="C1706" s="2">
        <v>0.05</v>
      </c>
      <c r="D1706" s="2">
        <v>122.99</v>
      </c>
      <c r="E1706" s="2">
        <v>19.989999999999998</v>
      </c>
      <c r="F1706">
        <v>3005</v>
      </c>
      <c r="G1706" t="s">
        <v>2707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2225</v>
      </c>
      <c r="N1706">
        <v>0.37</v>
      </c>
      <c r="O1706" t="s">
        <v>33</v>
      </c>
      <c r="P1706" t="s">
        <v>34</v>
      </c>
      <c r="Q1706" t="s">
        <v>1727</v>
      </c>
      <c r="R1706" t="s">
        <v>2704</v>
      </c>
      <c r="S1706">
        <v>83814</v>
      </c>
      <c r="T1706" s="1">
        <v>42163</v>
      </c>
      <c r="U1706" s="1">
        <v>42166</v>
      </c>
      <c r="V1706" s="2">
        <v>1039.7541000000001</v>
      </c>
      <c r="W1706">
        <v>12</v>
      </c>
      <c r="X1706" s="2">
        <v>1506.89</v>
      </c>
      <c r="Y1706">
        <v>91389</v>
      </c>
      <c r="Z1706">
        <f t="shared" si="26"/>
        <v>18082.68</v>
      </c>
    </row>
    <row r="1707" spans="1:26" x14ac:dyDescent="0.25">
      <c r="A1707">
        <v>25664</v>
      </c>
      <c r="B1707" t="s">
        <v>106</v>
      </c>
      <c r="C1707" s="2">
        <v>0.08</v>
      </c>
      <c r="D1707" s="2">
        <v>6.48</v>
      </c>
      <c r="E1707" s="2">
        <v>6.81</v>
      </c>
      <c r="F1707">
        <v>3006</v>
      </c>
      <c r="G1707" t="s">
        <v>2708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2706</v>
      </c>
      <c r="N1707">
        <v>0.36</v>
      </c>
      <c r="O1707" t="s">
        <v>33</v>
      </c>
      <c r="P1707" t="s">
        <v>34</v>
      </c>
      <c r="Q1707" t="s">
        <v>1727</v>
      </c>
      <c r="R1707" t="s">
        <v>2709</v>
      </c>
      <c r="S1707">
        <v>83402</v>
      </c>
      <c r="T1707" s="1">
        <v>42045</v>
      </c>
      <c r="U1707" s="1">
        <v>42050</v>
      </c>
      <c r="V1707" s="2">
        <v>-49.186799999999998</v>
      </c>
      <c r="W1707">
        <v>14</v>
      </c>
      <c r="X1707" s="2">
        <v>92.29</v>
      </c>
      <c r="Y1707">
        <v>91388</v>
      </c>
      <c r="Z1707">
        <f t="shared" si="26"/>
        <v>1292.0600000000002</v>
      </c>
    </row>
    <row r="1708" spans="1:26" x14ac:dyDescent="0.25">
      <c r="A1708">
        <v>25665</v>
      </c>
      <c r="B1708" t="s">
        <v>106</v>
      </c>
      <c r="C1708" s="2">
        <v>0.09</v>
      </c>
      <c r="D1708" s="2">
        <v>20.98</v>
      </c>
      <c r="E1708" s="2">
        <v>53.03</v>
      </c>
      <c r="F1708">
        <v>3006</v>
      </c>
      <c r="G1708" t="s">
        <v>2708</v>
      </c>
      <c r="H1708" t="s">
        <v>39</v>
      </c>
      <c r="I1708" t="s">
        <v>28</v>
      </c>
      <c r="J1708" t="s">
        <v>29</v>
      </c>
      <c r="K1708" t="s">
        <v>139</v>
      </c>
      <c r="L1708" t="s">
        <v>43</v>
      </c>
      <c r="M1708" t="s">
        <v>610</v>
      </c>
      <c r="N1708">
        <v>0.78</v>
      </c>
      <c r="O1708" t="s">
        <v>33</v>
      </c>
      <c r="P1708" t="s">
        <v>34</v>
      </c>
      <c r="Q1708" t="s">
        <v>1727</v>
      </c>
      <c r="R1708" t="s">
        <v>2709</v>
      </c>
      <c r="S1708">
        <v>83402</v>
      </c>
      <c r="T1708" s="1">
        <v>42045</v>
      </c>
      <c r="U1708" s="1">
        <v>42052</v>
      </c>
      <c r="V1708" s="2">
        <v>-152.7448</v>
      </c>
      <c r="W1708">
        <v>3</v>
      </c>
      <c r="X1708" s="2">
        <v>82.29</v>
      </c>
      <c r="Y1708">
        <v>91388</v>
      </c>
      <c r="Z1708">
        <f t="shared" si="26"/>
        <v>246.87</v>
      </c>
    </row>
    <row r="1709" spans="1:26" x14ac:dyDescent="0.25">
      <c r="A1709">
        <v>23627</v>
      </c>
      <c r="B1709" t="s">
        <v>47</v>
      </c>
      <c r="C1709" s="2">
        <v>0.05</v>
      </c>
      <c r="D1709" s="2">
        <v>9.99</v>
      </c>
      <c r="E1709" s="2">
        <v>4.78</v>
      </c>
      <c r="F1709">
        <v>3008</v>
      </c>
      <c r="G1709" t="s">
        <v>2710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1796</v>
      </c>
      <c r="N1709">
        <v>0.4</v>
      </c>
      <c r="O1709" t="s">
        <v>33</v>
      </c>
      <c r="P1709" t="s">
        <v>61</v>
      </c>
      <c r="Q1709" t="s">
        <v>62</v>
      </c>
      <c r="R1709" t="s">
        <v>2711</v>
      </c>
      <c r="S1709">
        <v>55343</v>
      </c>
      <c r="T1709" s="1">
        <v>42069</v>
      </c>
      <c r="U1709" s="1">
        <v>42070</v>
      </c>
      <c r="V1709" s="2">
        <v>41.3</v>
      </c>
      <c r="W1709">
        <v>20</v>
      </c>
      <c r="X1709" s="2">
        <v>203.37</v>
      </c>
      <c r="Y1709">
        <v>89414</v>
      </c>
      <c r="Z1709">
        <f t="shared" si="26"/>
        <v>4067.4</v>
      </c>
    </row>
    <row r="1710" spans="1:26" x14ac:dyDescent="0.25">
      <c r="A1710">
        <v>24908</v>
      </c>
      <c r="B1710" t="s">
        <v>25</v>
      </c>
      <c r="C1710" s="2">
        <v>0.01</v>
      </c>
      <c r="D1710" s="2">
        <v>12.28</v>
      </c>
      <c r="E1710" s="2">
        <v>6.47</v>
      </c>
      <c r="F1710">
        <v>3008</v>
      </c>
      <c r="G1710" t="s">
        <v>2710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2712</v>
      </c>
      <c r="N1710">
        <v>0.38</v>
      </c>
      <c r="O1710" t="s">
        <v>33</v>
      </c>
      <c r="P1710" t="s">
        <v>61</v>
      </c>
      <c r="Q1710" t="s">
        <v>62</v>
      </c>
      <c r="R1710" t="s">
        <v>2711</v>
      </c>
      <c r="S1710">
        <v>55343</v>
      </c>
      <c r="T1710" s="1">
        <v>42166</v>
      </c>
      <c r="U1710" s="1">
        <v>42167</v>
      </c>
      <c r="V1710" s="2">
        <v>47.61</v>
      </c>
      <c r="W1710">
        <v>12</v>
      </c>
      <c r="X1710" s="2">
        <v>160.66</v>
      </c>
      <c r="Y1710">
        <v>89415</v>
      </c>
      <c r="Z1710">
        <f t="shared" si="26"/>
        <v>1927.92</v>
      </c>
    </row>
    <row r="1711" spans="1:26" x14ac:dyDescent="0.25">
      <c r="A1711">
        <v>7898</v>
      </c>
      <c r="B1711" t="s">
        <v>47</v>
      </c>
      <c r="C1711" s="2">
        <v>0.03</v>
      </c>
      <c r="D1711" s="2">
        <v>5.98</v>
      </c>
      <c r="E1711" s="2">
        <v>5.35</v>
      </c>
      <c r="F1711">
        <v>3011</v>
      </c>
      <c r="G1711" t="s">
        <v>2713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1424</v>
      </c>
      <c r="N1711">
        <v>0.4</v>
      </c>
      <c r="O1711" t="s">
        <v>33</v>
      </c>
      <c r="P1711" t="s">
        <v>53</v>
      </c>
      <c r="Q1711" t="s">
        <v>189</v>
      </c>
      <c r="R1711" t="s">
        <v>190</v>
      </c>
      <c r="S1711">
        <v>2113</v>
      </c>
      <c r="T1711" s="1">
        <v>42152</v>
      </c>
      <c r="U1711" s="1">
        <v>42153</v>
      </c>
      <c r="V1711" s="2">
        <v>-23.5</v>
      </c>
      <c r="W1711">
        <v>16</v>
      </c>
      <c r="X1711" s="2">
        <v>107.08</v>
      </c>
      <c r="Y1711">
        <v>56486</v>
      </c>
      <c r="Z1711">
        <f t="shared" si="26"/>
        <v>1713.28</v>
      </c>
    </row>
    <row r="1712" spans="1:26" x14ac:dyDescent="0.25">
      <c r="A1712">
        <v>1041</v>
      </c>
      <c r="B1712" t="s">
        <v>47</v>
      </c>
      <c r="C1712" s="2">
        <v>0.03</v>
      </c>
      <c r="D1712" s="2">
        <v>300.64999999999998</v>
      </c>
      <c r="E1712" s="2">
        <v>24.49</v>
      </c>
      <c r="F1712">
        <v>3011</v>
      </c>
      <c r="G1712" t="s">
        <v>2713</v>
      </c>
      <c r="H1712" t="s">
        <v>49</v>
      </c>
      <c r="I1712" t="s">
        <v>28</v>
      </c>
      <c r="J1712" t="s">
        <v>29</v>
      </c>
      <c r="K1712" t="s">
        <v>252</v>
      </c>
      <c r="L1712" t="s">
        <v>231</v>
      </c>
      <c r="M1712" t="s">
        <v>2714</v>
      </c>
      <c r="N1712">
        <v>0.52</v>
      </c>
      <c r="O1712" t="s">
        <v>33</v>
      </c>
      <c r="P1712" t="s">
        <v>53</v>
      </c>
      <c r="Q1712" t="s">
        <v>189</v>
      </c>
      <c r="R1712" t="s">
        <v>190</v>
      </c>
      <c r="S1712">
        <v>2113</v>
      </c>
      <c r="T1712" s="1">
        <v>42122</v>
      </c>
      <c r="U1712" s="1">
        <v>42124</v>
      </c>
      <c r="V1712" s="2">
        <v>1282.4960000000001</v>
      </c>
      <c r="W1712">
        <v>32</v>
      </c>
      <c r="X1712" s="2">
        <v>9705.4599999999991</v>
      </c>
      <c r="Y1712">
        <v>7623</v>
      </c>
      <c r="Z1712">
        <f t="shared" si="26"/>
        <v>310574.71999999997</v>
      </c>
    </row>
    <row r="1713" spans="1:26" x14ac:dyDescent="0.25">
      <c r="A1713">
        <v>1042</v>
      </c>
      <c r="B1713" t="s">
        <v>47</v>
      </c>
      <c r="C1713" s="2">
        <v>0.06</v>
      </c>
      <c r="D1713" s="2">
        <v>49.99</v>
      </c>
      <c r="E1713" s="2">
        <v>19.989999999999998</v>
      </c>
      <c r="F1713">
        <v>3011</v>
      </c>
      <c r="G1713" t="s">
        <v>2713</v>
      </c>
      <c r="H1713" t="s">
        <v>49</v>
      </c>
      <c r="I1713" t="s">
        <v>28</v>
      </c>
      <c r="J1713" t="s">
        <v>77</v>
      </c>
      <c r="K1713" t="s">
        <v>177</v>
      </c>
      <c r="L1713" t="s">
        <v>59</v>
      </c>
      <c r="M1713" t="s">
        <v>1717</v>
      </c>
      <c r="N1713">
        <v>0.45</v>
      </c>
      <c r="O1713" t="s">
        <v>33</v>
      </c>
      <c r="P1713" t="s">
        <v>53</v>
      </c>
      <c r="Q1713" t="s">
        <v>189</v>
      </c>
      <c r="R1713" t="s">
        <v>190</v>
      </c>
      <c r="S1713">
        <v>2113</v>
      </c>
      <c r="T1713" s="1">
        <v>42122</v>
      </c>
      <c r="U1713" s="1">
        <v>42124</v>
      </c>
      <c r="V1713" s="2">
        <v>17.2</v>
      </c>
      <c r="W1713">
        <v>67</v>
      </c>
      <c r="X1713" s="2">
        <v>3247.54</v>
      </c>
      <c r="Y1713">
        <v>7623</v>
      </c>
      <c r="Z1713">
        <f t="shared" si="26"/>
        <v>217585.18</v>
      </c>
    </row>
    <row r="1714" spans="1:26" x14ac:dyDescent="0.25">
      <c r="A1714">
        <v>1043</v>
      </c>
      <c r="B1714" t="s">
        <v>47</v>
      </c>
      <c r="C1714" s="2">
        <v>0.1</v>
      </c>
      <c r="D1714" s="2">
        <v>104.85</v>
      </c>
      <c r="E1714" s="2">
        <v>4.6500000000000004</v>
      </c>
      <c r="F1714">
        <v>3011</v>
      </c>
      <c r="G1714" t="s">
        <v>2713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2715</v>
      </c>
      <c r="N1714">
        <v>0.37</v>
      </c>
      <c r="O1714" t="s">
        <v>33</v>
      </c>
      <c r="P1714" t="s">
        <v>53</v>
      </c>
      <c r="Q1714" t="s">
        <v>189</v>
      </c>
      <c r="R1714" t="s">
        <v>190</v>
      </c>
      <c r="S1714">
        <v>2113</v>
      </c>
      <c r="T1714" s="1">
        <v>42122</v>
      </c>
      <c r="U1714" s="1">
        <v>42123</v>
      </c>
      <c r="V1714" s="2">
        <v>1184.1199999999999</v>
      </c>
      <c r="W1714">
        <v>58</v>
      </c>
      <c r="X1714" s="2">
        <v>5582.63</v>
      </c>
      <c r="Y1714">
        <v>7623</v>
      </c>
      <c r="Z1714">
        <f t="shared" si="26"/>
        <v>323792.53999999998</v>
      </c>
    </row>
    <row r="1715" spans="1:26" x14ac:dyDescent="0.25">
      <c r="A1715">
        <v>19041</v>
      </c>
      <c r="B1715" t="s">
        <v>47</v>
      </c>
      <c r="C1715" s="2">
        <v>0.03</v>
      </c>
      <c r="D1715" s="2">
        <v>300.64999999999998</v>
      </c>
      <c r="E1715" s="2">
        <v>24.49</v>
      </c>
      <c r="F1715">
        <v>3012</v>
      </c>
      <c r="G1715" t="s">
        <v>2716</v>
      </c>
      <c r="H1715" t="s">
        <v>49</v>
      </c>
      <c r="I1715" t="s">
        <v>28</v>
      </c>
      <c r="J1715" t="s">
        <v>29</v>
      </c>
      <c r="K1715" t="s">
        <v>252</v>
      </c>
      <c r="L1715" t="s">
        <v>231</v>
      </c>
      <c r="M1715" t="s">
        <v>2714</v>
      </c>
      <c r="N1715">
        <v>0.52</v>
      </c>
      <c r="O1715" t="s">
        <v>33</v>
      </c>
      <c r="P1715" t="s">
        <v>53</v>
      </c>
      <c r="Q1715" t="s">
        <v>71</v>
      </c>
      <c r="R1715" t="s">
        <v>2717</v>
      </c>
      <c r="S1715">
        <v>14609</v>
      </c>
      <c r="T1715" s="1">
        <v>42122</v>
      </c>
      <c r="U1715" s="1">
        <v>42124</v>
      </c>
      <c r="V1715" s="2">
        <v>1474.8704</v>
      </c>
      <c r="W1715">
        <v>8</v>
      </c>
      <c r="X1715" s="2">
        <v>2426.36</v>
      </c>
      <c r="Y1715">
        <v>86346</v>
      </c>
      <c r="Z1715">
        <f t="shared" si="26"/>
        <v>19410.88</v>
      </c>
    </row>
    <row r="1716" spans="1:26" x14ac:dyDescent="0.25">
      <c r="A1716">
        <v>19042</v>
      </c>
      <c r="B1716" t="s">
        <v>47</v>
      </c>
      <c r="C1716" s="2">
        <v>0.06</v>
      </c>
      <c r="D1716" s="2">
        <v>49.99</v>
      </c>
      <c r="E1716" s="2">
        <v>19.989999999999998</v>
      </c>
      <c r="F1716">
        <v>3012</v>
      </c>
      <c r="G1716" t="s">
        <v>2716</v>
      </c>
      <c r="H1716" t="s">
        <v>49</v>
      </c>
      <c r="I1716" t="s">
        <v>28</v>
      </c>
      <c r="J1716" t="s">
        <v>77</v>
      </c>
      <c r="K1716" t="s">
        <v>177</v>
      </c>
      <c r="L1716" t="s">
        <v>59</v>
      </c>
      <c r="M1716" t="s">
        <v>1717</v>
      </c>
      <c r="N1716">
        <v>0.45</v>
      </c>
      <c r="O1716" t="s">
        <v>33</v>
      </c>
      <c r="P1716" t="s">
        <v>53</v>
      </c>
      <c r="Q1716" t="s">
        <v>71</v>
      </c>
      <c r="R1716" t="s">
        <v>2717</v>
      </c>
      <c r="S1716">
        <v>14609</v>
      </c>
      <c r="T1716" s="1">
        <v>42122</v>
      </c>
      <c r="U1716" s="1">
        <v>42124</v>
      </c>
      <c r="V1716" s="2">
        <v>19.78</v>
      </c>
      <c r="W1716">
        <v>17</v>
      </c>
      <c r="X1716" s="2">
        <v>824</v>
      </c>
      <c r="Y1716">
        <v>86346</v>
      </c>
      <c r="Z1716">
        <f t="shared" si="26"/>
        <v>14008</v>
      </c>
    </row>
    <row r="1717" spans="1:26" x14ac:dyDescent="0.25">
      <c r="A1717">
        <v>19043</v>
      </c>
      <c r="B1717" t="s">
        <v>47</v>
      </c>
      <c r="C1717" s="2">
        <v>0.1</v>
      </c>
      <c r="D1717" s="2">
        <v>104.85</v>
      </c>
      <c r="E1717" s="2">
        <v>4.6500000000000004</v>
      </c>
      <c r="F1717">
        <v>3012</v>
      </c>
      <c r="G1717" t="s">
        <v>2716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2715</v>
      </c>
      <c r="N1717">
        <v>0.37</v>
      </c>
      <c r="O1717" t="s">
        <v>33</v>
      </c>
      <c r="P1717" t="s">
        <v>53</v>
      </c>
      <c r="Q1717" t="s">
        <v>71</v>
      </c>
      <c r="R1717" t="s">
        <v>2717</v>
      </c>
      <c r="S1717">
        <v>14609</v>
      </c>
      <c r="T1717" s="1">
        <v>42122</v>
      </c>
      <c r="U1717" s="1">
        <v>42123</v>
      </c>
      <c r="V1717" s="2">
        <v>929.79570000000001</v>
      </c>
      <c r="W1717">
        <v>14</v>
      </c>
      <c r="X1717" s="2">
        <v>1347.53</v>
      </c>
      <c r="Y1717">
        <v>86346</v>
      </c>
      <c r="Z1717">
        <f t="shared" si="26"/>
        <v>18865.419999999998</v>
      </c>
    </row>
    <row r="1718" spans="1:26" x14ac:dyDescent="0.25">
      <c r="A1718">
        <v>22064</v>
      </c>
      <c r="B1718" t="s">
        <v>47</v>
      </c>
      <c r="C1718" s="2">
        <v>0.01</v>
      </c>
      <c r="D1718" s="2">
        <v>5.58</v>
      </c>
      <c r="E1718" s="2">
        <v>5.3</v>
      </c>
      <c r="F1718">
        <v>3017</v>
      </c>
      <c r="G1718" t="s">
        <v>2718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371</v>
      </c>
      <c r="N1718">
        <v>0.35</v>
      </c>
      <c r="O1718" t="s">
        <v>33</v>
      </c>
      <c r="P1718" t="s">
        <v>34</v>
      </c>
      <c r="Q1718" t="s">
        <v>45</v>
      </c>
      <c r="R1718" t="s">
        <v>2719</v>
      </c>
      <c r="S1718">
        <v>92024</v>
      </c>
      <c r="T1718" s="1">
        <v>42013</v>
      </c>
      <c r="U1718" s="1">
        <v>42014</v>
      </c>
      <c r="V1718" s="2">
        <v>-7.25</v>
      </c>
      <c r="W1718">
        <v>1</v>
      </c>
      <c r="X1718" s="2">
        <v>11.16</v>
      </c>
      <c r="Y1718">
        <v>89071</v>
      </c>
      <c r="Z1718">
        <f t="shared" si="26"/>
        <v>11.16</v>
      </c>
    </row>
    <row r="1719" spans="1:26" x14ac:dyDescent="0.25">
      <c r="A1719">
        <v>22065</v>
      </c>
      <c r="B1719" t="s">
        <v>47</v>
      </c>
      <c r="C1719" s="2">
        <v>0.03</v>
      </c>
      <c r="D1719" s="2">
        <v>3.98</v>
      </c>
      <c r="E1719" s="2">
        <v>0.7</v>
      </c>
      <c r="F1719">
        <v>3017</v>
      </c>
      <c r="G1719" t="s">
        <v>2718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2720</v>
      </c>
      <c r="N1719">
        <v>0.52</v>
      </c>
      <c r="O1719" t="s">
        <v>33</v>
      </c>
      <c r="P1719" t="s">
        <v>34</v>
      </c>
      <c r="Q1719" t="s">
        <v>45</v>
      </c>
      <c r="R1719" t="s">
        <v>2719</v>
      </c>
      <c r="S1719">
        <v>92024</v>
      </c>
      <c r="T1719" s="1">
        <v>42013</v>
      </c>
      <c r="U1719" s="1">
        <v>42014</v>
      </c>
      <c r="V1719" s="2">
        <v>31.201799999999999</v>
      </c>
      <c r="W1719">
        <v>11</v>
      </c>
      <c r="X1719" s="2">
        <v>45.22</v>
      </c>
      <c r="Y1719">
        <v>89071</v>
      </c>
      <c r="Z1719">
        <f t="shared" si="26"/>
        <v>497.41999999999996</v>
      </c>
    </row>
    <row r="1720" spans="1:26" x14ac:dyDescent="0.25">
      <c r="A1720">
        <v>18950</v>
      </c>
      <c r="B1720" t="s">
        <v>106</v>
      </c>
      <c r="C1720" s="2">
        <v>0.01</v>
      </c>
      <c r="D1720" s="2">
        <v>4.9800000000000004</v>
      </c>
      <c r="E1720" s="2">
        <v>4.75</v>
      </c>
      <c r="F1720">
        <v>3035</v>
      </c>
      <c r="G1720" t="s">
        <v>2721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2722</v>
      </c>
      <c r="N1720">
        <v>0.36</v>
      </c>
      <c r="O1720" t="s">
        <v>33</v>
      </c>
      <c r="P1720" t="s">
        <v>61</v>
      </c>
      <c r="Q1720" t="s">
        <v>175</v>
      </c>
      <c r="R1720" t="s">
        <v>2723</v>
      </c>
      <c r="S1720">
        <v>60148</v>
      </c>
      <c r="T1720" s="1">
        <v>42019</v>
      </c>
      <c r="U1720" s="1">
        <v>42024</v>
      </c>
      <c r="V1720" s="2">
        <v>-75.900400000000005</v>
      </c>
      <c r="W1720">
        <v>10</v>
      </c>
      <c r="X1720" s="2">
        <v>52.93</v>
      </c>
      <c r="Y1720">
        <v>89128</v>
      </c>
      <c r="Z1720">
        <f t="shared" si="26"/>
        <v>529.29999999999995</v>
      </c>
    </row>
    <row r="1721" spans="1:26" x14ac:dyDescent="0.25">
      <c r="A1721">
        <v>18951</v>
      </c>
      <c r="B1721" t="s">
        <v>106</v>
      </c>
      <c r="C1721" s="2">
        <v>0.04</v>
      </c>
      <c r="D1721" s="2">
        <v>6.35</v>
      </c>
      <c r="E1721" s="2">
        <v>1.02</v>
      </c>
      <c r="F1721">
        <v>3035</v>
      </c>
      <c r="G1721" t="s">
        <v>2721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878</v>
      </c>
      <c r="N1721">
        <v>0.39</v>
      </c>
      <c r="O1721" t="s">
        <v>33</v>
      </c>
      <c r="P1721" t="s">
        <v>61</v>
      </c>
      <c r="Q1721" t="s">
        <v>175</v>
      </c>
      <c r="R1721" t="s">
        <v>2723</v>
      </c>
      <c r="S1721">
        <v>60148</v>
      </c>
      <c r="T1721" s="1">
        <v>42019</v>
      </c>
      <c r="U1721" s="1">
        <v>42024</v>
      </c>
      <c r="V1721" s="2">
        <v>52.170900000000003</v>
      </c>
      <c r="W1721">
        <v>12</v>
      </c>
      <c r="X1721" s="2">
        <v>75.61</v>
      </c>
      <c r="Y1721">
        <v>89128</v>
      </c>
      <c r="Z1721">
        <f t="shared" si="26"/>
        <v>907.31999999999994</v>
      </c>
    </row>
    <row r="1722" spans="1:26" x14ac:dyDescent="0.25">
      <c r="A1722">
        <v>19849</v>
      </c>
      <c r="B1722" t="s">
        <v>37</v>
      </c>
      <c r="C1722" s="2">
        <v>0.02</v>
      </c>
      <c r="D1722" s="2">
        <v>12.99</v>
      </c>
      <c r="E1722" s="2">
        <v>14.37</v>
      </c>
      <c r="F1722">
        <v>3036</v>
      </c>
      <c r="G1722" t="s">
        <v>2724</v>
      </c>
      <c r="H1722" t="s">
        <v>49</v>
      </c>
      <c r="I1722" t="s">
        <v>40</v>
      </c>
      <c r="J1722" t="s">
        <v>41</v>
      </c>
      <c r="K1722" t="s">
        <v>50</v>
      </c>
      <c r="L1722" t="s">
        <v>231</v>
      </c>
      <c r="M1722" t="s">
        <v>561</v>
      </c>
      <c r="N1722">
        <v>0.73</v>
      </c>
      <c r="O1722" t="s">
        <v>33</v>
      </c>
      <c r="P1722" t="s">
        <v>61</v>
      </c>
      <c r="Q1722" t="s">
        <v>2639</v>
      </c>
      <c r="R1722" t="s">
        <v>2725</v>
      </c>
      <c r="S1722">
        <v>58554</v>
      </c>
      <c r="T1722" s="1">
        <v>42020</v>
      </c>
      <c r="U1722" s="1">
        <v>42022</v>
      </c>
      <c r="V1722" s="2">
        <v>-159.86000000000001</v>
      </c>
      <c r="W1722">
        <v>5</v>
      </c>
      <c r="X1722" s="2">
        <v>67.64</v>
      </c>
      <c r="Y1722">
        <v>89129</v>
      </c>
      <c r="Z1722">
        <f t="shared" si="26"/>
        <v>338.2</v>
      </c>
    </row>
    <row r="1723" spans="1:26" x14ac:dyDescent="0.25">
      <c r="A1723">
        <v>19850</v>
      </c>
      <c r="B1723" t="s">
        <v>37</v>
      </c>
      <c r="C1723" s="2">
        <v>0.05</v>
      </c>
      <c r="D1723" s="2">
        <v>35.44</v>
      </c>
      <c r="E1723" s="2">
        <v>7.5</v>
      </c>
      <c r="F1723">
        <v>3036</v>
      </c>
      <c r="G1723" t="s">
        <v>2724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2726</v>
      </c>
      <c r="N1723">
        <v>0.38</v>
      </c>
      <c r="O1723" t="s">
        <v>33</v>
      </c>
      <c r="P1723" t="s">
        <v>61</v>
      </c>
      <c r="Q1723" t="s">
        <v>2639</v>
      </c>
      <c r="R1723" t="s">
        <v>2725</v>
      </c>
      <c r="S1723">
        <v>58554</v>
      </c>
      <c r="T1723" s="1">
        <v>42020</v>
      </c>
      <c r="U1723" s="1">
        <v>42022</v>
      </c>
      <c r="V1723" s="2">
        <v>165.88980000000001</v>
      </c>
      <c r="W1723">
        <v>7</v>
      </c>
      <c r="X1723" s="2">
        <v>240.42</v>
      </c>
      <c r="Y1723">
        <v>89129</v>
      </c>
      <c r="Z1723">
        <f t="shared" si="26"/>
        <v>1682.9399999999998</v>
      </c>
    </row>
    <row r="1724" spans="1:26" x14ac:dyDescent="0.25">
      <c r="A1724">
        <v>19851</v>
      </c>
      <c r="B1724" t="s">
        <v>37</v>
      </c>
      <c r="C1724" s="2">
        <v>0.02</v>
      </c>
      <c r="D1724" s="2">
        <v>12.98</v>
      </c>
      <c r="E1724" s="2">
        <v>3.14</v>
      </c>
      <c r="F1724">
        <v>3036</v>
      </c>
      <c r="G1724" t="s">
        <v>2724</v>
      </c>
      <c r="H1724" t="s">
        <v>49</v>
      </c>
      <c r="I1724" t="s">
        <v>40</v>
      </c>
      <c r="J1724" t="s">
        <v>29</v>
      </c>
      <c r="K1724" t="s">
        <v>171</v>
      </c>
      <c r="L1724" t="s">
        <v>51</v>
      </c>
      <c r="M1724" t="s">
        <v>172</v>
      </c>
      <c r="N1724">
        <v>0.6</v>
      </c>
      <c r="O1724" t="s">
        <v>33</v>
      </c>
      <c r="P1724" t="s">
        <v>61</v>
      </c>
      <c r="Q1724" t="s">
        <v>2639</v>
      </c>
      <c r="R1724" t="s">
        <v>2725</v>
      </c>
      <c r="S1724">
        <v>58554</v>
      </c>
      <c r="T1724" s="1">
        <v>42020</v>
      </c>
      <c r="U1724" s="1">
        <v>42023</v>
      </c>
      <c r="V1724" s="2">
        <v>75.010000000000005</v>
      </c>
      <c r="W1724">
        <v>14</v>
      </c>
      <c r="X1724" s="2">
        <v>184.4</v>
      </c>
      <c r="Y1724">
        <v>89129</v>
      </c>
      <c r="Z1724">
        <f t="shared" si="26"/>
        <v>2581.6</v>
      </c>
    </row>
    <row r="1725" spans="1:26" x14ac:dyDescent="0.25">
      <c r="A1725">
        <v>22201</v>
      </c>
      <c r="B1725" t="s">
        <v>47</v>
      </c>
      <c r="C1725" s="2">
        <v>0.08</v>
      </c>
      <c r="D1725" s="2">
        <v>178.47</v>
      </c>
      <c r="E1725" s="2">
        <v>19.989999999999998</v>
      </c>
      <c r="F1725">
        <v>3036</v>
      </c>
      <c r="G1725" t="s">
        <v>2724</v>
      </c>
      <c r="H1725" t="s">
        <v>49</v>
      </c>
      <c r="I1725" t="s">
        <v>40</v>
      </c>
      <c r="J1725" t="s">
        <v>29</v>
      </c>
      <c r="K1725" t="s">
        <v>139</v>
      </c>
      <c r="L1725" t="s">
        <v>59</v>
      </c>
      <c r="M1725" t="s">
        <v>521</v>
      </c>
      <c r="N1725">
        <v>0.55000000000000004</v>
      </c>
      <c r="O1725" t="s">
        <v>33</v>
      </c>
      <c r="P1725" t="s">
        <v>61</v>
      </c>
      <c r="Q1725" t="s">
        <v>2639</v>
      </c>
      <c r="R1725" t="s">
        <v>2725</v>
      </c>
      <c r="S1725">
        <v>58554</v>
      </c>
      <c r="T1725" s="1">
        <v>42076</v>
      </c>
      <c r="U1725" s="1">
        <v>42079</v>
      </c>
      <c r="V1725" s="2">
        <v>2267.2199999999998</v>
      </c>
      <c r="W1725">
        <v>22</v>
      </c>
      <c r="X1725" s="2">
        <v>3802.01</v>
      </c>
      <c r="Y1725">
        <v>89130</v>
      </c>
      <c r="Z1725">
        <f t="shared" si="26"/>
        <v>83644.22</v>
      </c>
    </row>
    <row r="1726" spans="1:26" x14ac:dyDescent="0.25">
      <c r="A1726">
        <v>19381</v>
      </c>
      <c r="B1726" t="s">
        <v>37</v>
      </c>
      <c r="C1726" s="2">
        <v>0.08</v>
      </c>
      <c r="D1726" s="2">
        <v>73.98</v>
      </c>
      <c r="E1726" s="2">
        <v>4</v>
      </c>
      <c r="F1726">
        <v>3041</v>
      </c>
      <c r="G1726" t="s">
        <v>2727</v>
      </c>
      <c r="H1726" t="s">
        <v>49</v>
      </c>
      <c r="I1726" t="s">
        <v>28</v>
      </c>
      <c r="J1726" t="s">
        <v>77</v>
      </c>
      <c r="K1726" t="s">
        <v>177</v>
      </c>
      <c r="L1726" t="s">
        <v>59</v>
      </c>
      <c r="M1726" t="s">
        <v>366</v>
      </c>
      <c r="N1726">
        <v>0.77</v>
      </c>
      <c r="O1726" t="s">
        <v>33</v>
      </c>
      <c r="P1726" t="s">
        <v>61</v>
      </c>
      <c r="Q1726" t="s">
        <v>180</v>
      </c>
      <c r="R1726" t="s">
        <v>1985</v>
      </c>
      <c r="S1726">
        <v>67846</v>
      </c>
      <c r="T1726" s="1">
        <v>42139</v>
      </c>
      <c r="U1726" s="1">
        <v>42142</v>
      </c>
      <c r="V1726" s="2">
        <v>97.16</v>
      </c>
      <c r="W1726">
        <v>17</v>
      </c>
      <c r="X1726" s="2">
        <v>1181.67</v>
      </c>
      <c r="Y1726">
        <v>86102</v>
      </c>
      <c r="Z1726">
        <f t="shared" si="26"/>
        <v>20088.39</v>
      </c>
    </row>
    <row r="1727" spans="1:26" x14ac:dyDescent="0.25">
      <c r="A1727">
        <v>19382</v>
      </c>
      <c r="B1727" t="s">
        <v>37</v>
      </c>
      <c r="C1727" s="2">
        <v>0.02</v>
      </c>
      <c r="D1727" s="2">
        <v>3.68</v>
      </c>
      <c r="E1727" s="2">
        <v>1.32</v>
      </c>
      <c r="F1727">
        <v>3041</v>
      </c>
      <c r="G1727" t="s">
        <v>2727</v>
      </c>
      <c r="H1727" t="s">
        <v>49</v>
      </c>
      <c r="I1727" t="s">
        <v>28</v>
      </c>
      <c r="J1727" t="s">
        <v>29</v>
      </c>
      <c r="K1727" t="s">
        <v>171</v>
      </c>
      <c r="L1727" t="s">
        <v>31</v>
      </c>
      <c r="M1727" t="s">
        <v>830</v>
      </c>
      <c r="N1727">
        <v>0.83</v>
      </c>
      <c r="O1727" t="s">
        <v>33</v>
      </c>
      <c r="P1727" t="s">
        <v>61</v>
      </c>
      <c r="Q1727" t="s">
        <v>180</v>
      </c>
      <c r="R1727" t="s">
        <v>1985</v>
      </c>
      <c r="S1727">
        <v>67846</v>
      </c>
      <c r="T1727" s="1">
        <v>42139</v>
      </c>
      <c r="U1727" s="1">
        <v>42141</v>
      </c>
      <c r="V1727" s="2">
        <v>-20.65</v>
      </c>
      <c r="W1727">
        <v>8</v>
      </c>
      <c r="X1727" s="2">
        <v>29.93</v>
      </c>
      <c r="Y1727">
        <v>86102</v>
      </c>
      <c r="Z1727">
        <f t="shared" si="26"/>
        <v>239.44</v>
      </c>
    </row>
    <row r="1728" spans="1:26" x14ac:dyDescent="0.25">
      <c r="A1728">
        <v>20049</v>
      </c>
      <c r="B1728" t="s">
        <v>56</v>
      </c>
      <c r="C1728" s="2">
        <v>7.0000000000000007E-2</v>
      </c>
      <c r="D1728" s="2">
        <v>14.48</v>
      </c>
      <c r="E1728" s="2">
        <v>6.46</v>
      </c>
      <c r="F1728">
        <v>3042</v>
      </c>
      <c r="G1728" t="s">
        <v>2728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2729</v>
      </c>
      <c r="N1728">
        <v>0.38</v>
      </c>
      <c r="O1728" t="s">
        <v>33</v>
      </c>
      <c r="P1728" t="s">
        <v>61</v>
      </c>
      <c r="Q1728" t="s">
        <v>180</v>
      </c>
      <c r="R1728" t="s">
        <v>2730</v>
      </c>
      <c r="S1728">
        <v>67501</v>
      </c>
      <c r="T1728" s="1">
        <v>42039</v>
      </c>
      <c r="U1728" s="1">
        <v>42040</v>
      </c>
      <c r="V1728" s="2">
        <v>67.864000000000004</v>
      </c>
      <c r="W1728">
        <v>12</v>
      </c>
      <c r="X1728" s="2">
        <v>171.33</v>
      </c>
      <c r="Y1728">
        <v>86101</v>
      </c>
      <c r="Z1728">
        <f t="shared" si="26"/>
        <v>2055.96</v>
      </c>
    </row>
    <row r="1729" spans="1:26" x14ac:dyDescent="0.25">
      <c r="A1729">
        <v>21475</v>
      </c>
      <c r="B1729" t="s">
        <v>25</v>
      </c>
      <c r="C1729" s="2">
        <v>0</v>
      </c>
      <c r="D1729" s="2">
        <v>6.48</v>
      </c>
      <c r="E1729" s="2">
        <v>5.19</v>
      </c>
      <c r="F1729">
        <v>3045</v>
      </c>
      <c r="G1729" t="s">
        <v>2731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2732</v>
      </c>
      <c r="N1729">
        <v>0.37</v>
      </c>
      <c r="O1729" t="s">
        <v>33</v>
      </c>
      <c r="P1729" t="s">
        <v>61</v>
      </c>
      <c r="Q1729" t="s">
        <v>180</v>
      </c>
      <c r="R1729" t="s">
        <v>2733</v>
      </c>
      <c r="S1729">
        <v>66048</v>
      </c>
      <c r="T1729" s="1">
        <v>42161</v>
      </c>
      <c r="U1729" s="1">
        <v>42162</v>
      </c>
      <c r="V1729" s="2">
        <v>-14.074999999999999</v>
      </c>
      <c r="W1729">
        <v>12</v>
      </c>
      <c r="X1729" s="2">
        <v>84.04</v>
      </c>
      <c r="Y1729">
        <v>86104</v>
      </c>
      <c r="Z1729">
        <f t="shared" si="26"/>
        <v>1008.48</v>
      </c>
    </row>
    <row r="1730" spans="1:26" x14ac:dyDescent="0.25">
      <c r="A1730">
        <v>24415</v>
      </c>
      <c r="B1730" t="s">
        <v>25</v>
      </c>
      <c r="C1730" s="2">
        <v>0.05</v>
      </c>
      <c r="D1730" s="2">
        <v>120.98</v>
      </c>
      <c r="E1730" s="2">
        <v>30</v>
      </c>
      <c r="F1730">
        <v>3046</v>
      </c>
      <c r="G1730" t="s">
        <v>2734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1330</v>
      </c>
      <c r="N1730">
        <v>0.64</v>
      </c>
      <c r="O1730" t="s">
        <v>33</v>
      </c>
      <c r="P1730" t="s">
        <v>61</v>
      </c>
      <c r="Q1730" t="s">
        <v>180</v>
      </c>
      <c r="R1730" t="s">
        <v>2735</v>
      </c>
      <c r="S1730">
        <v>66209</v>
      </c>
      <c r="T1730" s="1">
        <v>42047</v>
      </c>
      <c r="U1730" s="1">
        <v>42049</v>
      </c>
      <c r="V1730" s="2">
        <v>-78.759200000000007</v>
      </c>
      <c r="W1730">
        <v>2</v>
      </c>
      <c r="X1730" s="2">
        <v>251.06</v>
      </c>
      <c r="Y1730">
        <v>86103</v>
      </c>
      <c r="Z1730">
        <f t="shared" si="26"/>
        <v>502.12</v>
      </c>
    </row>
    <row r="1731" spans="1:26" x14ac:dyDescent="0.25">
      <c r="A1731">
        <v>23188</v>
      </c>
      <c r="B1731" t="s">
        <v>25</v>
      </c>
      <c r="C1731" s="2">
        <v>0.06</v>
      </c>
      <c r="D1731" s="2">
        <v>276.2</v>
      </c>
      <c r="E1731" s="2">
        <v>24.49</v>
      </c>
      <c r="F1731">
        <v>3048</v>
      </c>
      <c r="G1731" t="s">
        <v>2736</v>
      </c>
      <c r="H1731" t="s">
        <v>27</v>
      </c>
      <c r="I1731" t="s">
        <v>28</v>
      </c>
      <c r="J1731" t="s">
        <v>41</v>
      </c>
      <c r="K1731" t="s">
        <v>42</v>
      </c>
      <c r="L1731" t="s">
        <v>231</v>
      </c>
      <c r="M1731" t="s">
        <v>432</v>
      </c>
      <c r="O1731" t="s">
        <v>33</v>
      </c>
      <c r="P1731" t="s">
        <v>34</v>
      </c>
      <c r="Q1731" t="s">
        <v>45</v>
      </c>
      <c r="R1731" t="s">
        <v>2737</v>
      </c>
      <c r="S1731">
        <v>94704</v>
      </c>
      <c r="T1731" s="1">
        <v>42068</v>
      </c>
      <c r="U1731" s="1">
        <v>42070</v>
      </c>
      <c r="V1731" s="2">
        <v>1167.3800000000001</v>
      </c>
      <c r="W1731">
        <v>10</v>
      </c>
      <c r="X1731" s="2">
        <v>2610.56</v>
      </c>
      <c r="Y1731">
        <v>89789</v>
      </c>
      <c r="Z1731">
        <f t="shared" ref="Z1731:Z1794" si="27">W1731*X1731</f>
        <v>26105.599999999999</v>
      </c>
    </row>
    <row r="1732" spans="1:26" x14ac:dyDescent="0.25">
      <c r="A1732">
        <v>25904</v>
      </c>
      <c r="B1732" t="s">
        <v>56</v>
      </c>
      <c r="C1732" s="2">
        <v>0.06</v>
      </c>
      <c r="D1732" s="2">
        <v>125.99</v>
      </c>
      <c r="E1732" s="2">
        <v>2.5</v>
      </c>
      <c r="F1732">
        <v>3053</v>
      </c>
      <c r="G1732" t="s">
        <v>2738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1137</v>
      </c>
      <c r="N1732">
        <v>0.6</v>
      </c>
      <c r="O1732" t="s">
        <v>33</v>
      </c>
      <c r="P1732" t="s">
        <v>135</v>
      </c>
      <c r="Q1732" t="s">
        <v>606</v>
      </c>
      <c r="R1732" t="s">
        <v>313</v>
      </c>
      <c r="S1732">
        <v>42071</v>
      </c>
      <c r="T1732" s="1">
        <v>42038</v>
      </c>
      <c r="U1732" s="1">
        <v>42040</v>
      </c>
      <c r="V1732" s="2">
        <v>402.06599999999997</v>
      </c>
      <c r="W1732">
        <v>11</v>
      </c>
      <c r="X1732" s="2">
        <v>1173.76</v>
      </c>
      <c r="Y1732">
        <v>86662</v>
      </c>
      <c r="Z1732">
        <f t="shared" si="27"/>
        <v>12911.36</v>
      </c>
    </row>
    <row r="1733" spans="1:26" x14ac:dyDescent="0.25">
      <c r="A1733">
        <v>20516</v>
      </c>
      <c r="B1733" t="s">
        <v>56</v>
      </c>
      <c r="C1733" s="2">
        <v>7.0000000000000007E-2</v>
      </c>
      <c r="D1733" s="2">
        <v>8.33</v>
      </c>
      <c r="E1733" s="2">
        <v>1.99</v>
      </c>
      <c r="F1733">
        <v>3063</v>
      </c>
      <c r="G1733" t="s">
        <v>2739</v>
      </c>
      <c r="H1733" t="s">
        <v>49</v>
      </c>
      <c r="I1733" t="s">
        <v>114</v>
      </c>
      <c r="J1733" t="s">
        <v>77</v>
      </c>
      <c r="K1733" t="s">
        <v>177</v>
      </c>
      <c r="L1733" t="s">
        <v>51</v>
      </c>
      <c r="M1733" t="s">
        <v>408</v>
      </c>
      <c r="N1733">
        <v>0.52</v>
      </c>
      <c r="O1733" t="s">
        <v>33</v>
      </c>
      <c r="P1733" t="s">
        <v>34</v>
      </c>
      <c r="Q1733" t="s">
        <v>35</v>
      </c>
      <c r="R1733" t="s">
        <v>2740</v>
      </c>
      <c r="S1733">
        <v>98034</v>
      </c>
      <c r="T1733" s="1">
        <v>42061</v>
      </c>
      <c r="U1733" s="1">
        <v>42063</v>
      </c>
      <c r="V1733" s="2">
        <v>11.95</v>
      </c>
      <c r="W1733">
        <v>6</v>
      </c>
      <c r="X1733" s="2">
        <v>50.28</v>
      </c>
      <c r="Y1733">
        <v>88447</v>
      </c>
      <c r="Z1733">
        <f t="shared" si="27"/>
        <v>301.68</v>
      </c>
    </row>
    <row r="1734" spans="1:26" x14ac:dyDescent="0.25">
      <c r="A1734">
        <v>20517</v>
      </c>
      <c r="B1734" t="s">
        <v>56</v>
      </c>
      <c r="C1734" s="2">
        <v>0.03</v>
      </c>
      <c r="D1734" s="2">
        <v>499.99</v>
      </c>
      <c r="E1734" s="2">
        <v>24.49</v>
      </c>
      <c r="F1734">
        <v>3063</v>
      </c>
      <c r="G1734" t="s">
        <v>2739</v>
      </c>
      <c r="H1734" t="s">
        <v>49</v>
      </c>
      <c r="I1734" t="s">
        <v>114</v>
      </c>
      <c r="J1734" t="s">
        <v>77</v>
      </c>
      <c r="K1734" t="s">
        <v>580</v>
      </c>
      <c r="L1734" t="s">
        <v>231</v>
      </c>
      <c r="M1734" t="s">
        <v>2741</v>
      </c>
      <c r="N1734">
        <v>0.36</v>
      </c>
      <c r="O1734" t="s">
        <v>33</v>
      </c>
      <c r="P1734" t="s">
        <v>34</v>
      </c>
      <c r="Q1734" t="s">
        <v>35</v>
      </c>
      <c r="R1734" t="s">
        <v>2740</v>
      </c>
      <c r="S1734">
        <v>98034</v>
      </c>
      <c r="T1734" s="1">
        <v>42061</v>
      </c>
      <c r="U1734" s="1">
        <v>42062</v>
      </c>
      <c r="V1734" s="2">
        <v>1773.6105</v>
      </c>
      <c r="W1734">
        <v>5</v>
      </c>
      <c r="X1734" s="2">
        <v>2570.4499999999998</v>
      </c>
      <c r="Y1734">
        <v>88447</v>
      </c>
      <c r="Z1734">
        <f t="shared" si="27"/>
        <v>12852.25</v>
      </c>
    </row>
    <row r="1735" spans="1:26" x14ac:dyDescent="0.25">
      <c r="A1735">
        <v>19652</v>
      </c>
      <c r="B1735" t="s">
        <v>37</v>
      </c>
      <c r="C1735" s="2">
        <v>0.03</v>
      </c>
      <c r="D1735" s="2">
        <v>20.99</v>
      </c>
      <c r="E1735" s="2">
        <v>0.99</v>
      </c>
      <c r="F1735">
        <v>3063</v>
      </c>
      <c r="G1735" t="s">
        <v>2739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589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2740</v>
      </c>
      <c r="S1735">
        <v>98034</v>
      </c>
      <c r="T1735" s="1">
        <v>42148</v>
      </c>
      <c r="U1735" s="1">
        <v>42150</v>
      </c>
      <c r="V1735" s="2">
        <v>4.1821999999999999</v>
      </c>
      <c r="W1735">
        <v>9</v>
      </c>
      <c r="X1735" s="2">
        <v>158.87</v>
      </c>
      <c r="Y1735">
        <v>88449</v>
      </c>
      <c r="Z1735">
        <f t="shared" si="27"/>
        <v>1429.83</v>
      </c>
    </row>
    <row r="1736" spans="1:26" x14ac:dyDescent="0.25">
      <c r="A1736">
        <v>23811</v>
      </c>
      <c r="B1736" t="s">
        <v>106</v>
      </c>
      <c r="C1736" s="2">
        <v>0.03</v>
      </c>
      <c r="D1736" s="2">
        <v>6.45</v>
      </c>
      <c r="E1736" s="2">
        <v>1.34</v>
      </c>
      <c r="F1736">
        <v>3064</v>
      </c>
      <c r="G1736" t="s">
        <v>2742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2743</v>
      </c>
      <c r="N1736">
        <v>0.36</v>
      </c>
      <c r="O1736" t="s">
        <v>33</v>
      </c>
      <c r="P1736" t="s">
        <v>34</v>
      </c>
      <c r="Q1736" t="s">
        <v>35</v>
      </c>
      <c r="R1736" t="s">
        <v>2744</v>
      </c>
      <c r="S1736">
        <v>98503</v>
      </c>
      <c r="T1736" s="1">
        <v>42018</v>
      </c>
      <c r="U1736" s="1">
        <v>42023</v>
      </c>
      <c r="V1736" s="2">
        <v>39.129899999999999</v>
      </c>
      <c r="W1736">
        <v>9</v>
      </c>
      <c r="X1736" s="2">
        <v>56.71</v>
      </c>
      <c r="Y1736">
        <v>88448</v>
      </c>
      <c r="Z1736">
        <f t="shared" si="27"/>
        <v>510.39</v>
      </c>
    </row>
    <row r="1737" spans="1:26" x14ac:dyDescent="0.25">
      <c r="A1737">
        <v>25239</v>
      </c>
      <c r="B1737" t="s">
        <v>37</v>
      </c>
      <c r="C1737" s="2">
        <v>0.06</v>
      </c>
      <c r="D1737" s="2">
        <v>355.98</v>
      </c>
      <c r="E1737" s="2">
        <v>58.92</v>
      </c>
      <c r="F1737">
        <v>3067</v>
      </c>
      <c r="G1737" t="s">
        <v>2745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1282</v>
      </c>
      <c r="N1737">
        <v>0.64</v>
      </c>
      <c r="O1737" t="s">
        <v>33</v>
      </c>
      <c r="P1737" t="s">
        <v>53</v>
      </c>
      <c r="Q1737" t="s">
        <v>152</v>
      </c>
      <c r="R1737" t="s">
        <v>2746</v>
      </c>
      <c r="S1737">
        <v>44515</v>
      </c>
      <c r="T1737" s="1">
        <v>42065</v>
      </c>
      <c r="U1737" s="1">
        <v>42066</v>
      </c>
      <c r="V1737" s="2">
        <v>1660.92</v>
      </c>
      <c r="W1737">
        <v>14</v>
      </c>
      <c r="X1737" s="2">
        <v>5086.08</v>
      </c>
      <c r="Y1737">
        <v>91376</v>
      </c>
      <c r="Z1737">
        <f t="shared" si="27"/>
        <v>71205.119999999995</v>
      </c>
    </row>
    <row r="1738" spans="1:26" x14ac:dyDescent="0.25">
      <c r="A1738">
        <v>21027</v>
      </c>
      <c r="B1738" t="s">
        <v>25</v>
      </c>
      <c r="C1738" s="2">
        <v>0.03</v>
      </c>
      <c r="D1738" s="2">
        <v>120.98</v>
      </c>
      <c r="E1738" s="2">
        <v>30</v>
      </c>
      <c r="F1738">
        <v>3069</v>
      </c>
      <c r="G1738" t="s">
        <v>2747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1330</v>
      </c>
      <c r="N1738">
        <v>0.64</v>
      </c>
      <c r="O1738" t="s">
        <v>33</v>
      </c>
      <c r="P1738" t="s">
        <v>61</v>
      </c>
      <c r="Q1738" t="s">
        <v>62</v>
      </c>
      <c r="R1738" t="s">
        <v>2748</v>
      </c>
      <c r="S1738">
        <v>55128</v>
      </c>
      <c r="T1738" s="1">
        <v>42156</v>
      </c>
      <c r="U1738" s="1">
        <v>42158</v>
      </c>
      <c r="V1738" s="2">
        <v>638.02800000000002</v>
      </c>
      <c r="W1738">
        <v>15</v>
      </c>
      <c r="X1738" s="2">
        <v>1894.45</v>
      </c>
      <c r="Y1738">
        <v>88191</v>
      </c>
      <c r="Z1738">
        <f t="shared" si="27"/>
        <v>28416.75</v>
      </c>
    </row>
    <row r="1739" spans="1:26" x14ac:dyDescent="0.25">
      <c r="A1739">
        <v>21028</v>
      </c>
      <c r="B1739" t="s">
        <v>25</v>
      </c>
      <c r="C1739" s="2">
        <v>0.01</v>
      </c>
      <c r="D1739" s="2">
        <v>15.68</v>
      </c>
      <c r="E1739" s="2">
        <v>3.73</v>
      </c>
      <c r="F1739">
        <v>3069</v>
      </c>
      <c r="G1739" t="s">
        <v>2747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2361</v>
      </c>
      <c r="N1739">
        <v>0.46</v>
      </c>
      <c r="O1739" t="s">
        <v>33</v>
      </c>
      <c r="P1739" t="s">
        <v>61</v>
      </c>
      <c r="Q1739" t="s">
        <v>62</v>
      </c>
      <c r="R1739" t="s">
        <v>2748</v>
      </c>
      <c r="S1739">
        <v>55128</v>
      </c>
      <c r="T1739" s="1">
        <v>42156</v>
      </c>
      <c r="U1739" s="1">
        <v>42158</v>
      </c>
      <c r="V1739" s="2">
        <v>138.49680000000001</v>
      </c>
      <c r="W1739">
        <v>12</v>
      </c>
      <c r="X1739" s="2">
        <v>200.72</v>
      </c>
      <c r="Y1739">
        <v>88191</v>
      </c>
      <c r="Z1739">
        <f t="shared" si="27"/>
        <v>2408.64</v>
      </c>
    </row>
    <row r="1740" spans="1:26" x14ac:dyDescent="0.25">
      <c r="A1740">
        <v>22213</v>
      </c>
      <c r="B1740" t="s">
        <v>47</v>
      </c>
      <c r="C1740" s="2">
        <v>0.09</v>
      </c>
      <c r="D1740" s="2">
        <v>1.82</v>
      </c>
      <c r="E1740" s="2">
        <v>0.83</v>
      </c>
      <c r="F1740">
        <v>3069</v>
      </c>
      <c r="G1740" t="s">
        <v>2747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2749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2748</v>
      </c>
      <c r="S1740">
        <v>55128</v>
      </c>
      <c r="T1740" s="1">
        <v>42049</v>
      </c>
      <c r="U1740" s="1">
        <v>42050</v>
      </c>
      <c r="V1740" s="2">
        <v>-6.734</v>
      </c>
      <c r="W1740">
        <v>22</v>
      </c>
      <c r="X1740" s="2">
        <v>36.82</v>
      </c>
      <c r="Y1740">
        <v>88192</v>
      </c>
      <c r="Z1740">
        <f t="shared" si="27"/>
        <v>810.04</v>
      </c>
    </row>
    <row r="1741" spans="1:26" x14ac:dyDescent="0.25">
      <c r="A1741">
        <v>2063</v>
      </c>
      <c r="B1741" t="s">
        <v>106</v>
      </c>
      <c r="C1741" s="2">
        <v>0.06</v>
      </c>
      <c r="D1741" s="2">
        <v>19.23</v>
      </c>
      <c r="E1741" s="2">
        <v>6.15</v>
      </c>
      <c r="F1741">
        <v>3075</v>
      </c>
      <c r="G1741" t="s">
        <v>2750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466</v>
      </c>
      <c r="N1741">
        <v>0.44</v>
      </c>
      <c r="O1741" t="s">
        <v>33</v>
      </c>
      <c r="P1741" t="s">
        <v>34</v>
      </c>
      <c r="Q1741" t="s">
        <v>45</v>
      </c>
      <c r="R1741" t="s">
        <v>655</v>
      </c>
      <c r="S1741">
        <v>90061</v>
      </c>
      <c r="T1741" s="1">
        <v>42063</v>
      </c>
      <c r="U1741" s="1">
        <v>42063</v>
      </c>
      <c r="V1741" s="2">
        <v>-25.38</v>
      </c>
      <c r="W1741">
        <v>4</v>
      </c>
      <c r="X1741" s="2">
        <v>84.6</v>
      </c>
      <c r="Y1741">
        <v>14756</v>
      </c>
      <c r="Z1741">
        <f t="shared" si="27"/>
        <v>338.4</v>
      </c>
    </row>
    <row r="1742" spans="1:26" x14ac:dyDescent="0.25">
      <c r="A1742">
        <v>19739</v>
      </c>
      <c r="B1742" t="s">
        <v>56</v>
      </c>
      <c r="C1742" s="2">
        <v>0</v>
      </c>
      <c r="D1742" s="2">
        <v>137.47999999999999</v>
      </c>
      <c r="E1742" s="2">
        <v>32.18</v>
      </c>
      <c r="F1742">
        <v>3076</v>
      </c>
      <c r="G1742" t="s">
        <v>2751</v>
      </c>
      <c r="H1742" t="s">
        <v>39</v>
      </c>
      <c r="I1742" t="s">
        <v>58</v>
      </c>
      <c r="J1742" t="s">
        <v>41</v>
      </c>
      <c r="K1742" t="s">
        <v>187</v>
      </c>
      <c r="L1742" t="s">
        <v>120</v>
      </c>
      <c r="M1742" t="s">
        <v>2752</v>
      </c>
      <c r="N1742">
        <v>0.78</v>
      </c>
      <c r="O1742" t="s">
        <v>33</v>
      </c>
      <c r="P1742" t="s">
        <v>53</v>
      </c>
      <c r="Q1742" t="s">
        <v>152</v>
      </c>
      <c r="R1742" t="s">
        <v>2753</v>
      </c>
      <c r="S1742">
        <v>44224</v>
      </c>
      <c r="T1742" s="1">
        <v>42011</v>
      </c>
      <c r="U1742" s="1">
        <v>42012</v>
      </c>
      <c r="V1742" s="2">
        <v>-203.27</v>
      </c>
      <c r="W1742">
        <v>2</v>
      </c>
      <c r="X1742" s="2">
        <v>296.75</v>
      </c>
      <c r="Y1742">
        <v>88241</v>
      </c>
      <c r="Z1742">
        <f t="shared" si="27"/>
        <v>593.5</v>
      </c>
    </row>
    <row r="1743" spans="1:26" x14ac:dyDescent="0.25">
      <c r="A1743">
        <v>23816</v>
      </c>
      <c r="B1743" t="s">
        <v>56</v>
      </c>
      <c r="C1743" s="2">
        <v>7.0000000000000007E-2</v>
      </c>
      <c r="D1743" s="2">
        <v>300.97000000000003</v>
      </c>
      <c r="E1743" s="2">
        <v>7.18</v>
      </c>
      <c r="F1743">
        <v>3077</v>
      </c>
      <c r="G1743" t="s">
        <v>2754</v>
      </c>
      <c r="H1743" t="s">
        <v>49</v>
      </c>
      <c r="I1743" t="s">
        <v>58</v>
      </c>
      <c r="J1743" t="s">
        <v>77</v>
      </c>
      <c r="K1743" t="s">
        <v>177</v>
      </c>
      <c r="L1743" t="s">
        <v>59</v>
      </c>
      <c r="M1743" t="s">
        <v>1078</v>
      </c>
      <c r="N1743">
        <v>0.48</v>
      </c>
      <c r="O1743" t="s">
        <v>33</v>
      </c>
      <c r="P1743" t="s">
        <v>53</v>
      </c>
      <c r="Q1743" t="s">
        <v>152</v>
      </c>
      <c r="R1743" t="s">
        <v>2755</v>
      </c>
      <c r="S1743">
        <v>44136</v>
      </c>
      <c r="T1743" s="1">
        <v>42131</v>
      </c>
      <c r="U1743" s="1">
        <v>42133</v>
      </c>
      <c r="V1743" s="2">
        <v>-807.59</v>
      </c>
      <c r="W1743">
        <v>2</v>
      </c>
      <c r="X1743" s="2">
        <v>582.20000000000005</v>
      </c>
      <c r="Y1743">
        <v>88239</v>
      </c>
      <c r="Z1743">
        <f t="shared" si="27"/>
        <v>1164.4000000000001</v>
      </c>
    </row>
    <row r="1744" spans="1:26" x14ac:dyDescent="0.25">
      <c r="A1744">
        <v>25489</v>
      </c>
      <c r="B1744" t="s">
        <v>37</v>
      </c>
      <c r="C1744" s="2">
        <v>0.04</v>
      </c>
      <c r="D1744" s="2">
        <v>35.44</v>
      </c>
      <c r="E1744" s="2">
        <v>5.09</v>
      </c>
      <c r="F1744">
        <v>3078</v>
      </c>
      <c r="G1744" t="s">
        <v>2756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2757</v>
      </c>
      <c r="N1744">
        <v>0.38</v>
      </c>
      <c r="O1744" t="s">
        <v>33</v>
      </c>
      <c r="P1744" t="s">
        <v>53</v>
      </c>
      <c r="Q1744" t="s">
        <v>152</v>
      </c>
      <c r="R1744" t="s">
        <v>2758</v>
      </c>
      <c r="S1744">
        <v>43615</v>
      </c>
      <c r="T1744" s="1">
        <v>42166</v>
      </c>
      <c r="U1744" s="1">
        <v>42166</v>
      </c>
      <c r="V1744" s="2">
        <v>118.6317</v>
      </c>
      <c r="W1744">
        <v>5</v>
      </c>
      <c r="X1744" s="2">
        <v>171.93</v>
      </c>
      <c r="Y1744">
        <v>88240</v>
      </c>
      <c r="Z1744">
        <f t="shared" si="27"/>
        <v>859.65000000000009</v>
      </c>
    </row>
    <row r="1745" spans="1:26" x14ac:dyDescent="0.25">
      <c r="A1745">
        <v>25490</v>
      </c>
      <c r="B1745" t="s">
        <v>37</v>
      </c>
      <c r="C1745" s="2">
        <v>0.08</v>
      </c>
      <c r="D1745" s="2">
        <v>3.98</v>
      </c>
      <c r="E1745" s="2">
        <v>0.7</v>
      </c>
      <c r="F1745">
        <v>3078</v>
      </c>
      <c r="G1745" t="s">
        <v>2756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2720</v>
      </c>
      <c r="N1745">
        <v>0.52</v>
      </c>
      <c r="O1745" t="s">
        <v>33</v>
      </c>
      <c r="P1745" t="s">
        <v>53</v>
      </c>
      <c r="Q1745" t="s">
        <v>152</v>
      </c>
      <c r="R1745" t="s">
        <v>2758</v>
      </c>
      <c r="S1745">
        <v>43615</v>
      </c>
      <c r="T1745" s="1">
        <v>42166</v>
      </c>
      <c r="U1745" s="1">
        <v>42169</v>
      </c>
      <c r="V1745" s="2">
        <v>23.303999999999998</v>
      </c>
      <c r="W1745">
        <v>9</v>
      </c>
      <c r="X1745" s="2">
        <v>35.19</v>
      </c>
      <c r="Y1745">
        <v>88240</v>
      </c>
      <c r="Z1745">
        <f t="shared" si="27"/>
        <v>316.70999999999998</v>
      </c>
    </row>
    <row r="1746" spans="1:26" x14ac:dyDescent="0.25">
      <c r="A1746">
        <v>5816</v>
      </c>
      <c r="B1746" t="s">
        <v>56</v>
      </c>
      <c r="C1746" s="2">
        <v>7.0000000000000007E-2</v>
      </c>
      <c r="D1746" s="2">
        <v>300.97000000000003</v>
      </c>
      <c r="E1746" s="2">
        <v>7.18</v>
      </c>
      <c r="F1746">
        <v>3079</v>
      </c>
      <c r="G1746" t="s">
        <v>2759</v>
      </c>
      <c r="H1746" t="s">
        <v>49</v>
      </c>
      <c r="I1746" t="s">
        <v>58</v>
      </c>
      <c r="J1746" t="s">
        <v>77</v>
      </c>
      <c r="K1746" t="s">
        <v>177</v>
      </c>
      <c r="L1746" t="s">
        <v>59</v>
      </c>
      <c r="M1746" t="s">
        <v>1078</v>
      </c>
      <c r="N1746">
        <v>0.48</v>
      </c>
      <c r="O1746" t="s">
        <v>33</v>
      </c>
      <c r="P1746" t="s">
        <v>53</v>
      </c>
      <c r="Q1746" t="s">
        <v>229</v>
      </c>
      <c r="R1746" t="s">
        <v>1307</v>
      </c>
      <c r="S1746">
        <v>19112</v>
      </c>
      <c r="T1746" s="1">
        <v>42131</v>
      </c>
      <c r="U1746" s="1">
        <v>42133</v>
      </c>
      <c r="V1746" s="2">
        <v>-807.59</v>
      </c>
      <c r="W1746">
        <v>7</v>
      </c>
      <c r="X1746" s="2">
        <v>2037.69</v>
      </c>
      <c r="Y1746">
        <v>41253</v>
      </c>
      <c r="Z1746">
        <f t="shared" si="27"/>
        <v>14263.83</v>
      </c>
    </row>
    <row r="1747" spans="1:26" x14ac:dyDescent="0.25">
      <c r="A1747">
        <v>7489</v>
      </c>
      <c r="B1747" t="s">
        <v>37</v>
      </c>
      <c r="C1747" s="2">
        <v>0.04</v>
      </c>
      <c r="D1747" s="2">
        <v>35.44</v>
      </c>
      <c r="E1747" s="2">
        <v>5.09</v>
      </c>
      <c r="F1747">
        <v>3079</v>
      </c>
      <c r="G1747" t="s">
        <v>2759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2757</v>
      </c>
      <c r="N1747">
        <v>0.38</v>
      </c>
      <c r="O1747" t="s">
        <v>33</v>
      </c>
      <c r="P1747" t="s">
        <v>53</v>
      </c>
      <c r="Q1747" t="s">
        <v>229</v>
      </c>
      <c r="R1747" t="s">
        <v>1307</v>
      </c>
      <c r="S1747">
        <v>19112</v>
      </c>
      <c r="T1747" s="1">
        <v>42166</v>
      </c>
      <c r="U1747" s="1">
        <v>42166</v>
      </c>
      <c r="V1747" s="2">
        <v>150.72</v>
      </c>
      <c r="W1747">
        <v>21</v>
      </c>
      <c r="X1747" s="2">
        <v>722.1</v>
      </c>
      <c r="Y1747">
        <v>53476</v>
      </c>
      <c r="Z1747">
        <f t="shared" si="27"/>
        <v>15164.1</v>
      </c>
    </row>
    <row r="1748" spans="1:26" x14ac:dyDescent="0.25">
      <c r="A1748">
        <v>7490</v>
      </c>
      <c r="B1748" t="s">
        <v>37</v>
      </c>
      <c r="C1748" s="2">
        <v>0.08</v>
      </c>
      <c r="D1748" s="2">
        <v>3.98</v>
      </c>
      <c r="E1748" s="2">
        <v>0.7</v>
      </c>
      <c r="F1748">
        <v>3079</v>
      </c>
      <c r="G1748" t="s">
        <v>2759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2720</v>
      </c>
      <c r="N1748">
        <v>0.52</v>
      </c>
      <c r="O1748" t="s">
        <v>33</v>
      </c>
      <c r="P1748" t="s">
        <v>53</v>
      </c>
      <c r="Q1748" t="s">
        <v>229</v>
      </c>
      <c r="R1748" t="s">
        <v>1307</v>
      </c>
      <c r="S1748">
        <v>19112</v>
      </c>
      <c r="T1748" s="1">
        <v>42166</v>
      </c>
      <c r="U1748" s="1">
        <v>42169</v>
      </c>
      <c r="V1748" s="2">
        <v>19.420000000000002</v>
      </c>
      <c r="W1748">
        <v>36</v>
      </c>
      <c r="X1748" s="2">
        <v>140.78</v>
      </c>
      <c r="Y1748">
        <v>53476</v>
      </c>
      <c r="Z1748">
        <f t="shared" si="27"/>
        <v>5068.08</v>
      </c>
    </row>
    <row r="1749" spans="1:26" x14ac:dyDescent="0.25">
      <c r="A1749">
        <v>7491</v>
      </c>
      <c r="B1749" t="s">
        <v>37</v>
      </c>
      <c r="C1749" s="2">
        <v>0.01</v>
      </c>
      <c r="D1749" s="2">
        <v>1.76</v>
      </c>
      <c r="E1749" s="2">
        <v>0.7</v>
      </c>
      <c r="F1749">
        <v>3079</v>
      </c>
      <c r="G1749" t="s">
        <v>2759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126</v>
      </c>
      <c r="N1749">
        <v>0.56000000000000005</v>
      </c>
      <c r="O1749" t="s">
        <v>33</v>
      </c>
      <c r="P1749" t="s">
        <v>53</v>
      </c>
      <c r="Q1749" t="s">
        <v>229</v>
      </c>
      <c r="R1749" t="s">
        <v>1307</v>
      </c>
      <c r="S1749">
        <v>19112</v>
      </c>
      <c r="T1749" s="1">
        <v>42166</v>
      </c>
      <c r="U1749" s="1">
        <v>42167</v>
      </c>
      <c r="V1749" s="2">
        <v>3.13</v>
      </c>
      <c r="W1749">
        <v>71</v>
      </c>
      <c r="X1749" s="2">
        <v>129.72</v>
      </c>
      <c r="Y1749">
        <v>53476</v>
      </c>
      <c r="Z1749">
        <f t="shared" si="27"/>
        <v>9210.1200000000008</v>
      </c>
    </row>
    <row r="1750" spans="1:26" x14ac:dyDescent="0.25">
      <c r="A1750">
        <v>7492</v>
      </c>
      <c r="B1750" t="s">
        <v>37</v>
      </c>
      <c r="C1750" s="2">
        <v>0.01</v>
      </c>
      <c r="D1750" s="2">
        <v>193.17</v>
      </c>
      <c r="E1750" s="2">
        <v>19.989999999999998</v>
      </c>
      <c r="F1750">
        <v>3079</v>
      </c>
      <c r="G1750" t="s">
        <v>2759</v>
      </c>
      <c r="H1750" t="s">
        <v>27</v>
      </c>
      <c r="I1750" t="s">
        <v>58</v>
      </c>
      <c r="J1750" t="s">
        <v>29</v>
      </c>
      <c r="K1750" t="s">
        <v>139</v>
      </c>
      <c r="L1750" t="s">
        <v>59</v>
      </c>
      <c r="M1750" t="s">
        <v>1510</v>
      </c>
      <c r="N1750">
        <v>0.71</v>
      </c>
      <c r="O1750" t="s">
        <v>33</v>
      </c>
      <c r="P1750" t="s">
        <v>53</v>
      </c>
      <c r="Q1750" t="s">
        <v>229</v>
      </c>
      <c r="R1750" t="s">
        <v>1307</v>
      </c>
      <c r="S1750">
        <v>19112</v>
      </c>
      <c r="T1750" s="1">
        <v>42166</v>
      </c>
      <c r="U1750" s="1">
        <v>42166</v>
      </c>
      <c r="V1750" s="2">
        <v>1141.07</v>
      </c>
      <c r="W1750">
        <v>63</v>
      </c>
      <c r="X1750" s="2">
        <v>12190.98</v>
      </c>
      <c r="Y1750">
        <v>53476</v>
      </c>
      <c r="Z1750">
        <f t="shared" si="27"/>
        <v>768031.74</v>
      </c>
    </row>
    <row r="1751" spans="1:26" x14ac:dyDescent="0.25">
      <c r="A1751">
        <v>1739</v>
      </c>
      <c r="B1751" t="s">
        <v>56</v>
      </c>
      <c r="C1751" s="2">
        <v>0</v>
      </c>
      <c r="D1751" s="2">
        <v>137.47999999999999</v>
      </c>
      <c r="E1751" s="2">
        <v>32.18</v>
      </c>
      <c r="F1751">
        <v>3079</v>
      </c>
      <c r="G1751" t="s">
        <v>2759</v>
      </c>
      <c r="H1751" t="s">
        <v>39</v>
      </c>
      <c r="I1751" t="s">
        <v>58</v>
      </c>
      <c r="J1751" t="s">
        <v>41</v>
      </c>
      <c r="K1751" t="s">
        <v>187</v>
      </c>
      <c r="L1751" t="s">
        <v>120</v>
      </c>
      <c r="M1751" t="s">
        <v>2752</v>
      </c>
      <c r="N1751">
        <v>0.78</v>
      </c>
      <c r="O1751" t="s">
        <v>33</v>
      </c>
      <c r="P1751" t="s">
        <v>53</v>
      </c>
      <c r="Q1751" t="s">
        <v>229</v>
      </c>
      <c r="R1751" t="s">
        <v>1307</v>
      </c>
      <c r="S1751">
        <v>19112</v>
      </c>
      <c r="T1751" s="1">
        <v>42011</v>
      </c>
      <c r="U1751" s="1">
        <v>42012</v>
      </c>
      <c r="V1751" s="2">
        <v>-203.27</v>
      </c>
      <c r="W1751">
        <v>10</v>
      </c>
      <c r="X1751" s="2">
        <v>1483.76</v>
      </c>
      <c r="Y1751">
        <v>12480</v>
      </c>
      <c r="Z1751">
        <f t="shared" si="27"/>
        <v>14837.6</v>
      </c>
    </row>
    <row r="1752" spans="1:26" x14ac:dyDescent="0.25">
      <c r="A1752">
        <v>6807</v>
      </c>
      <c r="B1752" t="s">
        <v>47</v>
      </c>
      <c r="C1752" s="2">
        <v>0</v>
      </c>
      <c r="D1752" s="2">
        <v>2.21</v>
      </c>
      <c r="E1752" s="2">
        <v>1</v>
      </c>
      <c r="F1752">
        <v>3079</v>
      </c>
      <c r="G1752" t="s">
        <v>2759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2760</v>
      </c>
      <c r="N1752">
        <v>0.38</v>
      </c>
      <c r="O1752" t="s">
        <v>33</v>
      </c>
      <c r="P1752" t="s">
        <v>53</v>
      </c>
      <c r="Q1752" t="s">
        <v>229</v>
      </c>
      <c r="R1752" t="s">
        <v>1307</v>
      </c>
      <c r="S1752">
        <v>19112</v>
      </c>
      <c r="T1752" s="1">
        <v>42165</v>
      </c>
      <c r="U1752" s="1">
        <v>42166</v>
      </c>
      <c r="V1752" s="2">
        <v>10.01</v>
      </c>
      <c r="W1752">
        <v>33</v>
      </c>
      <c r="X1752" s="2">
        <v>87.18</v>
      </c>
      <c r="Y1752">
        <v>48483</v>
      </c>
      <c r="Z1752">
        <f t="shared" si="27"/>
        <v>2876.94</v>
      </c>
    </row>
    <row r="1753" spans="1:26" x14ac:dyDescent="0.25">
      <c r="A1753">
        <v>19756</v>
      </c>
      <c r="B1753" t="s">
        <v>25</v>
      </c>
      <c r="C1753" s="2">
        <v>0</v>
      </c>
      <c r="D1753" s="2">
        <v>65.989999999999995</v>
      </c>
      <c r="E1753" s="2">
        <v>5.99</v>
      </c>
      <c r="F1753">
        <v>3084</v>
      </c>
      <c r="G1753" t="s">
        <v>2761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2432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2744</v>
      </c>
      <c r="S1753">
        <v>98503</v>
      </c>
      <c r="T1753" s="1">
        <v>42114</v>
      </c>
      <c r="U1753" s="1">
        <v>42116</v>
      </c>
      <c r="V1753" s="2">
        <v>313.81200000000001</v>
      </c>
      <c r="W1753">
        <v>14</v>
      </c>
      <c r="X1753" s="2">
        <v>798.89</v>
      </c>
      <c r="Y1753">
        <v>89879</v>
      </c>
      <c r="Z1753">
        <f t="shared" si="27"/>
        <v>11184.46</v>
      </c>
    </row>
    <row r="1754" spans="1:26" x14ac:dyDescent="0.25">
      <c r="A1754">
        <v>20589</v>
      </c>
      <c r="B1754" t="s">
        <v>37</v>
      </c>
      <c r="C1754" s="2">
        <v>0.01</v>
      </c>
      <c r="D1754" s="2">
        <v>7.1</v>
      </c>
      <c r="E1754" s="2">
        <v>6.05</v>
      </c>
      <c r="F1754">
        <v>3084</v>
      </c>
      <c r="G1754" t="s">
        <v>2761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644</v>
      </c>
      <c r="N1754">
        <v>0.39</v>
      </c>
      <c r="O1754" t="s">
        <v>33</v>
      </c>
      <c r="P1754" t="s">
        <v>34</v>
      </c>
      <c r="Q1754" t="s">
        <v>35</v>
      </c>
      <c r="R1754" t="s">
        <v>2744</v>
      </c>
      <c r="S1754">
        <v>98503</v>
      </c>
      <c r="T1754" s="1">
        <v>42179</v>
      </c>
      <c r="U1754" s="1">
        <v>42180</v>
      </c>
      <c r="V1754" s="2">
        <v>-39.186250000000001</v>
      </c>
      <c r="W1754">
        <v>18</v>
      </c>
      <c r="X1754" s="2">
        <v>133.19</v>
      </c>
      <c r="Y1754">
        <v>89880</v>
      </c>
      <c r="Z1754">
        <f t="shared" si="27"/>
        <v>2397.42</v>
      </c>
    </row>
    <row r="1755" spans="1:26" x14ac:dyDescent="0.25">
      <c r="A1755">
        <v>20590</v>
      </c>
      <c r="B1755" t="s">
        <v>37</v>
      </c>
      <c r="C1755" s="2">
        <v>0.05</v>
      </c>
      <c r="D1755" s="2">
        <v>18.97</v>
      </c>
      <c r="E1755" s="2">
        <v>9.0299999999999994</v>
      </c>
      <c r="F1755">
        <v>3084</v>
      </c>
      <c r="G1755" t="s">
        <v>2761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766</v>
      </c>
      <c r="N1755">
        <v>0.37</v>
      </c>
      <c r="O1755" t="s">
        <v>33</v>
      </c>
      <c r="P1755" t="s">
        <v>34</v>
      </c>
      <c r="Q1755" t="s">
        <v>35</v>
      </c>
      <c r="R1755" t="s">
        <v>2744</v>
      </c>
      <c r="S1755">
        <v>98503</v>
      </c>
      <c r="T1755" s="1">
        <v>42179</v>
      </c>
      <c r="U1755" s="1">
        <v>42180</v>
      </c>
      <c r="V1755" s="2">
        <v>-1.89</v>
      </c>
      <c r="W1755">
        <v>5</v>
      </c>
      <c r="X1755" s="2">
        <v>97.33</v>
      </c>
      <c r="Y1755">
        <v>89880</v>
      </c>
      <c r="Z1755">
        <f t="shared" si="27"/>
        <v>486.65</v>
      </c>
    </row>
    <row r="1756" spans="1:26" x14ac:dyDescent="0.25">
      <c r="A1756">
        <v>20008</v>
      </c>
      <c r="B1756" t="s">
        <v>25</v>
      </c>
      <c r="C1756" s="2">
        <v>0.05</v>
      </c>
      <c r="D1756" s="2">
        <v>39.99</v>
      </c>
      <c r="E1756" s="2">
        <v>10.25</v>
      </c>
      <c r="F1756">
        <v>3086</v>
      </c>
      <c r="G1756" t="s">
        <v>2762</v>
      </c>
      <c r="H1756" t="s">
        <v>27</v>
      </c>
      <c r="I1756" t="s">
        <v>114</v>
      </c>
      <c r="J1756" t="s">
        <v>77</v>
      </c>
      <c r="K1756" t="s">
        <v>177</v>
      </c>
      <c r="L1756" t="s">
        <v>59</v>
      </c>
      <c r="M1756" t="s">
        <v>2763</v>
      </c>
      <c r="N1756">
        <v>0.55000000000000004</v>
      </c>
      <c r="O1756" t="s">
        <v>33</v>
      </c>
      <c r="P1756" t="s">
        <v>135</v>
      </c>
      <c r="Q1756" t="s">
        <v>356</v>
      </c>
      <c r="R1756" t="s">
        <v>2764</v>
      </c>
      <c r="S1756">
        <v>34287</v>
      </c>
      <c r="T1756" s="1">
        <v>42142</v>
      </c>
      <c r="U1756" s="1">
        <v>42143</v>
      </c>
      <c r="V1756" s="2">
        <v>4.29</v>
      </c>
      <c r="W1756">
        <v>3</v>
      </c>
      <c r="X1756" s="2">
        <v>130.91</v>
      </c>
      <c r="Y1756">
        <v>88380</v>
      </c>
      <c r="Z1756">
        <f t="shared" si="27"/>
        <v>392.73</v>
      </c>
    </row>
    <row r="1757" spans="1:26" x14ac:dyDescent="0.25">
      <c r="A1757">
        <v>21085</v>
      </c>
      <c r="B1757" t="s">
        <v>106</v>
      </c>
      <c r="C1757" s="2">
        <v>7.0000000000000007E-2</v>
      </c>
      <c r="D1757" s="2">
        <v>49.43</v>
      </c>
      <c r="E1757" s="2">
        <v>19.989999999999998</v>
      </c>
      <c r="F1757">
        <v>3089</v>
      </c>
      <c r="G1757" t="s">
        <v>2765</v>
      </c>
      <c r="H1757" t="s">
        <v>49</v>
      </c>
      <c r="I1757" t="s">
        <v>28</v>
      </c>
      <c r="J1757" t="s">
        <v>29</v>
      </c>
      <c r="K1757" t="s">
        <v>252</v>
      </c>
      <c r="L1757" t="s">
        <v>59</v>
      </c>
      <c r="M1757" t="s">
        <v>2766</v>
      </c>
      <c r="N1757">
        <v>0.56999999999999995</v>
      </c>
      <c r="O1757" t="s">
        <v>33</v>
      </c>
      <c r="P1757" t="s">
        <v>61</v>
      </c>
      <c r="Q1757" t="s">
        <v>180</v>
      </c>
      <c r="R1757" t="s">
        <v>2735</v>
      </c>
      <c r="S1757">
        <v>66209</v>
      </c>
      <c r="T1757" s="1">
        <v>42028</v>
      </c>
      <c r="U1757" s="1">
        <v>42033</v>
      </c>
      <c r="V1757" s="2">
        <v>-122.77</v>
      </c>
      <c r="W1757">
        <v>6</v>
      </c>
      <c r="X1757" s="2">
        <v>281.82</v>
      </c>
      <c r="Y1757">
        <v>91219</v>
      </c>
      <c r="Z1757">
        <f t="shared" si="27"/>
        <v>1690.92</v>
      </c>
    </row>
    <row r="1758" spans="1:26" x14ac:dyDescent="0.25">
      <c r="A1758">
        <v>20357</v>
      </c>
      <c r="B1758" t="s">
        <v>47</v>
      </c>
      <c r="C1758" s="2">
        <v>0.09</v>
      </c>
      <c r="D1758" s="2">
        <v>207.48</v>
      </c>
      <c r="E1758" s="2">
        <v>0.99</v>
      </c>
      <c r="F1758">
        <v>3095</v>
      </c>
      <c r="G1758" t="s">
        <v>2767</v>
      </c>
      <c r="H1758" t="s">
        <v>49</v>
      </c>
      <c r="I1758" t="s">
        <v>114</v>
      </c>
      <c r="J1758" t="s">
        <v>29</v>
      </c>
      <c r="K1758" t="s">
        <v>252</v>
      </c>
      <c r="L1758" t="s">
        <v>59</v>
      </c>
      <c r="M1758" t="s">
        <v>2125</v>
      </c>
      <c r="N1758">
        <v>0.55000000000000004</v>
      </c>
      <c r="O1758" t="s">
        <v>33</v>
      </c>
      <c r="P1758" t="s">
        <v>53</v>
      </c>
      <c r="Q1758" t="s">
        <v>152</v>
      </c>
      <c r="R1758" t="s">
        <v>2768</v>
      </c>
      <c r="S1758">
        <v>45011</v>
      </c>
      <c r="T1758" s="1">
        <v>42023</v>
      </c>
      <c r="U1758" s="1">
        <v>42025</v>
      </c>
      <c r="V1758" s="2">
        <v>683.9556</v>
      </c>
      <c r="W1758">
        <v>5</v>
      </c>
      <c r="X1758" s="2">
        <v>991.24</v>
      </c>
      <c r="Y1758">
        <v>86220</v>
      </c>
      <c r="Z1758">
        <f t="shared" si="27"/>
        <v>4956.2</v>
      </c>
    </row>
    <row r="1759" spans="1:26" x14ac:dyDescent="0.25">
      <c r="A1759">
        <v>21235</v>
      </c>
      <c r="B1759" t="s">
        <v>25</v>
      </c>
      <c r="C1759" s="2">
        <v>0.08</v>
      </c>
      <c r="D1759" s="2">
        <v>40.98</v>
      </c>
      <c r="E1759" s="2">
        <v>7.2</v>
      </c>
      <c r="F1759">
        <v>3096</v>
      </c>
      <c r="G1759" t="s">
        <v>2769</v>
      </c>
      <c r="H1759" t="s">
        <v>27</v>
      </c>
      <c r="I1759" t="s">
        <v>114</v>
      </c>
      <c r="J1759" t="s">
        <v>29</v>
      </c>
      <c r="K1759" t="s">
        <v>252</v>
      </c>
      <c r="L1759" t="s">
        <v>59</v>
      </c>
      <c r="M1759" t="s">
        <v>2770</v>
      </c>
      <c r="N1759">
        <v>0.6</v>
      </c>
      <c r="O1759" t="s">
        <v>33</v>
      </c>
      <c r="P1759" t="s">
        <v>53</v>
      </c>
      <c r="Q1759" t="s">
        <v>152</v>
      </c>
      <c r="R1759" t="s">
        <v>1720</v>
      </c>
      <c r="S1759">
        <v>43026</v>
      </c>
      <c r="T1759" s="1">
        <v>42148</v>
      </c>
      <c r="U1759" s="1">
        <v>42149</v>
      </c>
      <c r="V1759" s="2">
        <v>-16.64</v>
      </c>
      <c r="W1759">
        <v>3</v>
      </c>
      <c r="X1759" s="2">
        <v>119.86</v>
      </c>
      <c r="Y1759">
        <v>86221</v>
      </c>
      <c r="Z1759">
        <f t="shared" si="27"/>
        <v>359.58</v>
      </c>
    </row>
    <row r="1760" spans="1:26" x14ac:dyDescent="0.25">
      <c r="A1760">
        <v>21236</v>
      </c>
      <c r="B1760" t="s">
        <v>25</v>
      </c>
      <c r="C1760" s="2">
        <v>0.08</v>
      </c>
      <c r="D1760" s="2">
        <v>8.1199999999999992</v>
      </c>
      <c r="E1760" s="2">
        <v>2.83</v>
      </c>
      <c r="F1760">
        <v>3096</v>
      </c>
      <c r="G1760" t="s">
        <v>2769</v>
      </c>
      <c r="H1760" t="s">
        <v>27</v>
      </c>
      <c r="I1760" t="s">
        <v>114</v>
      </c>
      <c r="J1760" t="s">
        <v>77</v>
      </c>
      <c r="K1760" t="s">
        <v>177</v>
      </c>
      <c r="L1760" t="s">
        <v>51</v>
      </c>
      <c r="M1760" t="s">
        <v>818</v>
      </c>
      <c r="N1760">
        <v>0.77</v>
      </c>
      <c r="O1760" t="s">
        <v>33</v>
      </c>
      <c r="P1760" t="s">
        <v>53</v>
      </c>
      <c r="Q1760" t="s">
        <v>152</v>
      </c>
      <c r="R1760" t="s">
        <v>1720</v>
      </c>
      <c r="S1760">
        <v>43026</v>
      </c>
      <c r="T1760" s="1">
        <v>42148</v>
      </c>
      <c r="U1760" s="1">
        <v>42149</v>
      </c>
      <c r="V1760" s="2">
        <v>-59.73</v>
      </c>
      <c r="W1760">
        <v>12</v>
      </c>
      <c r="X1760" s="2">
        <v>98.77</v>
      </c>
      <c r="Y1760">
        <v>86221</v>
      </c>
      <c r="Z1760">
        <f t="shared" si="27"/>
        <v>1185.24</v>
      </c>
    </row>
    <row r="1761" spans="1:26" x14ac:dyDescent="0.25">
      <c r="A1761">
        <v>21237</v>
      </c>
      <c r="B1761" t="s">
        <v>25</v>
      </c>
      <c r="C1761" s="2">
        <v>0.02</v>
      </c>
      <c r="D1761" s="2">
        <v>262.11</v>
      </c>
      <c r="E1761" s="2">
        <v>62.74</v>
      </c>
      <c r="F1761">
        <v>3096</v>
      </c>
      <c r="G1761" t="s">
        <v>2769</v>
      </c>
      <c r="H1761" t="s">
        <v>39</v>
      </c>
      <c r="I1761" t="s">
        <v>114</v>
      </c>
      <c r="J1761" t="s">
        <v>41</v>
      </c>
      <c r="K1761" t="s">
        <v>150</v>
      </c>
      <c r="L1761" t="s">
        <v>120</v>
      </c>
      <c r="M1761" t="s">
        <v>2771</v>
      </c>
      <c r="N1761">
        <v>0.75</v>
      </c>
      <c r="O1761" t="s">
        <v>33</v>
      </c>
      <c r="P1761" t="s">
        <v>53</v>
      </c>
      <c r="Q1761" t="s">
        <v>152</v>
      </c>
      <c r="R1761" t="s">
        <v>1720</v>
      </c>
      <c r="S1761">
        <v>43026</v>
      </c>
      <c r="T1761" s="1">
        <v>42148</v>
      </c>
      <c r="U1761" s="1">
        <v>42149</v>
      </c>
      <c r="V1761" s="2">
        <v>-633.441237</v>
      </c>
      <c r="W1761">
        <v>9</v>
      </c>
      <c r="X1761" s="2">
        <v>2495.35</v>
      </c>
      <c r="Y1761">
        <v>86221</v>
      </c>
      <c r="Z1761">
        <f t="shared" si="27"/>
        <v>22458.149999999998</v>
      </c>
    </row>
    <row r="1762" spans="1:26" x14ac:dyDescent="0.25">
      <c r="A1762">
        <v>25999</v>
      </c>
      <c r="B1762" t="s">
        <v>47</v>
      </c>
      <c r="C1762" s="2">
        <v>0.04</v>
      </c>
      <c r="D1762" s="2">
        <v>33.89</v>
      </c>
      <c r="E1762" s="2">
        <v>5.0999999999999996</v>
      </c>
      <c r="F1762">
        <v>3096</v>
      </c>
      <c r="G1762" t="s">
        <v>2769</v>
      </c>
      <c r="H1762" t="s">
        <v>27</v>
      </c>
      <c r="I1762" t="s">
        <v>114</v>
      </c>
      <c r="J1762" t="s">
        <v>29</v>
      </c>
      <c r="K1762" t="s">
        <v>139</v>
      </c>
      <c r="L1762" t="s">
        <v>59</v>
      </c>
      <c r="M1762" t="s">
        <v>2772</v>
      </c>
      <c r="N1762">
        <v>0.6</v>
      </c>
      <c r="O1762" t="s">
        <v>33</v>
      </c>
      <c r="P1762" t="s">
        <v>53</v>
      </c>
      <c r="Q1762" t="s">
        <v>152</v>
      </c>
      <c r="R1762" t="s">
        <v>1720</v>
      </c>
      <c r="S1762">
        <v>43026</v>
      </c>
      <c r="T1762" s="1">
        <v>42172</v>
      </c>
      <c r="U1762" s="1">
        <v>42173</v>
      </c>
      <c r="V1762" s="2">
        <v>72.983999999999995</v>
      </c>
      <c r="W1762">
        <v>6</v>
      </c>
      <c r="X1762" s="2">
        <v>200.83</v>
      </c>
      <c r="Y1762">
        <v>86222</v>
      </c>
      <c r="Z1762">
        <f t="shared" si="27"/>
        <v>1204.98</v>
      </c>
    </row>
    <row r="1763" spans="1:26" x14ac:dyDescent="0.25">
      <c r="A1763">
        <v>19816</v>
      </c>
      <c r="B1763" t="s">
        <v>47</v>
      </c>
      <c r="C1763" s="2">
        <v>0.05</v>
      </c>
      <c r="D1763" s="2">
        <v>35.44</v>
      </c>
      <c r="E1763" s="2">
        <v>5.09</v>
      </c>
      <c r="F1763">
        <v>3098</v>
      </c>
      <c r="G1763" t="s">
        <v>2773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2757</v>
      </c>
      <c r="N1763">
        <v>0.38</v>
      </c>
      <c r="O1763" t="s">
        <v>33</v>
      </c>
      <c r="P1763" t="s">
        <v>53</v>
      </c>
      <c r="Q1763" t="s">
        <v>71</v>
      </c>
      <c r="R1763" t="s">
        <v>2774</v>
      </c>
      <c r="S1763">
        <v>11967</v>
      </c>
      <c r="T1763" s="1">
        <v>42102</v>
      </c>
      <c r="U1763" s="1">
        <v>42103</v>
      </c>
      <c r="V1763" s="2">
        <v>240.17519999999999</v>
      </c>
      <c r="W1763">
        <v>10</v>
      </c>
      <c r="X1763" s="2">
        <v>348.08</v>
      </c>
      <c r="Y1763">
        <v>89314</v>
      </c>
      <c r="Z1763">
        <f t="shared" si="27"/>
        <v>3480.7999999999997</v>
      </c>
    </row>
    <row r="1764" spans="1:26" x14ac:dyDescent="0.25">
      <c r="A1764">
        <v>22503</v>
      </c>
      <c r="B1764" t="s">
        <v>106</v>
      </c>
      <c r="C1764" s="2">
        <v>0</v>
      </c>
      <c r="D1764" s="2">
        <v>11.7</v>
      </c>
      <c r="E1764" s="2">
        <v>6.96</v>
      </c>
      <c r="F1764">
        <v>3098</v>
      </c>
      <c r="G1764" t="s">
        <v>2773</v>
      </c>
      <c r="H1764" t="s">
        <v>27</v>
      </c>
      <c r="I1764" t="s">
        <v>114</v>
      </c>
      <c r="J1764" t="s">
        <v>29</v>
      </c>
      <c r="K1764" t="s">
        <v>252</v>
      </c>
      <c r="L1764" t="s">
        <v>86</v>
      </c>
      <c r="M1764" t="s">
        <v>1268</v>
      </c>
      <c r="N1764">
        <v>0.5</v>
      </c>
      <c r="O1764" t="s">
        <v>33</v>
      </c>
      <c r="P1764" t="s">
        <v>53</v>
      </c>
      <c r="Q1764" t="s">
        <v>71</v>
      </c>
      <c r="R1764" t="s">
        <v>2774</v>
      </c>
      <c r="S1764">
        <v>11967</v>
      </c>
      <c r="T1764" s="1">
        <v>42172</v>
      </c>
      <c r="U1764" s="1">
        <v>42174</v>
      </c>
      <c r="V1764" s="2">
        <v>-11.247999999999999</v>
      </c>
      <c r="W1764">
        <v>10</v>
      </c>
      <c r="X1764" s="2">
        <v>131.69</v>
      </c>
      <c r="Y1764">
        <v>89315</v>
      </c>
      <c r="Z1764">
        <f t="shared" si="27"/>
        <v>1316.9</v>
      </c>
    </row>
    <row r="1765" spans="1:26" x14ac:dyDescent="0.25">
      <c r="A1765">
        <v>18930</v>
      </c>
      <c r="B1765" t="s">
        <v>106</v>
      </c>
      <c r="C1765" s="2">
        <v>0.06</v>
      </c>
      <c r="D1765" s="2">
        <v>2.89</v>
      </c>
      <c r="E1765" s="2">
        <v>0.5</v>
      </c>
      <c r="F1765">
        <v>3098</v>
      </c>
      <c r="G1765" t="s">
        <v>2773</v>
      </c>
      <c r="H1765" t="s">
        <v>49</v>
      </c>
      <c r="I1765" t="s">
        <v>114</v>
      </c>
      <c r="J1765" t="s">
        <v>29</v>
      </c>
      <c r="K1765" t="s">
        <v>133</v>
      </c>
      <c r="L1765" t="s">
        <v>59</v>
      </c>
      <c r="M1765" t="s">
        <v>780</v>
      </c>
      <c r="N1765">
        <v>0.38</v>
      </c>
      <c r="O1765" t="s">
        <v>33</v>
      </c>
      <c r="P1765" t="s">
        <v>53</v>
      </c>
      <c r="Q1765" t="s">
        <v>71</v>
      </c>
      <c r="R1765" t="s">
        <v>2774</v>
      </c>
      <c r="S1765">
        <v>11967</v>
      </c>
      <c r="T1765" s="1">
        <v>42063</v>
      </c>
      <c r="U1765" s="1">
        <v>42063</v>
      </c>
      <c r="V1765" s="2">
        <v>9.6117000000000008</v>
      </c>
      <c r="W1765">
        <v>5</v>
      </c>
      <c r="X1765" s="2">
        <v>13.93</v>
      </c>
      <c r="Y1765">
        <v>89316</v>
      </c>
      <c r="Z1765">
        <f t="shared" si="27"/>
        <v>69.650000000000006</v>
      </c>
    </row>
    <row r="1766" spans="1:26" x14ac:dyDescent="0.25">
      <c r="A1766">
        <v>19805</v>
      </c>
      <c r="B1766" t="s">
        <v>47</v>
      </c>
      <c r="C1766" s="2">
        <v>7.0000000000000007E-2</v>
      </c>
      <c r="D1766" s="2">
        <v>35.99</v>
      </c>
      <c r="E1766" s="2">
        <v>5</v>
      </c>
      <c r="F1766">
        <v>3100</v>
      </c>
      <c r="G1766" t="s">
        <v>2775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1748</v>
      </c>
      <c r="N1766">
        <v>0.82</v>
      </c>
      <c r="O1766" t="s">
        <v>33</v>
      </c>
      <c r="P1766" t="s">
        <v>135</v>
      </c>
      <c r="Q1766" t="s">
        <v>356</v>
      </c>
      <c r="R1766" t="s">
        <v>2776</v>
      </c>
      <c r="S1766">
        <v>33334</v>
      </c>
      <c r="T1766" s="1">
        <v>42088</v>
      </c>
      <c r="U1766" s="1">
        <v>42090</v>
      </c>
      <c r="V1766" s="2">
        <v>-299.81420000000003</v>
      </c>
      <c r="W1766">
        <v>1</v>
      </c>
      <c r="X1766" s="2">
        <v>31.71</v>
      </c>
      <c r="Y1766">
        <v>89988</v>
      </c>
      <c r="Z1766">
        <f t="shared" si="27"/>
        <v>31.71</v>
      </c>
    </row>
    <row r="1767" spans="1:26" x14ac:dyDescent="0.25">
      <c r="A1767">
        <v>18087</v>
      </c>
      <c r="B1767" t="s">
        <v>47</v>
      </c>
      <c r="C1767" s="2">
        <v>0.04</v>
      </c>
      <c r="D1767" s="2">
        <v>3.08</v>
      </c>
      <c r="E1767" s="2">
        <v>0.99</v>
      </c>
      <c r="F1767">
        <v>3105</v>
      </c>
      <c r="G1767" t="s">
        <v>2777</v>
      </c>
      <c r="H1767" t="s">
        <v>49</v>
      </c>
      <c r="I1767" t="s">
        <v>40</v>
      </c>
      <c r="J1767" t="s">
        <v>29</v>
      </c>
      <c r="K1767" t="s">
        <v>133</v>
      </c>
      <c r="L1767" t="s">
        <v>59</v>
      </c>
      <c r="M1767" t="s">
        <v>1978</v>
      </c>
      <c r="N1767">
        <v>0.37</v>
      </c>
      <c r="O1767" t="s">
        <v>33</v>
      </c>
      <c r="P1767" t="s">
        <v>135</v>
      </c>
      <c r="Q1767" t="s">
        <v>606</v>
      </c>
      <c r="R1767" t="s">
        <v>313</v>
      </c>
      <c r="S1767">
        <v>42071</v>
      </c>
      <c r="T1767" s="1">
        <v>42083</v>
      </c>
      <c r="U1767" s="1">
        <v>42084</v>
      </c>
      <c r="V1767" s="2">
        <v>13.8</v>
      </c>
      <c r="W1767">
        <v>19</v>
      </c>
      <c r="X1767" s="2">
        <v>60.01</v>
      </c>
      <c r="Y1767">
        <v>86327</v>
      </c>
      <c r="Z1767">
        <f t="shared" si="27"/>
        <v>1140.19</v>
      </c>
    </row>
    <row r="1768" spans="1:26" x14ac:dyDescent="0.25">
      <c r="A1768">
        <v>18088</v>
      </c>
      <c r="B1768" t="s">
        <v>47</v>
      </c>
      <c r="C1768" s="2">
        <v>0.02</v>
      </c>
      <c r="D1768" s="2">
        <v>6.48</v>
      </c>
      <c r="E1768" s="2">
        <v>5.9</v>
      </c>
      <c r="F1768">
        <v>3105</v>
      </c>
      <c r="G1768" t="s">
        <v>2777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704</v>
      </c>
      <c r="N1768">
        <v>0.37</v>
      </c>
      <c r="O1768" t="s">
        <v>33</v>
      </c>
      <c r="P1768" t="s">
        <v>135</v>
      </c>
      <c r="Q1768" t="s">
        <v>606</v>
      </c>
      <c r="R1768" t="s">
        <v>313</v>
      </c>
      <c r="S1768">
        <v>42071</v>
      </c>
      <c r="T1768" s="1">
        <v>42083</v>
      </c>
      <c r="U1768" s="1">
        <v>42084</v>
      </c>
      <c r="V1768" s="2">
        <v>4.3920000000000003</v>
      </c>
      <c r="W1768">
        <v>13</v>
      </c>
      <c r="X1768" s="2">
        <v>90.98</v>
      </c>
      <c r="Y1768">
        <v>86327</v>
      </c>
      <c r="Z1768">
        <f t="shared" si="27"/>
        <v>1182.74</v>
      </c>
    </row>
    <row r="1769" spans="1:26" x14ac:dyDescent="0.25">
      <c r="A1769">
        <v>18089</v>
      </c>
      <c r="B1769" t="s">
        <v>47</v>
      </c>
      <c r="C1769" s="2">
        <v>0.04</v>
      </c>
      <c r="D1769" s="2">
        <v>125.99</v>
      </c>
      <c r="E1769" s="2">
        <v>4.2</v>
      </c>
      <c r="F1769">
        <v>3105</v>
      </c>
      <c r="G1769" t="s">
        <v>2777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2778</v>
      </c>
      <c r="N1769">
        <v>0.59</v>
      </c>
      <c r="O1769" t="s">
        <v>33</v>
      </c>
      <c r="P1769" t="s">
        <v>135</v>
      </c>
      <c r="Q1769" t="s">
        <v>606</v>
      </c>
      <c r="R1769" t="s">
        <v>313</v>
      </c>
      <c r="S1769">
        <v>42071</v>
      </c>
      <c r="T1769" s="1">
        <v>42083</v>
      </c>
      <c r="U1769" s="1">
        <v>42085</v>
      </c>
      <c r="V1769" s="2">
        <v>-236.25</v>
      </c>
      <c r="W1769">
        <v>12</v>
      </c>
      <c r="X1769" s="2">
        <v>1270.7</v>
      </c>
      <c r="Y1769">
        <v>86327</v>
      </c>
      <c r="Z1769">
        <f t="shared" si="27"/>
        <v>15248.400000000001</v>
      </c>
    </row>
    <row r="1770" spans="1:26" x14ac:dyDescent="0.25">
      <c r="A1770">
        <v>87</v>
      </c>
      <c r="B1770" t="s">
        <v>47</v>
      </c>
      <c r="C1770" s="2">
        <v>0.04</v>
      </c>
      <c r="D1770" s="2">
        <v>3.08</v>
      </c>
      <c r="E1770" s="2">
        <v>0.99</v>
      </c>
      <c r="F1770">
        <v>3106</v>
      </c>
      <c r="G1770" t="s">
        <v>2779</v>
      </c>
      <c r="H1770" t="s">
        <v>49</v>
      </c>
      <c r="I1770" t="s">
        <v>40</v>
      </c>
      <c r="J1770" t="s">
        <v>29</v>
      </c>
      <c r="K1770" t="s">
        <v>133</v>
      </c>
      <c r="L1770" t="s">
        <v>59</v>
      </c>
      <c r="M1770" t="s">
        <v>1978</v>
      </c>
      <c r="N1770">
        <v>0.37</v>
      </c>
      <c r="O1770" t="s">
        <v>33</v>
      </c>
      <c r="P1770" t="s">
        <v>61</v>
      </c>
      <c r="Q1770" t="s">
        <v>129</v>
      </c>
      <c r="R1770" t="s">
        <v>2146</v>
      </c>
      <c r="S1770">
        <v>77041</v>
      </c>
      <c r="T1770" s="1">
        <v>42083</v>
      </c>
      <c r="U1770" s="1">
        <v>42084</v>
      </c>
      <c r="V1770" s="2">
        <v>36.020000000000003</v>
      </c>
      <c r="W1770">
        <v>75</v>
      </c>
      <c r="X1770" s="2">
        <v>236.87</v>
      </c>
      <c r="Y1770">
        <v>548</v>
      </c>
      <c r="Z1770">
        <f t="shared" si="27"/>
        <v>17765.25</v>
      </c>
    </row>
    <row r="1771" spans="1:26" x14ac:dyDescent="0.25">
      <c r="A1771">
        <v>88</v>
      </c>
      <c r="B1771" t="s">
        <v>47</v>
      </c>
      <c r="C1771" s="2">
        <v>0.02</v>
      </c>
      <c r="D1771" s="2">
        <v>6.48</v>
      </c>
      <c r="E1771" s="2">
        <v>5.9</v>
      </c>
      <c r="F1771">
        <v>3106</v>
      </c>
      <c r="G1771" t="s">
        <v>2779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704</v>
      </c>
      <c r="N1771">
        <v>0.37</v>
      </c>
      <c r="O1771" t="s">
        <v>33</v>
      </c>
      <c r="P1771" t="s">
        <v>61</v>
      </c>
      <c r="Q1771" t="s">
        <v>129</v>
      </c>
      <c r="R1771" t="s">
        <v>2146</v>
      </c>
      <c r="S1771">
        <v>77041</v>
      </c>
      <c r="T1771" s="1">
        <v>42083</v>
      </c>
      <c r="U1771" s="1">
        <v>42084</v>
      </c>
      <c r="V1771" s="2">
        <v>-50.64</v>
      </c>
      <c r="W1771">
        <v>53</v>
      </c>
      <c r="X1771" s="2">
        <v>370.91</v>
      </c>
      <c r="Y1771">
        <v>548</v>
      </c>
      <c r="Z1771">
        <f t="shared" si="27"/>
        <v>19658.23</v>
      </c>
    </row>
    <row r="1772" spans="1:26" x14ac:dyDescent="0.25">
      <c r="A1772">
        <v>89</v>
      </c>
      <c r="B1772" t="s">
        <v>47</v>
      </c>
      <c r="C1772" s="2">
        <v>0.04</v>
      </c>
      <c r="D1772" s="2">
        <v>125.99</v>
      </c>
      <c r="E1772" s="2">
        <v>4.2</v>
      </c>
      <c r="F1772">
        <v>3106</v>
      </c>
      <c r="G1772" t="s">
        <v>2779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2778</v>
      </c>
      <c r="N1772">
        <v>0.59</v>
      </c>
      <c r="O1772" t="s">
        <v>33</v>
      </c>
      <c r="P1772" t="s">
        <v>61</v>
      </c>
      <c r="Q1772" t="s">
        <v>129</v>
      </c>
      <c r="R1772" t="s">
        <v>2146</v>
      </c>
      <c r="S1772">
        <v>77041</v>
      </c>
      <c r="T1772" s="1">
        <v>42083</v>
      </c>
      <c r="U1772" s="1">
        <v>42085</v>
      </c>
      <c r="V1772" s="2">
        <v>510.48899999999998</v>
      </c>
      <c r="W1772">
        <v>47</v>
      </c>
      <c r="X1772" s="2">
        <v>4976.92</v>
      </c>
      <c r="Y1772">
        <v>548</v>
      </c>
      <c r="Z1772">
        <f t="shared" si="27"/>
        <v>233915.24</v>
      </c>
    </row>
    <row r="1773" spans="1:26" x14ac:dyDescent="0.25">
      <c r="A1773">
        <v>21120</v>
      </c>
      <c r="B1773" t="s">
        <v>37</v>
      </c>
      <c r="C1773" s="2">
        <v>7.0000000000000007E-2</v>
      </c>
      <c r="D1773" s="2">
        <v>34.54</v>
      </c>
      <c r="E1773" s="2">
        <v>14.72</v>
      </c>
      <c r="F1773">
        <v>3113</v>
      </c>
      <c r="G1773" t="s">
        <v>2780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2781</v>
      </c>
      <c r="N1773">
        <v>0.37</v>
      </c>
      <c r="O1773" t="s">
        <v>33</v>
      </c>
      <c r="P1773" t="s">
        <v>135</v>
      </c>
      <c r="Q1773" t="s">
        <v>168</v>
      </c>
      <c r="R1773" t="s">
        <v>2782</v>
      </c>
      <c r="S1773">
        <v>70560</v>
      </c>
      <c r="T1773" s="1">
        <v>42141</v>
      </c>
      <c r="U1773" s="1">
        <v>42142</v>
      </c>
      <c r="V1773" s="2">
        <v>-20.182259999999999</v>
      </c>
      <c r="W1773">
        <v>17</v>
      </c>
      <c r="X1773" s="2">
        <v>574.97</v>
      </c>
      <c r="Y1773">
        <v>86860</v>
      </c>
      <c r="Z1773">
        <f t="shared" si="27"/>
        <v>9774.49</v>
      </c>
    </row>
    <row r="1774" spans="1:26" x14ac:dyDescent="0.25">
      <c r="A1774">
        <v>21121</v>
      </c>
      <c r="B1774" t="s">
        <v>37</v>
      </c>
      <c r="C1774" s="2">
        <v>0.02</v>
      </c>
      <c r="D1774" s="2">
        <v>12.28</v>
      </c>
      <c r="E1774" s="2">
        <v>6.47</v>
      </c>
      <c r="F1774">
        <v>3113</v>
      </c>
      <c r="G1774" t="s">
        <v>2780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2712</v>
      </c>
      <c r="N1774">
        <v>0.38</v>
      </c>
      <c r="O1774" t="s">
        <v>33</v>
      </c>
      <c r="P1774" t="s">
        <v>135</v>
      </c>
      <c r="Q1774" t="s">
        <v>168</v>
      </c>
      <c r="R1774" t="s">
        <v>2782</v>
      </c>
      <c r="S1774">
        <v>70560</v>
      </c>
      <c r="T1774" s="1">
        <v>42141</v>
      </c>
      <c r="U1774" s="1">
        <v>42141</v>
      </c>
      <c r="V1774" s="2">
        <v>-156.97219999999999</v>
      </c>
      <c r="W1774">
        <v>9</v>
      </c>
      <c r="X1774" s="2">
        <v>115.22</v>
      </c>
      <c r="Y1774">
        <v>86860</v>
      </c>
      <c r="Z1774">
        <f t="shared" si="27"/>
        <v>1036.98</v>
      </c>
    </row>
    <row r="1775" spans="1:26" x14ac:dyDescent="0.25">
      <c r="A1775">
        <v>21122</v>
      </c>
      <c r="B1775" t="s">
        <v>37</v>
      </c>
      <c r="C1775" s="2">
        <v>0.06</v>
      </c>
      <c r="D1775" s="2">
        <v>34.58</v>
      </c>
      <c r="E1775" s="2">
        <v>8.99</v>
      </c>
      <c r="F1775">
        <v>3113</v>
      </c>
      <c r="G1775" t="s">
        <v>2780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2783</v>
      </c>
      <c r="N1775">
        <v>0.56000000000000005</v>
      </c>
      <c r="O1775" t="s">
        <v>33</v>
      </c>
      <c r="P1775" t="s">
        <v>135</v>
      </c>
      <c r="Q1775" t="s">
        <v>168</v>
      </c>
      <c r="R1775" t="s">
        <v>2782</v>
      </c>
      <c r="S1775">
        <v>70560</v>
      </c>
      <c r="T1775" s="1">
        <v>42141</v>
      </c>
      <c r="U1775" s="1">
        <v>42143</v>
      </c>
      <c r="V1775" s="2">
        <v>384.5043</v>
      </c>
      <c r="W1775">
        <v>13</v>
      </c>
      <c r="X1775" s="2">
        <v>456.58</v>
      </c>
      <c r="Y1775">
        <v>86860</v>
      </c>
      <c r="Z1775">
        <f t="shared" si="27"/>
        <v>5935.54</v>
      </c>
    </row>
    <row r="1776" spans="1:26" x14ac:dyDescent="0.25">
      <c r="A1776">
        <v>20795</v>
      </c>
      <c r="B1776" t="s">
        <v>47</v>
      </c>
      <c r="C1776" s="2">
        <v>0.08</v>
      </c>
      <c r="D1776" s="2">
        <v>349.45</v>
      </c>
      <c r="E1776" s="2">
        <v>60</v>
      </c>
      <c r="F1776">
        <v>3119</v>
      </c>
      <c r="G1776" t="s">
        <v>2784</v>
      </c>
      <c r="H1776" t="s">
        <v>39</v>
      </c>
      <c r="I1776" t="s">
        <v>28</v>
      </c>
      <c r="J1776" t="s">
        <v>41</v>
      </c>
      <c r="K1776" t="s">
        <v>150</v>
      </c>
      <c r="L1776" t="s">
        <v>43</v>
      </c>
      <c r="M1776" t="s">
        <v>980</v>
      </c>
      <c r="O1776" t="s">
        <v>33</v>
      </c>
      <c r="P1776" t="s">
        <v>135</v>
      </c>
      <c r="Q1776" t="s">
        <v>356</v>
      </c>
      <c r="R1776" t="s">
        <v>2785</v>
      </c>
      <c r="S1776">
        <v>32839</v>
      </c>
      <c r="T1776" s="1">
        <v>42185</v>
      </c>
      <c r="U1776" s="1">
        <v>42187</v>
      </c>
      <c r="V1776" s="2">
        <v>513.08399999999995</v>
      </c>
      <c r="W1776">
        <v>11</v>
      </c>
      <c r="X1776" s="2">
        <v>3772.19</v>
      </c>
      <c r="Y1776">
        <v>86432</v>
      </c>
      <c r="Z1776">
        <f t="shared" si="27"/>
        <v>41494.090000000004</v>
      </c>
    </row>
    <row r="1777" spans="1:26" x14ac:dyDescent="0.25">
      <c r="A1777">
        <v>25473</v>
      </c>
      <c r="B1777" t="s">
        <v>37</v>
      </c>
      <c r="C1777" s="2">
        <v>0.08</v>
      </c>
      <c r="D1777" s="2">
        <v>315.98</v>
      </c>
      <c r="E1777" s="2">
        <v>19.989999999999998</v>
      </c>
      <c r="F1777">
        <v>3120</v>
      </c>
      <c r="G1777" t="s">
        <v>2786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2787</v>
      </c>
      <c r="N1777">
        <v>0.38</v>
      </c>
      <c r="O1777" t="s">
        <v>33</v>
      </c>
      <c r="P1777" t="s">
        <v>135</v>
      </c>
      <c r="Q1777" t="s">
        <v>168</v>
      </c>
      <c r="R1777" t="s">
        <v>2788</v>
      </c>
      <c r="S1777">
        <v>70117</v>
      </c>
      <c r="T1777" s="1">
        <v>42169</v>
      </c>
      <c r="U1777" s="1">
        <v>42169</v>
      </c>
      <c r="V1777" s="2">
        <v>44.52</v>
      </c>
      <c r="W1777">
        <v>9</v>
      </c>
      <c r="X1777" s="2">
        <v>2642.48</v>
      </c>
      <c r="Y1777">
        <v>90160</v>
      </c>
      <c r="Z1777">
        <f t="shared" si="27"/>
        <v>23782.32</v>
      </c>
    </row>
    <row r="1778" spans="1:26" x14ac:dyDescent="0.25">
      <c r="A1778">
        <v>23764</v>
      </c>
      <c r="B1778" t="s">
        <v>106</v>
      </c>
      <c r="C1778" s="2">
        <v>0.02</v>
      </c>
      <c r="D1778" s="2">
        <v>7.1</v>
      </c>
      <c r="E1778" s="2">
        <v>6.05</v>
      </c>
      <c r="F1778">
        <v>3123</v>
      </c>
      <c r="G1778" t="s">
        <v>2789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644</v>
      </c>
      <c r="N1778">
        <v>0.39</v>
      </c>
      <c r="O1778" t="s">
        <v>33</v>
      </c>
      <c r="P1778" t="s">
        <v>61</v>
      </c>
      <c r="Q1778" t="s">
        <v>175</v>
      </c>
      <c r="R1778" t="s">
        <v>2790</v>
      </c>
      <c r="S1778">
        <v>60160</v>
      </c>
      <c r="T1778" s="1">
        <v>42011</v>
      </c>
      <c r="U1778" s="1">
        <v>42013</v>
      </c>
      <c r="V1778" s="2">
        <v>-48.875</v>
      </c>
      <c r="W1778">
        <v>8</v>
      </c>
      <c r="X1778" s="2">
        <v>61.5</v>
      </c>
      <c r="Y1778">
        <v>87287</v>
      </c>
      <c r="Z1778">
        <f t="shared" si="27"/>
        <v>492</v>
      </c>
    </row>
    <row r="1779" spans="1:26" x14ac:dyDescent="0.25">
      <c r="A1779">
        <v>25060</v>
      </c>
      <c r="B1779" t="s">
        <v>37</v>
      </c>
      <c r="C1779" s="2">
        <v>0.05</v>
      </c>
      <c r="D1779" s="2">
        <v>120.98</v>
      </c>
      <c r="E1779" s="2">
        <v>9.07</v>
      </c>
      <c r="F1779">
        <v>3124</v>
      </c>
      <c r="G1779" t="s">
        <v>2791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1311</v>
      </c>
      <c r="N1779">
        <v>0.35</v>
      </c>
      <c r="O1779" t="s">
        <v>33</v>
      </c>
      <c r="P1779" t="s">
        <v>61</v>
      </c>
      <c r="Q1779" t="s">
        <v>175</v>
      </c>
      <c r="R1779" t="s">
        <v>2792</v>
      </c>
      <c r="S1779">
        <v>61265</v>
      </c>
      <c r="T1779" s="1">
        <v>42154</v>
      </c>
      <c r="U1779" s="1">
        <v>42155</v>
      </c>
      <c r="V1779" s="2">
        <v>881.04719999999998</v>
      </c>
      <c r="W1779">
        <v>11</v>
      </c>
      <c r="X1779" s="2">
        <v>1276.8800000000001</v>
      </c>
      <c r="Y1779">
        <v>87286</v>
      </c>
      <c r="Z1779">
        <f t="shared" si="27"/>
        <v>14045.68</v>
      </c>
    </row>
    <row r="1780" spans="1:26" x14ac:dyDescent="0.25">
      <c r="A1780">
        <v>25352</v>
      </c>
      <c r="B1780" t="s">
        <v>25</v>
      </c>
      <c r="C1780" s="2">
        <v>0.08</v>
      </c>
      <c r="D1780" s="2">
        <v>120.97</v>
      </c>
      <c r="E1780" s="2">
        <v>26.3</v>
      </c>
      <c r="F1780">
        <v>3125</v>
      </c>
      <c r="G1780" t="s">
        <v>2793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2794</v>
      </c>
      <c r="N1780">
        <v>0.38</v>
      </c>
      <c r="O1780" t="s">
        <v>33</v>
      </c>
      <c r="P1780" t="s">
        <v>61</v>
      </c>
      <c r="Q1780" t="s">
        <v>175</v>
      </c>
      <c r="R1780" t="s">
        <v>2795</v>
      </c>
      <c r="S1780">
        <v>60056</v>
      </c>
      <c r="T1780" s="1">
        <v>42009</v>
      </c>
      <c r="U1780" s="1">
        <v>42011</v>
      </c>
      <c r="V1780" s="2">
        <v>-233.840688</v>
      </c>
      <c r="W1780">
        <v>2</v>
      </c>
      <c r="X1780" s="2">
        <v>233.58</v>
      </c>
      <c r="Y1780">
        <v>87285</v>
      </c>
      <c r="Z1780">
        <f t="shared" si="27"/>
        <v>467.16</v>
      </c>
    </row>
    <row r="1781" spans="1:26" x14ac:dyDescent="0.25">
      <c r="A1781">
        <v>24457</v>
      </c>
      <c r="B1781" t="s">
        <v>106</v>
      </c>
      <c r="C1781" s="2">
        <v>0.08</v>
      </c>
      <c r="D1781" s="2">
        <v>3.69</v>
      </c>
      <c r="E1781" s="2">
        <v>2.5</v>
      </c>
      <c r="F1781">
        <v>3128</v>
      </c>
      <c r="G1781" t="s">
        <v>2796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1346</v>
      </c>
      <c r="N1781">
        <v>0.39</v>
      </c>
      <c r="O1781" t="s">
        <v>33</v>
      </c>
      <c r="P1781" t="s">
        <v>135</v>
      </c>
      <c r="Q1781" t="s">
        <v>168</v>
      </c>
      <c r="R1781" t="s">
        <v>2797</v>
      </c>
      <c r="S1781">
        <v>71109</v>
      </c>
      <c r="T1781" s="1">
        <v>42180</v>
      </c>
      <c r="U1781" s="1">
        <v>42185</v>
      </c>
      <c r="V1781" s="2">
        <v>-139.07599999999999</v>
      </c>
      <c r="W1781">
        <v>9</v>
      </c>
      <c r="X1781" s="2">
        <v>31.98</v>
      </c>
      <c r="Y1781">
        <v>89810</v>
      </c>
      <c r="Z1781">
        <f t="shared" si="27"/>
        <v>287.82</v>
      </c>
    </row>
    <row r="1782" spans="1:26" x14ac:dyDescent="0.25">
      <c r="A1782">
        <v>20483</v>
      </c>
      <c r="B1782" t="s">
        <v>25</v>
      </c>
      <c r="C1782" s="2">
        <v>0.1</v>
      </c>
      <c r="D1782" s="2">
        <v>180.98</v>
      </c>
      <c r="E1782" s="2">
        <v>26.2</v>
      </c>
      <c r="F1782">
        <v>3132</v>
      </c>
      <c r="G1782" t="s">
        <v>2798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236</v>
      </c>
      <c r="N1782">
        <v>0.59</v>
      </c>
      <c r="O1782" t="s">
        <v>33</v>
      </c>
      <c r="P1782" t="s">
        <v>61</v>
      </c>
      <c r="Q1782" t="s">
        <v>175</v>
      </c>
      <c r="R1782" t="s">
        <v>2799</v>
      </c>
      <c r="S1782">
        <v>60060</v>
      </c>
      <c r="T1782" s="1">
        <v>42177</v>
      </c>
      <c r="U1782" s="1">
        <v>42178</v>
      </c>
      <c r="V1782" s="2">
        <v>-64.664000000000001</v>
      </c>
      <c r="W1782">
        <v>3</v>
      </c>
      <c r="X1782" s="2">
        <v>519.41999999999996</v>
      </c>
      <c r="Y1782">
        <v>86790</v>
      </c>
      <c r="Z1782">
        <f t="shared" si="27"/>
        <v>1558.2599999999998</v>
      </c>
    </row>
    <row r="1783" spans="1:26" x14ac:dyDescent="0.25">
      <c r="A1783">
        <v>19258</v>
      </c>
      <c r="B1783" t="s">
        <v>56</v>
      </c>
      <c r="C1783" s="2">
        <v>0.04</v>
      </c>
      <c r="D1783" s="2">
        <v>62.05</v>
      </c>
      <c r="E1783" s="2">
        <v>3.99</v>
      </c>
      <c r="F1783">
        <v>3132</v>
      </c>
      <c r="G1783" t="s">
        <v>2798</v>
      </c>
      <c r="H1783" t="s">
        <v>49</v>
      </c>
      <c r="I1783" t="s">
        <v>28</v>
      </c>
      <c r="J1783" t="s">
        <v>29</v>
      </c>
      <c r="K1783" t="s">
        <v>252</v>
      </c>
      <c r="L1783" t="s">
        <v>59</v>
      </c>
      <c r="M1783" t="s">
        <v>2800</v>
      </c>
      <c r="N1783">
        <v>0.55000000000000004</v>
      </c>
      <c r="O1783" t="s">
        <v>33</v>
      </c>
      <c r="P1783" t="s">
        <v>61</v>
      </c>
      <c r="Q1783" t="s">
        <v>175</v>
      </c>
      <c r="R1783" t="s">
        <v>2799</v>
      </c>
      <c r="S1783">
        <v>60060</v>
      </c>
      <c r="T1783" s="1">
        <v>42141</v>
      </c>
      <c r="U1783" s="1">
        <v>42142</v>
      </c>
      <c r="V1783" s="2">
        <v>1644.0768</v>
      </c>
      <c r="W1783">
        <v>40</v>
      </c>
      <c r="X1783" s="2">
        <v>2382.7199999999998</v>
      </c>
      <c r="Y1783">
        <v>86794</v>
      </c>
      <c r="Z1783">
        <f t="shared" si="27"/>
        <v>95308.799999999988</v>
      </c>
    </row>
    <row r="1784" spans="1:26" x14ac:dyDescent="0.25">
      <c r="A1784">
        <v>22459</v>
      </c>
      <c r="B1784" t="s">
        <v>56</v>
      </c>
      <c r="C1784" s="2">
        <v>0.1</v>
      </c>
      <c r="D1784" s="2">
        <v>5.81</v>
      </c>
      <c r="E1784" s="2">
        <v>8.49</v>
      </c>
      <c r="F1784">
        <v>3133</v>
      </c>
      <c r="G1784" t="s">
        <v>2801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319</v>
      </c>
      <c r="N1784">
        <v>0.39</v>
      </c>
      <c r="O1784" t="s">
        <v>33</v>
      </c>
      <c r="P1784" t="s">
        <v>61</v>
      </c>
      <c r="Q1784" t="s">
        <v>175</v>
      </c>
      <c r="R1784" t="s">
        <v>2802</v>
      </c>
      <c r="S1784">
        <v>60540</v>
      </c>
      <c r="T1784" s="1">
        <v>42020</v>
      </c>
      <c r="U1784" s="1">
        <v>42021</v>
      </c>
      <c r="V1784" s="2">
        <v>-350.43950000000001</v>
      </c>
      <c r="W1784">
        <v>12</v>
      </c>
      <c r="X1784" s="2">
        <v>64.959999999999994</v>
      </c>
      <c r="Y1784">
        <v>86789</v>
      </c>
      <c r="Z1784">
        <f t="shared" si="27"/>
        <v>779.52</v>
      </c>
    </row>
    <row r="1785" spans="1:26" x14ac:dyDescent="0.25">
      <c r="A1785">
        <v>22460</v>
      </c>
      <c r="B1785" t="s">
        <v>56</v>
      </c>
      <c r="C1785" s="2">
        <v>0.03</v>
      </c>
      <c r="D1785" s="2">
        <v>1.81</v>
      </c>
      <c r="E1785" s="2">
        <v>0.75</v>
      </c>
      <c r="F1785">
        <v>3133</v>
      </c>
      <c r="G1785" t="s">
        <v>2801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2803</v>
      </c>
      <c r="N1785">
        <v>0.52</v>
      </c>
      <c r="O1785" t="s">
        <v>33</v>
      </c>
      <c r="P1785" t="s">
        <v>61</v>
      </c>
      <c r="Q1785" t="s">
        <v>175</v>
      </c>
      <c r="R1785" t="s">
        <v>2802</v>
      </c>
      <c r="S1785">
        <v>60540</v>
      </c>
      <c r="T1785" s="1">
        <v>42020</v>
      </c>
      <c r="U1785" s="1">
        <v>42021</v>
      </c>
      <c r="V1785" s="2">
        <v>4.2027999999999999</v>
      </c>
      <c r="W1785">
        <v>10</v>
      </c>
      <c r="X1785" s="2">
        <v>19.14</v>
      </c>
      <c r="Y1785">
        <v>86789</v>
      </c>
      <c r="Z1785">
        <f t="shared" si="27"/>
        <v>191.4</v>
      </c>
    </row>
    <row r="1786" spans="1:26" x14ac:dyDescent="0.25">
      <c r="A1786">
        <v>21719</v>
      </c>
      <c r="B1786" t="s">
        <v>47</v>
      </c>
      <c r="C1786" s="2">
        <v>0.08</v>
      </c>
      <c r="D1786" s="2">
        <v>5.4</v>
      </c>
      <c r="E1786" s="2">
        <v>7.78</v>
      </c>
      <c r="F1786">
        <v>3133</v>
      </c>
      <c r="G1786" t="s">
        <v>2801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305</v>
      </c>
      <c r="N1786">
        <v>0.37</v>
      </c>
      <c r="O1786" t="s">
        <v>33</v>
      </c>
      <c r="P1786" t="s">
        <v>61</v>
      </c>
      <c r="Q1786" t="s">
        <v>175</v>
      </c>
      <c r="R1786" t="s">
        <v>2802</v>
      </c>
      <c r="S1786">
        <v>60540</v>
      </c>
      <c r="T1786" s="1">
        <v>42067</v>
      </c>
      <c r="U1786" s="1">
        <v>42067</v>
      </c>
      <c r="V1786" s="2">
        <v>-44.067999999999998</v>
      </c>
      <c r="W1786">
        <v>4</v>
      </c>
      <c r="X1786" s="2">
        <v>25.35</v>
      </c>
      <c r="Y1786">
        <v>86792</v>
      </c>
      <c r="Z1786">
        <f t="shared" si="27"/>
        <v>101.4</v>
      </c>
    </row>
    <row r="1787" spans="1:26" x14ac:dyDescent="0.25">
      <c r="A1787">
        <v>21720</v>
      </c>
      <c r="B1787" t="s">
        <v>47</v>
      </c>
      <c r="C1787" s="2">
        <v>0.09</v>
      </c>
      <c r="D1787" s="2">
        <v>8.4600000000000009</v>
      </c>
      <c r="E1787" s="2">
        <v>8.99</v>
      </c>
      <c r="F1787">
        <v>3133</v>
      </c>
      <c r="G1787" t="s">
        <v>2801</v>
      </c>
      <c r="H1787" t="s">
        <v>27</v>
      </c>
      <c r="I1787" t="s">
        <v>28</v>
      </c>
      <c r="J1787" t="s">
        <v>77</v>
      </c>
      <c r="K1787" t="s">
        <v>177</v>
      </c>
      <c r="L1787" t="s">
        <v>51</v>
      </c>
      <c r="M1787" t="s">
        <v>2804</v>
      </c>
      <c r="N1787">
        <v>0.79</v>
      </c>
      <c r="O1787" t="s">
        <v>33</v>
      </c>
      <c r="P1787" t="s">
        <v>61</v>
      </c>
      <c r="Q1787" t="s">
        <v>175</v>
      </c>
      <c r="R1787" t="s">
        <v>2802</v>
      </c>
      <c r="S1787">
        <v>60540</v>
      </c>
      <c r="T1787" s="1">
        <v>42067</v>
      </c>
      <c r="U1787" s="1">
        <v>42070</v>
      </c>
      <c r="V1787" s="2">
        <v>-100.51</v>
      </c>
      <c r="W1787">
        <v>5</v>
      </c>
      <c r="X1787" s="2">
        <v>45.03</v>
      </c>
      <c r="Y1787">
        <v>86792</v>
      </c>
      <c r="Z1787">
        <f t="shared" si="27"/>
        <v>225.15</v>
      </c>
    </row>
    <row r="1788" spans="1:26" x14ac:dyDescent="0.25">
      <c r="A1788">
        <v>21721</v>
      </c>
      <c r="B1788" t="s">
        <v>47</v>
      </c>
      <c r="C1788" s="2">
        <v>0.21</v>
      </c>
      <c r="D1788" s="2">
        <v>14.98</v>
      </c>
      <c r="E1788" s="2">
        <v>8.99</v>
      </c>
      <c r="F1788">
        <v>3133</v>
      </c>
      <c r="G1788" t="s">
        <v>2801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2578</v>
      </c>
      <c r="N1788">
        <v>0.39</v>
      </c>
      <c r="O1788" t="s">
        <v>33</v>
      </c>
      <c r="P1788" t="s">
        <v>61</v>
      </c>
      <c r="Q1788" t="s">
        <v>175</v>
      </c>
      <c r="R1788" t="s">
        <v>2802</v>
      </c>
      <c r="S1788">
        <v>60540</v>
      </c>
      <c r="T1788" s="1">
        <v>42067</v>
      </c>
      <c r="U1788" s="1">
        <v>42068</v>
      </c>
      <c r="V1788" s="2">
        <v>-17.75</v>
      </c>
      <c r="W1788">
        <v>10</v>
      </c>
      <c r="X1788" s="2">
        <v>153.87</v>
      </c>
      <c r="Y1788">
        <v>86792</v>
      </c>
      <c r="Z1788">
        <f t="shared" si="27"/>
        <v>1538.7</v>
      </c>
    </row>
    <row r="1789" spans="1:26" x14ac:dyDescent="0.25">
      <c r="A1789">
        <v>21722</v>
      </c>
      <c r="B1789" t="s">
        <v>47</v>
      </c>
      <c r="C1789" s="2">
        <v>0.04</v>
      </c>
      <c r="D1789" s="2">
        <v>155.99</v>
      </c>
      <c r="E1789" s="2">
        <v>8.08</v>
      </c>
      <c r="F1789">
        <v>3133</v>
      </c>
      <c r="G1789" t="s">
        <v>2801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2805</v>
      </c>
      <c r="N1789">
        <v>0.6</v>
      </c>
      <c r="O1789" t="s">
        <v>33</v>
      </c>
      <c r="P1789" t="s">
        <v>61</v>
      </c>
      <c r="Q1789" t="s">
        <v>175</v>
      </c>
      <c r="R1789" t="s">
        <v>2802</v>
      </c>
      <c r="S1789">
        <v>60540</v>
      </c>
      <c r="T1789" s="1">
        <v>42067</v>
      </c>
      <c r="U1789" s="1">
        <v>42068</v>
      </c>
      <c r="V1789" s="2">
        <v>1374.9480000000001</v>
      </c>
      <c r="W1789">
        <v>22</v>
      </c>
      <c r="X1789" s="2">
        <v>2800.33</v>
      </c>
      <c r="Y1789">
        <v>86792</v>
      </c>
      <c r="Z1789">
        <f t="shared" si="27"/>
        <v>61607.259999999995</v>
      </c>
    </row>
    <row r="1790" spans="1:26" x14ac:dyDescent="0.25">
      <c r="A1790">
        <v>23898</v>
      </c>
      <c r="B1790" t="s">
        <v>47</v>
      </c>
      <c r="C1790" s="2">
        <v>0.03</v>
      </c>
      <c r="D1790" s="2">
        <v>150.88999999999999</v>
      </c>
      <c r="E1790" s="2">
        <v>60.2</v>
      </c>
      <c r="F1790">
        <v>3136</v>
      </c>
      <c r="G1790" t="s">
        <v>2806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1175</v>
      </c>
      <c r="N1790">
        <v>0.77</v>
      </c>
      <c r="O1790" t="s">
        <v>33</v>
      </c>
      <c r="P1790" t="s">
        <v>53</v>
      </c>
      <c r="Q1790" t="s">
        <v>184</v>
      </c>
      <c r="R1790" t="s">
        <v>427</v>
      </c>
      <c r="S1790">
        <v>4073</v>
      </c>
      <c r="T1790" s="1">
        <v>42057</v>
      </c>
      <c r="U1790" s="1">
        <v>42057</v>
      </c>
      <c r="V1790" s="2">
        <v>-677.87199999999996</v>
      </c>
      <c r="W1790">
        <v>23</v>
      </c>
      <c r="X1790" s="2">
        <v>3596.03</v>
      </c>
      <c r="Y1790">
        <v>86791</v>
      </c>
      <c r="Z1790">
        <f t="shared" si="27"/>
        <v>82708.69</v>
      </c>
    </row>
    <row r="1791" spans="1:26" x14ac:dyDescent="0.25">
      <c r="A1791">
        <v>24691</v>
      </c>
      <c r="B1791" t="s">
        <v>37</v>
      </c>
      <c r="C1791" s="2">
        <v>0.09</v>
      </c>
      <c r="D1791" s="2">
        <v>304.99</v>
      </c>
      <c r="E1791" s="2">
        <v>19.989999999999998</v>
      </c>
      <c r="F1791">
        <v>3137</v>
      </c>
      <c r="G1791" t="s">
        <v>2807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2605</v>
      </c>
      <c r="N1791">
        <v>0.4</v>
      </c>
      <c r="O1791" t="s">
        <v>33</v>
      </c>
      <c r="P1791" t="s">
        <v>53</v>
      </c>
      <c r="Q1791" t="s">
        <v>193</v>
      </c>
      <c r="R1791" t="s">
        <v>2808</v>
      </c>
      <c r="S1791">
        <v>3246</v>
      </c>
      <c r="T1791" s="1">
        <v>42163</v>
      </c>
      <c r="U1791" s="1">
        <v>42164</v>
      </c>
      <c r="V1791" s="2">
        <v>1623.9494999999999</v>
      </c>
      <c r="W1791">
        <v>8</v>
      </c>
      <c r="X1791" s="2">
        <v>2353.5500000000002</v>
      </c>
      <c r="Y1791">
        <v>86795</v>
      </c>
      <c r="Z1791">
        <f t="shared" si="27"/>
        <v>18828.400000000001</v>
      </c>
    </row>
    <row r="1792" spans="1:26" x14ac:dyDescent="0.25">
      <c r="A1792">
        <v>23706</v>
      </c>
      <c r="B1792" t="s">
        <v>37</v>
      </c>
      <c r="C1792" s="2">
        <v>0.05</v>
      </c>
      <c r="D1792" s="2">
        <v>4.0599999999999996</v>
      </c>
      <c r="E1792" s="2">
        <v>6.89</v>
      </c>
      <c r="F1792">
        <v>3138</v>
      </c>
      <c r="G1792" t="s">
        <v>2809</v>
      </c>
      <c r="H1792" t="s">
        <v>27</v>
      </c>
      <c r="I1792" t="s">
        <v>28</v>
      </c>
      <c r="J1792" t="s">
        <v>29</v>
      </c>
      <c r="K1792" t="s">
        <v>252</v>
      </c>
      <c r="L1792" t="s">
        <v>59</v>
      </c>
      <c r="M1792" t="s">
        <v>901</v>
      </c>
      <c r="N1792">
        <v>0.6</v>
      </c>
      <c r="O1792" t="s">
        <v>33</v>
      </c>
      <c r="P1792" t="s">
        <v>53</v>
      </c>
      <c r="Q1792" t="s">
        <v>193</v>
      </c>
      <c r="R1792" t="s">
        <v>2810</v>
      </c>
      <c r="S1792">
        <v>3053</v>
      </c>
      <c r="T1792" s="1">
        <v>42174</v>
      </c>
      <c r="U1792" s="1">
        <v>42176</v>
      </c>
      <c r="V1792" s="2">
        <v>-122.83499999999999</v>
      </c>
      <c r="W1792">
        <v>22</v>
      </c>
      <c r="X1792" s="2">
        <v>92.57</v>
      </c>
      <c r="Y1792">
        <v>86796</v>
      </c>
      <c r="Z1792">
        <f t="shared" si="27"/>
        <v>2036.54</v>
      </c>
    </row>
    <row r="1793" spans="1:26" x14ac:dyDescent="0.25">
      <c r="A1793">
        <v>23427</v>
      </c>
      <c r="B1793" t="s">
        <v>47</v>
      </c>
      <c r="C1793" s="2">
        <v>0.09</v>
      </c>
      <c r="D1793" s="2">
        <v>280.98</v>
      </c>
      <c r="E1793" s="2">
        <v>57</v>
      </c>
      <c r="F1793">
        <v>3139</v>
      </c>
      <c r="G1793" t="s">
        <v>2811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662</v>
      </c>
      <c r="N1793">
        <v>0.78</v>
      </c>
      <c r="O1793" t="s">
        <v>33</v>
      </c>
      <c r="P1793" t="s">
        <v>53</v>
      </c>
      <c r="Q1793" t="s">
        <v>54</v>
      </c>
      <c r="R1793" t="s">
        <v>859</v>
      </c>
      <c r="S1793">
        <v>7016</v>
      </c>
      <c r="T1793" s="1">
        <v>42126</v>
      </c>
      <c r="U1793" s="1">
        <v>42129</v>
      </c>
      <c r="V1793" s="2">
        <v>252.488</v>
      </c>
      <c r="W1793">
        <v>31</v>
      </c>
      <c r="X1793" s="2">
        <v>7974.21</v>
      </c>
      <c r="Y1793">
        <v>86793</v>
      </c>
      <c r="Z1793">
        <f t="shared" si="27"/>
        <v>247200.51</v>
      </c>
    </row>
    <row r="1794" spans="1:26" x14ac:dyDescent="0.25">
      <c r="A1794">
        <v>18917</v>
      </c>
      <c r="B1794" t="s">
        <v>106</v>
      </c>
      <c r="C1794" s="2">
        <v>0.09</v>
      </c>
      <c r="D1794" s="2">
        <v>6.84</v>
      </c>
      <c r="E1794" s="2">
        <v>8.3699999999999992</v>
      </c>
      <c r="F1794">
        <v>3141</v>
      </c>
      <c r="G1794" t="s">
        <v>2812</v>
      </c>
      <c r="H1794" t="s">
        <v>49</v>
      </c>
      <c r="I1794" t="s">
        <v>114</v>
      </c>
      <c r="J1794" t="s">
        <v>29</v>
      </c>
      <c r="K1794" t="s">
        <v>171</v>
      </c>
      <c r="L1794" t="s">
        <v>51</v>
      </c>
      <c r="M1794" t="s">
        <v>1683</v>
      </c>
      <c r="N1794">
        <v>0.57999999999999996</v>
      </c>
      <c r="O1794" t="s">
        <v>33</v>
      </c>
      <c r="P1794" t="s">
        <v>61</v>
      </c>
      <c r="Q1794" t="s">
        <v>129</v>
      </c>
      <c r="R1794" t="s">
        <v>2057</v>
      </c>
      <c r="S1794">
        <v>77506</v>
      </c>
      <c r="T1794" s="1">
        <v>42156</v>
      </c>
      <c r="U1794" s="1">
        <v>42163</v>
      </c>
      <c r="V1794" s="2">
        <v>-88.584999999999994</v>
      </c>
      <c r="W1794">
        <v>13</v>
      </c>
      <c r="X1794" s="2">
        <v>87.1</v>
      </c>
      <c r="Y1794">
        <v>86369</v>
      </c>
      <c r="Z1794">
        <f t="shared" si="27"/>
        <v>1132.3</v>
      </c>
    </row>
    <row r="1795" spans="1:26" x14ac:dyDescent="0.25">
      <c r="A1795">
        <v>18918</v>
      </c>
      <c r="B1795" t="s">
        <v>106</v>
      </c>
      <c r="C1795" s="2">
        <v>7.0000000000000007E-2</v>
      </c>
      <c r="D1795" s="2">
        <v>48.91</v>
      </c>
      <c r="E1795" s="2">
        <v>35</v>
      </c>
      <c r="F1795">
        <v>3141</v>
      </c>
      <c r="G1795" t="s">
        <v>2812</v>
      </c>
      <c r="H1795" t="s">
        <v>27</v>
      </c>
      <c r="I1795" t="s">
        <v>114</v>
      </c>
      <c r="J1795" t="s">
        <v>29</v>
      </c>
      <c r="K1795" t="s">
        <v>139</v>
      </c>
      <c r="L1795" t="s">
        <v>231</v>
      </c>
      <c r="M1795" t="s">
        <v>1679</v>
      </c>
      <c r="N1795">
        <v>0.83</v>
      </c>
      <c r="O1795" t="s">
        <v>33</v>
      </c>
      <c r="P1795" t="s">
        <v>61</v>
      </c>
      <c r="Q1795" t="s">
        <v>129</v>
      </c>
      <c r="R1795" t="s">
        <v>2057</v>
      </c>
      <c r="S1795">
        <v>77506</v>
      </c>
      <c r="T1795" s="1">
        <v>42156</v>
      </c>
      <c r="U1795" s="1">
        <v>42158</v>
      </c>
      <c r="V1795" s="2">
        <v>-485.68</v>
      </c>
      <c r="W1795">
        <v>15</v>
      </c>
      <c r="X1795" s="2">
        <v>736.86</v>
      </c>
      <c r="Y1795">
        <v>86369</v>
      </c>
      <c r="Z1795">
        <f t="shared" ref="Z1795:Z1858" si="28">W1795*X1795</f>
        <v>11052.9</v>
      </c>
    </row>
    <row r="1796" spans="1:26" x14ac:dyDescent="0.25">
      <c r="A1796">
        <v>26039</v>
      </c>
      <c r="B1796" t="s">
        <v>56</v>
      </c>
      <c r="C1796" s="2">
        <v>0.02</v>
      </c>
      <c r="D1796" s="2">
        <v>15.42</v>
      </c>
      <c r="E1796" s="2">
        <v>5.41</v>
      </c>
      <c r="F1796">
        <v>3143</v>
      </c>
      <c r="G1796" t="s">
        <v>2813</v>
      </c>
      <c r="H1796" t="s">
        <v>49</v>
      </c>
      <c r="I1796" t="s">
        <v>114</v>
      </c>
      <c r="J1796" t="s">
        <v>29</v>
      </c>
      <c r="K1796" t="s">
        <v>139</v>
      </c>
      <c r="L1796" t="s">
        <v>59</v>
      </c>
      <c r="M1796" t="s">
        <v>2814</v>
      </c>
      <c r="N1796">
        <v>0.59</v>
      </c>
      <c r="O1796" t="s">
        <v>33</v>
      </c>
      <c r="P1796" t="s">
        <v>61</v>
      </c>
      <c r="Q1796" t="s">
        <v>129</v>
      </c>
      <c r="R1796" t="s">
        <v>2815</v>
      </c>
      <c r="S1796">
        <v>78660</v>
      </c>
      <c r="T1796" s="1">
        <v>42087</v>
      </c>
      <c r="U1796" s="1">
        <v>42088</v>
      </c>
      <c r="V1796" s="2">
        <v>-16.37</v>
      </c>
      <c r="W1796">
        <v>2</v>
      </c>
      <c r="X1796" s="2">
        <v>33.840000000000003</v>
      </c>
      <c r="Y1796">
        <v>86368</v>
      </c>
      <c r="Z1796">
        <f t="shared" si="28"/>
        <v>67.680000000000007</v>
      </c>
    </row>
    <row r="1797" spans="1:26" x14ac:dyDescent="0.25">
      <c r="A1797">
        <v>19193</v>
      </c>
      <c r="B1797" t="s">
        <v>47</v>
      </c>
      <c r="C1797" s="2">
        <v>0.03</v>
      </c>
      <c r="D1797" s="2">
        <v>3.36</v>
      </c>
      <c r="E1797" s="2">
        <v>6.27</v>
      </c>
      <c r="F1797">
        <v>3146</v>
      </c>
      <c r="G1797" t="s">
        <v>2816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579</v>
      </c>
      <c r="N1797">
        <v>0.4</v>
      </c>
      <c r="O1797" t="s">
        <v>33</v>
      </c>
      <c r="P1797" t="s">
        <v>61</v>
      </c>
      <c r="Q1797" t="s">
        <v>129</v>
      </c>
      <c r="R1797" t="s">
        <v>2817</v>
      </c>
      <c r="S1797">
        <v>78577</v>
      </c>
      <c r="T1797" s="1">
        <v>42008</v>
      </c>
      <c r="U1797" s="1">
        <v>42009</v>
      </c>
      <c r="V1797" s="2">
        <v>-94.258600000000001</v>
      </c>
      <c r="W1797">
        <v>4</v>
      </c>
      <c r="X1797" s="2">
        <v>14.9</v>
      </c>
      <c r="Y1797">
        <v>85850</v>
      </c>
      <c r="Z1797">
        <f t="shared" si="28"/>
        <v>59.6</v>
      </c>
    </row>
    <row r="1798" spans="1:26" x14ac:dyDescent="0.25">
      <c r="A1798">
        <v>19194</v>
      </c>
      <c r="B1798" t="s">
        <v>47</v>
      </c>
      <c r="C1798" s="2">
        <v>7.0000000000000007E-2</v>
      </c>
      <c r="D1798" s="2">
        <v>3.71</v>
      </c>
      <c r="E1798" s="2">
        <v>1.93</v>
      </c>
      <c r="F1798">
        <v>3146</v>
      </c>
      <c r="G1798" t="s">
        <v>2816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2818</v>
      </c>
      <c r="N1798">
        <v>0.35</v>
      </c>
      <c r="O1798" t="s">
        <v>33</v>
      </c>
      <c r="P1798" t="s">
        <v>61</v>
      </c>
      <c r="Q1798" t="s">
        <v>129</v>
      </c>
      <c r="R1798" t="s">
        <v>2817</v>
      </c>
      <c r="S1798">
        <v>78577</v>
      </c>
      <c r="T1798" s="1">
        <v>42008</v>
      </c>
      <c r="U1798" s="1">
        <v>42010</v>
      </c>
      <c r="V1798" s="2">
        <v>6.3308</v>
      </c>
      <c r="W1798">
        <v>11</v>
      </c>
      <c r="X1798" s="2">
        <v>39.64</v>
      </c>
      <c r="Y1798">
        <v>85850</v>
      </c>
      <c r="Z1798">
        <f t="shared" si="28"/>
        <v>436.04</v>
      </c>
    </row>
    <row r="1799" spans="1:26" x14ac:dyDescent="0.25">
      <c r="A1799">
        <v>24200</v>
      </c>
      <c r="B1799" t="s">
        <v>56</v>
      </c>
      <c r="C1799" s="2">
        <v>0.06</v>
      </c>
      <c r="D1799" s="2">
        <v>19.989999999999998</v>
      </c>
      <c r="E1799" s="2">
        <v>11.17</v>
      </c>
      <c r="F1799">
        <v>3148</v>
      </c>
      <c r="G1799" t="s">
        <v>2819</v>
      </c>
      <c r="H1799" t="s">
        <v>49</v>
      </c>
      <c r="I1799" t="s">
        <v>28</v>
      </c>
      <c r="J1799" t="s">
        <v>41</v>
      </c>
      <c r="K1799" t="s">
        <v>50</v>
      </c>
      <c r="L1799" t="s">
        <v>231</v>
      </c>
      <c r="M1799" t="s">
        <v>501</v>
      </c>
      <c r="N1799">
        <v>0.6</v>
      </c>
      <c r="O1799" t="s">
        <v>33</v>
      </c>
      <c r="P1799" t="s">
        <v>34</v>
      </c>
      <c r="Q1799" t="s">
        <v>1727</v>
      </c>
      <c r="R1799" t="s">
        <v>2820</v>
      </c>
      <c r="S1799">
        <v>83854</v>
      </c>
      <c r="T1799" s="1">
        <v>42018</v>
      </c>
      <c r="U1799" s="1">
        <v>42018</v>
      </c>
      <c r="V1799" s="2">
        <v>-66.823599999999999</v>
      </c>
      <c r="W1799">
        <v>7</v>
      </c>
      <c r="X1799" s="2">
        <v>139.49</v>
      </c>
      <c r="Y1799">
        <v>89716</v>
      </c>
      <c r="Z1799">
        <f t="shared" si="28"/>
        <v>976.43000000000006</v>
      </c>
    </row>
    <row r="1800" spans="1:26" x14ac:dyDescent="0.25">
      <c r="A1800">
        <v>24202</v>
      </c>
      <c r="B1800" t="s">
        <v>56</v>
      </c>
      <c r="C1800" s="2">
        <v>0.06</v>
      </c>
      <c r="D1800" s="2">
        <v>320.98</v>
      </c>
      <c r="E1800" s="2">
        <v>58.95</v>
      </c>
      <c r="F1800">
        <v>3149</v>
      </c>
      <c r="G1800" t="s">
        <v>2821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2822</v>
      </c>
      <c r="N1800">
        <v>0.56999999999999995</v>
      </c>
      <c r="O1800" t="s">
        <v>33</v>
      </c>
      <c r="P1800" t="s">
        <v>34</v>
      </c>
      <c r="Q1800" t="s">
        <v>1727</v>
      </c>
      <c r="R1800" t="s">
        <v>2823</v>
      </c>
      <c r="S1800">
        <v>83440</v>
      </c>
      <c r="T1800" s="1">
        <v>42018</v>
      </c>
      <c r="U1800" s="1">
        <v>42020</v>
      </c>
      <c r="V1800" s="2">
        <v>971.62199999999996</v>
      </c>
      <c r="W1800">
        <v>6</v>
      </c>
      <c r="X1800" s="2">
        <v>1952.43</v>
      </c>
      <c r="Y1800">
        <v>89716</v>
      </c>
      <c r="Z1800">
        <f t="shared" si="28"/>
        <v>11714.58</v>
      </c>
    </row>
    <row r="1801" spans="1:26" x14ac:dyDescent="0.25">
      <c r="A1801">
        <v>19625</v>
      </c>
      <c r="B1801" t="s">
        <v>37</v>
      </c>
      <c r="C1801" s="2">
        <v>0.01</v>
      </c>
      <c r="D1801" s="2">
        <v>145.97999999999999</v>
      </c>
      <c r="E1801" s="2">
        <v>46.2</v>
      </c>
      <c r="F1801">
        <v>3151</v>
      </c>
      <c r="G1801" t="s">
        <v>2824</v>
      </c>
      <c r="H1801" t="s">
        <v>39</v>
      </c>
      <c r="I1801" t="s">
        <v>28</v>
      </c>
      <c r="J1801" t="s">
        <v>41</v>
      </c>
      <c r="K1801" t="s">
        <v>150</v>
      </c>
      <c r="L1801" t="s">
        <v>120</v>
      </c>
      <c r="M1801" t="s">
        <v>2825</v>
      </c>
      <c r="N1801">
        <v>0.69</v>
      </c>
      <c r="O1801" t="s">
        <v>33</v>
      </c>
      <c r="P1801" t="s">
        <v>34</v>
      </c>
      <c r="Q1801" t="s">
        <v>45</v>
      </c>
      <c r="R1801" t="s">
        <v>2826</v>
      </c>
      <c r="S1801">
        <v>92277</v>
      </c>
      <c r="T1801" s="1">
        <v>42158</v>
      </c>
      <c r="U1801" s="1">
        <v>42158</v>
      </c>
      <c r="V1801" s="2">
        <v>-134.512</v>
      </c>
      <c r="W1801">
        <v>9</v>
      </c>
      <c r="X1801" s="2">
        <v>1370.79</v>
      </c>
      <c r="Y1801">
        <v>88543</v>
      </c>
      <c r="Z1801">
        <f t="shared" si="28"/>
        <v>12337.11</v>
      </c>
    </row>
    <row r="1802" spans="1:26" x14ac:dyDescent="0.25">
      <c r="A1802">
        <v>19618</v>
      </c>
      <c r="B1802" t="s">
        <v>47</v>
      </c>
      <c r="C1802" s="2">
        <v>0.01</v>
      </c>
      <c r="D1802" s="2">
        <v>3502.14</v>
      </c>
      <c r="E1802" s="2">
        <v>8.73</v>
      </c>
      <c r="F1802">
        <v>3151</v>
      </c>
      <c r="G1802" t="s">
        <v>2824</v>
      </c>
      <c r="H1802" t="s">
        <v>39</v>
      </c>
      <c r="I1802" t="s">
        <v>28</v>
      </c>
      <c r="J1802" t="s">
        <v>77</v>
      </c>
      <c r="K1802" t="s">
        <v>85</v>
      </c>
      <c r="L1802" t="s">
        <v>120</v>
      </c>
      <c r="M1802" t="s">
        <v>121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2826</v>
      </c>
      <c r="S1802">
        <v>92277</v>
      </c>
      <c r="T1802" s="1">
        <v>42039</v>
      </c>
      <c r="U1802" s="1">
        <v>42040</v>
      </c>
      <c r="V1802" s="2">
        <v>-4075.9339920000002</v>
      </c>
      <c r="W1802">
        <v>1</v>
      </c>
      <c r="X1802" s="2">
        <v>3501.79</v>
      </c>
      <c r="Y1802">
        <v>88544</v>
      </c>
      <c r="Z1802">
        <f t="shared" si="28"/>
        <v>3501.79</v>
      </c>
    </row>
    <row r="1803" spans="1:26" x14ac:dyDescent="0.25">
      <c r="A1803">
        <v>19619</v>
      </c>
      <c r="B1803" t="s">
        <v>47</v>
      </c>
      <c r="C1803" s="2">
        <v>0.06</v>
      </c>
      <c r="D1803" s="2">
        <v>15.73</v>
      </c>
      <c r="E1803" s="2">
        <v>7.42</v>
      </c>
      <c r="F1803">
        <v>3151</v>
      </c>
      <c r="G1803" t="s">
        <v>2824</v>
      </c>
      <c r="H1803" t="s">
        <v>49</v>
      </c>
      <c r="I1803" t="s">
        <v>28</v>
      </c>
      <c r="J1803" t="s">
        <v>29</v>
      </c>
      <c r="K1803" t="s">
        <v>171</v>
      </c>
      <c r="L1803" t="s">
        <v>51</v>
      </c>
      <c r="M1803" t="s">
        <v>2139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2826</v>
      </c>
      <c r="S1803">
        <v>92277</v>
      </c>
      <c r="T1803" s="1">
        <v>42039</v>
      </c>
      <c r="U1803" s="1">
        <v>42040</v>
      </c>
      <c r="V1803" s="2">
        <v>-18.558800000000002</v>
      </c>
      <c r="W1803">
        <v>4</v>
      </c>
      <c r="X1803" s="2">
        <v>63.04</v>
      </c>
      <c r="Y1803">
        <v>88544</v>
      </c>
      <c r="Z1803">
        <f t="shared" si="28"/>
        <v>252.16</v>
      </c>
    </row>
    <row r="1804" spans="1:26" x14ac:dyDescent="0.25">
      <c r="A1804">
        <v>23322</v>
      </c>
      <c r="B1804" t="s">
        <v>37</v>
      </c>
      <c r="C1804" s="2">
        <v>0.05</v>
      </c>
      <c r="D1804" s="2">
        <v>25.99</v>
      </c>
      <c r="E1804" s="2">
        <v>5.37</v>
      </c>
      <c r="F1804">
        <v>3151</v>
      </c>
      <c r="G1804" t="s">
        <v>2824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1626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2826</v>
      </c>
      <c r="S1804">
        <v>92277</v>
      </c>
      <c r="T1804" s="1">
        <v>42051</v>
      </c>
      <c r="U1804" s="1">
        <v>42053</v>
      </c>
      <c r="V1804" s="2">
        <v>220.35720000000001</v>
      </c>
      <c r="W1804">
        <v>18</v>
      </c>
      <c r="X1804" s="2">
        <v>451.35</v>
      </c>
      <c r="Y1804">
        <v>88545</v>
      </c>
      <c r="Z1804">
        <f t="shared" si="28"/>
        <v>8124.3</v>
      </c>
    </row>
    <row r="1805" spans="1:26" x14ac:dyDescent="0.25">
      <c r="A1805">
        <v>24723</v>
      </c>
      <c r="B1805" t="s">
        <v>56</v>
      </c>
      <c r="C1805" s="2">
        <v>0.04</v>
      </c>
      <c r="D1805" s="2">
        <v>17.239999999999998</v>
      </c>
      <c r="E1805" s="2">
        <v>3.26</v>
      </c>
      <c r="F1805">
        <v>3151</v>
      </c>
      <c r="G1805" t="s">
        <v>2824</v>
      </c>
      <c r="H1805" t="s">
        <v>49</v>
      </c>
      <c r="I1805" t="s">
        <v>40</v>
      </c>
      <c r="J1805" t="s">
        <v>29</v>
      </c>
      <c r="K1805" t="s">
        <v>171</v>
      </c>
      <c r="L1805" t="s">
        <v>51</v>
      </c>
      <c r="M1805" t="s">
        <v>2827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2826</v>
      </c>
      <c r="S1805">
        <v>92277</v>
      </c>
      <c r="T1805" s="1">
        <v>42063</v>
      </c>
      <c r="U1805" s="1">
        <v>42063</v>
      </c>
      <c r="V1805" s="2">
        <v>47.73</v>
      </c>
      <c r="W1805">
        <v>7</v>
      </c>
      <c r="X1805" s="2">
        <v>119.6</v>
      </c>
      <c r="Y1805">
        <v>88546</v>
      </c>
      <c r="Z1805">
        <f t="shared" si="28"/>
        <v>837.19999999999993</v>
      </c>
    </row>
    <row r="1806" spans="1:26" x14ac:dyDescent="0.25">
      <c r="A1806">
        <v>24329</v>
      </c>
      <c r="B1806" t="s">
        <v>56</v>
      </c>
      <c r="C1806" s="2">
        <v>0.02</v>
      </c>
      <c r="D1806" s="2">
        <v>5.98</v>
      </c>
      <c r="E1806" s="2">
        <v>1.49</v>
      </c>
      <c r="F1806">
        <v>3151</v>
      </c>
      <c r="G1806" t="s">
        <v>2824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1010</v>
      </c>
      <c r="N1806">
        <v>0.39</v>
      </c>
      <c r="O1806" t="s">
        <v>33</v>
      </c>
      <c r="P1806" t="s">
        <v>34</v>
      </c>
      <c r="Q1806" t="s">
        <v>45</v>
      </c>
      <c r="R1806" t="s">
        <v>2826</v>
      </c>
      <c r="S1806">
        <v>92277</v>
      </c>
      <c r="T1806" s="1">
        <v>42074</v>
      </c>
      <c r="U1806" s="1">
        <v>42075</v>
      </c>
      <c r="V1806" s="2">
        <v>28.526</v>
      </c>
      <c r="W1806">
        <v>10</v>
      </c>
      <c r="X1806" s="2">
        <v>59.9</v>
      </c>
      <c r="Y1806">
        <v>88547</v>
      </c>
      <c r="Z1806">
        <f t="shared" si="28"/>
        <v>599</v>
      </c>
    </row>
    <row r="1807" spans="1:26" x14ac:dyDescent="0.25">
      <c r="A1807">
        <v>21734</v>
      </c>
      <c r="B1807" t="s">
        <v>25</v>
      </c>
      <c r="C1807" s="2">
        <v>0.01</v>
      </c>
      <c r="D1807" s="2">
        <v>99.23</v>
      </c>
      <c r="E1807" s="2">
        <v>8.99</v>
      </c>
      <c r="F1807">
        <v>3151</v>
      </c>
      <c r="G1807" t="s">
        <v>2824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448</v>
      </c>
      <c r="N1807">
        <v>0.35</v>
      </c>
      <c r="O1807" t="s">
        <v>33</v>
      </c>
      <c r="P1807" t="s">
        <v>34</v>
      </c>
      <c r="Q1807" t="s">
        <v>45</v>
      </c>
      <c r="R1807" t="s">
        <v>2826</v>
      </c>
      <c r="S1807">
        <v>92277</v>
      </c>
      <c r="T1807" s="1">
        <v>42092</v>
      </c>
      <c r="U1807" s="1">
        <v>42096</v>
      </c>
      <c r="V1807" s="2">
        <v>-87.46</v>
      </c>
      <c r="W1807">
        <v>1</v>
      </c>
      <c r="X1807" s="2">
        <v>99.22</v>
      </c>
      <c r="Y1807">
        <v>88548</v>
      </c>
      <c r="Z1807">
        <f t="shared" si="28"/>
        <v>99.22</v>
      </c>
    </row>
    <row r="1808" spans="1:26" x14ac:dyDescent="0.25">
      <c r="A1808">
        <v>21436</v>
      </c>
      <c r="B1808" t="s">
        <v>25</v>
      </c>
      <c r="C1808" s="2">
        <v>0.08</v>
      </c>
      <c r="D1808" s="2">
        <v>150.97999999999999</v>
      </c>
      <c r="E1808" s="2">
        <v>13.99</v>
      </c>
      <c r="F1808">
        <v>3154</v>
      </c>
      <c r="G1808" t="s">
        <v>2828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620</v>
      </c>
      <c r="N1808">
        <v>0.38</v>
      </c>
      <c r="O1808" t="s">
        <v>33</v>
      </c>
      <c r="P1808" t="s">
        <v>135</v>
      </c>
      <c r="Q1808" t="s">
        <v>356</v>
      </c>
      <c r="R1808" t="s">
        <v>2829</v>
      </c>
      <c r="S1808">
        <v>33710</v>
      </c>
      <c r="T1808" s="1">
        <v>42030</v>
      </c>
      <c r="U1808" s="1">
        <v>42031</v>
      </c>
      <c r="V1808" s="2">
        <v>-3.948</v>
      </c>
      <c r="W1808">
        <v>8</v>
      </c>
      <c r="X1808" s="2">
        <v>1183.82</v>
      </c>
      <c r="Y1808">
        <v>86899</v>
      </c>
      <c r="Z1808">
        <f t="shared" si="28"/>
        <v>9470.56</v>
      </c>
    </row>
    <row r="1809" spans="1:26" x14ac:dyDescent="0.25">
      <c r="A1809">
        <v>20253</v>
      </c>
      <c r="B1809" t="s">
        <v>47</v>
      </c>
      <c r="C1809" s="2">
        <v>0.03</v>
      </c>
      <c r="D1809" s="2">
        <v>17.7</v>
      </c>
      <c r="E1809" s="2">
        <v>9.4700000000000006</v>
      </c>
      <c r="F1809">
        <v>3154</v>
      </c>
      <c r="G1809" t="s">
        <v>2828</v>
      </c>
      <c r="H1809" t="s">
        <v>49</v>
      </c>
      <c r="I1809" t="s">
        <v>114</v>
      </c>
      <c r="J1809" t="s">
        <v>29</v>
      </c>
      <c r="K1809" t="s">
        <v>139</v>
      </c>
      <c r="L1809" t="s">
        <v>59</v>
      </c>
      <c r="M1809" t="s">
        <v>1556</v>
      </c>
      <c r="N1809">
        <v>0.59</v>
      </c>
      <c r="O1809" t="s">
        <v>33</v>
      </c>
      <c r="P1809" t="s">
        <v>135</v>
      </c>
      <c r="Q1809" t="s">
        <v>356</v>
      </c>
      <c r="R1809" t="s">
        <v>2829</v>
      </c>
      <c r="S1809">
        <v>33710</v>
      </c>
      <c r="T1809" s="1">
        <v>42152</v>
      </c>
      <c r="U1809" s="1">
        <v>42154</v>
      </c>
      <c r="V1809" s="2">
        <v>28.182600000000001</v>
      </c>
      <c r="W1809">
        <v>11</v>
      </c>
      <c r="X1809" s="2">
        <v>201.77</v>
      </c>
      <c r="Y1809">
        <v>86900</v>
      </c>
      <c r="Z1809">
        <f t="shared" si="28"/>
        <v>2219.4700000000003</v>
      </c>
    </row>
    <row r="1810" spans="1:26" x14ac:dyDescent="0.25">
      <c r="A1810">
        <v>18635</v>
      </c>
      <c r="B1810" t="s">
        <v>47</v>
      </c>
      <c r="C1810" s="2">
        <v>0.04</v>
      </c>
      <c r="D1810" s="2">
        <v>21.38</v>
      </c>
      <c r="E1810" s="2">
        <v>8.99</v>
      </c>
      <c r="F1810">
        <v>3154</v>
      </c>
      <c r="G1810" t="s">
        <v>2828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2181</v>
      </c>
      <c r="N1810">
        <v>0.59</v>
      </c>
      <c r="O1810" t="s">
        <v>33</v>
      </c>
      <c r="P1810" t="s">
        <v>135</v>
      </c>
      <c r="Q1810" t="s">
        <v>356</v>
      </c>
      <c r="R1810" t="s">
        <v>2829</v>
      </c>
      <c r="S1810">
        <v>33710</v>
      </c>
      <c r="T1810" s="1">
        <v>42093</v>
      </c>
      <c r="U1810" s="1">
        <v>42093</v>
      </c>
      <c r="V1810" s="2">
        <v>-51.66</v>
      </c>
      <c r="W1810">
        <v>21</v>
      </c>
      <c r="X1810" s="2">
        <v>443.66</v>
      </c>
      <c r="Y1810">
        <v>86901</v>
      </c>
      <c r="Z1810">
        <f t="shared" si="28"/>
        <v>9316.86</v>
      </c>
    </row>
    <row r="1811" spans="1:26" x14ac:dyDescent="0.25">
      <c r="A1811">
        <v>23392</v>
      </c>
      <c r="B1811" t="s">
        <v>47</v>
      </c>
      <c r="C1811" s="2">
        <v>0.02</v>
      </c>
      <c r="D1811" s="2">
        <v>60.22</v>
      </c>
      <c r="E1811" s="2">
        <v>3.5</v>
      </c>
      <c r="F1811">
        <v>3155</v>
      </c>
      <c r="G1811" t="s">
        <v>2830</v>
      </c>
      <c r="H1811" t="s">
        <v>49</v>
      </c>
      <c r="I1811" t="s">
        <v>28</v>
      </c>
      <c r="J1811" t="s">
        <v>29</v>
      </c>
      <c r="K1811" t="s">
        <v>252</v>
      </c>
      <c r="L1811" t="s">
        <v>59</v>
      </c>
      <c r="M1811" t="s">
        <v>2831</v>
      </c>
      <c r="N1811">
        <v>0.56999999999999995</v>
      </c>
      <c r="O1811" t="s">
        <v>33</v>
      </c>
      <c r="P1811" t="s">
        <v>135</v>
      </c>
      <c r="Q1811" t="s">
        <v>356</v>
      </c>
      <c r="R1811" t="s">
        <v>427</v>
      </c>
      <c r="S1811">
        <v>32771</v>
      </c>
      <c r="T1811" s="1">
        <v>42024</v>
      </c>
      <c r="U1811" s="1">
        <v>42025</v>
      </c>
      <c r="V1811" s="2">
        <v>-193.91399999999999</v>
      </c>
      <c r="W1811">
        <v>9</v>
      </c>
      <c r="X1811" s="2">
        <v>541.76</v>
      </c>
      <c r="Y1811">
        <v>86898</v>
      </c>
      <c r="Z1811">
        <f t="shared" si="28"/>
        <v>4875.84</v>
      </c>
    </row>
    <row r="1812" spans="1:26" x14ac:dyDescent="0.25">
      <c r="A1812">
        <v>21437</v>
      </c>
      <c r="B1812" t="s">
        <v>25</v>
      </c>
      <c r="C1812" s="2">
        <v>0.03</v>
      </c>
      <c r="D1812" s="2">
        <v>25.98</v>
      </c>
      <c r="E1812" s="2">
        <v>14.36</v>
      </c>
      <c r="F1812">
        <v>3155</v>
      </c>
      <c r="G1812" t="s">
        <v>2830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992</v>
      </c>
      <c r="N1812">
        <v>0.6</v>
      </c>
      <c r="O1812" t="s">
        <v>33</v>
      </c>
      <c r="P1812" t="s">
        <v>135</v>
      </c>
      <c r="Q1812" t="s">
        <v>356</v>
      </c>
      <c r="R1812" t="s">
        <v>427</v>
      </c>
      <c r="S1812">
        <v>32771</v>
      </c>
      <c r="T1812" s="1">
        <v>42030</v>
      </c>
      <c r="U1812" s="1">
        <v>42031</v>
      </c>
      <c r="V1812" s="2">
        <v>57.545999999999999</v>
      </c>
      <c r="W1812">
        <v>4</v>
      </c>
      <c r="X1812" s="2">
        <v>107.66</v>
      </c>
      <c r="Y1812">
        <v>86899</v>
      </c>
      <c r="Z1812">
        <f t="shared" si="28"/>
        <v>430.64</v>
      </c>
    </row>
    <row r="1813" spans="1:26" x14ac:dyDescent="0.25">
      <c r="A1813">
        <v>21438</v>
      </c>
      <c r="B1813" t="s">
        <v>25</v>
      </c>
      <c r="C1813" s="2">
        <v>0.1</v>
      </c>
      <c r="D1813" s="2">
        <v>32.479999999999997</v>
      </c>
      <c r="E1813" s="2">
        <v>35</v>
      </c>
      <c r="F1813">
        <v>3155</v>
      </c>
      <c r="G1813" t="s">
        <v>2830</v>
      </c>
      <c r="H1813" t="s">
        <v>49</v>
      </c>
      <c r="I1813" t="s">
        <v>28</v>
      </c>
      <c r="J1813" t="s">
        <v>29</v>
      </c>
      <c r="K1813" t="s">
        <v>139</v>
      </c>
      <c r="L1813" t="s">
        <v>231</v>
      </c>
      <c r="M1813" t="s">
        <v>660</v>
      </c>
      <c r="N1813">
        <v>0.81</v>
      </c>
      <c r="O1813" t="s">
        <v>33</v>
      </c>
      <c r="P1813" t="s">
        <v>135</v>
      </c>
      <c r="Q1813" t="s">
        <v>356</v>
      </c>
      <c r="R1813" t="s">
        <v>427</v>
      </c>
      <c r="S1813">
        <v>32771</v>
      </c>
      <c r="T1813" s="1">
        <v>42030</v>
      </c>
      <c r="U1813" s="1">
        <v>42031</v>
      </c>
      <c r="V1813" s="2">
        <v>-333.42540000000002</v>
      </c>
      <c r="W1813">
        <v>10</v>
      </c>
      <c r="X1813" s="2">
        <v>318.83</v>
      </c>
      <c r="Y1813">
        <v>86899</v>
      </c>
      <c r="Z1813">
        <f t="shared" si="28"/>
        <v>3188.2999999999997</v>
      </c>
    </row>
    <row r="1814" spans="1:26" x14ac:dyDescent="0.25">
      <c r="A1814">
        <v>22015</v>
      </c>
      <c r="B1814" t="s">
        <v>47</v>
      </c>
      <c r="C1814" s="2">
        <v>0.05</v>
      </c>
      <c r="D1814" s="2">
        <v>159.99</v>
      </c>
      <c r="E1814" s="2">
        <v>5.5</v>
      </c>
      <c r="F1814">
        <v>3155</v>
      </c>
      <c r="G1814" t="s">
        <v>2830</v>
      </c>
      <c r="H1814" t="s">
        <v>49</v>
      </c>
      <c r="I1814" t="s">
        <v>114</v>
      </c>
      <c r="J1814" t="s">
        <v>77</v>
      </c>
      <c r="K1814" t="s">
        <v>177</v>
      </c>
      <c r="L1814" t="s">
        <v>59</v>
      </c>
      <c r="M1814" t="s">
        <v>2832</v>
      </c>
      <c r="N1814">
        <v>0.49</v>
      </c>
      <c r="O1814" t="s">
        <v>33</v>
      </c>
      <c r="P1814" t="s">
        <v>135</v>
      </c>
      <c r="Q1814" t="s">
        <v>356</v>
      </c>
      <c r="R1814" t="s">
        <v>427</v>
      </c>
      <c r="S1814">
        <v>32771</v>
      </c>
      <c r="T1814" s="1">
        <v>42113</v>
      </c>
      <c r="U1814" s="1">
        <v>42115</v>
      </c>
      <c r="V1814" s="2">
        <v>12.263999999999999</v>
      </c>
      <c r="W1814">
        <v>23</v>
      </c>
      <c r="X1814" s="2">
        <v>3600.65</v>
      </c>
      <c r="Y1814">
        <v>86902</v>
      </c>
      <c r="Z1814">
        <f t="shared" si="28"/>
        <v>82814.95</v>
      </c>
    </row>
    <row r="1815" spans="1:26" x14ac:dyDescent="0.25">
      <c r="A1815">
        <v>19374</v>
      </c>
      <c r="B1815" t="s">
        <v>37</v>
      </c>
      <c r="C1815" s="2">
        <v>7.0000000000000007E-2</v>
      </c>
      <c r="D1815" s="2">
        <v>280.98</v>
      </c>
      <c r="E1815" s="2">
        <v>57</v>
      </c>
      <c r="F1815">
        <v>3167</v>
      </c>
      <c r="G1815" t="s">
        <v>2833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662</v>
      </c>
      <c r="N1815">
        <v>0.78</v>
      </c>
      <c r="O1815" t="s">
        <v>33</v>
      </c>
      <c r="P1815" t="s">
        <v>135</v>
      </c>
      <c r="Q1815" t="s">
        <v>356</v>
      </c>
      <c r="R1815" t="s">
        <v>2834</v>
      </c>
      <c r="S1815">
        <v>32004</v>
      </c>
      <c r="T1815" s="1">
        <v>42174</v>
      </c>
      <c r="U1815" s="1">
        <v>42175</v>
      </c>
      <c r="V1815" s="2">
        <v>-283.9914</v>
      </c>
      <c r="W1815">
        <v>14</v>
      </c>
      <c r="X1815" s="2">
        <v>3936.61</v>
      </c>
      <c r="Y1815">
        <v>86491</v>
      </c>
      <c r="Z1815">
        <f t="shared" si="28"/>
        <v>55112.54</v>
      </c>
    </row>
    <row r="1816" spans="1:26" x14ac:dyDescent="0.25">
      <c r="A1816">
        <v>19375</v>
      </c>
      <c r="B1816" t="s">
        <v>37</v>
      </c>
      <c r="C1816" s="2">
        <v>0</v>
      </c>
      <c r="D1816" s="2">
        <v>4.9800000000000004</v>
      </c>
      <c r="E1816" s="2">
        <v>7.44</v>
      </c>
      <c r="F1816">
        <v>3167</v>
      </c>
      <c r="G1816" t="s">
        <v>2833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378</v>
      </c>
      <c r="N1816">
        <v>0.36</v>
      </c>
      <c r="O1816" t="s">
        <v>33</v>
      </c>
      <c r="P1816" t="s">
        <v>135</v>
      </c>
      <c r="Q1816" t="s">
        <v>356</v>
      </c>
      <c r="R1816" t="s">
        <v>2834</v>
      </c>
      <c r="S1816">
        <v>32004</v>
      </c>
      <c r="T1816" s="1">
        <v>42174</v>
      </c>
      <c r="U1816" s="1">
        <v>42176</v>
      </c>
      <c r="V1816" s="2">
        <v>-195.34200000000001</v>
      </c>
      <c r="W1816">
        <v>15</v>
      </c>
      <c r="X1816" s="2">
        <v>78.31</v>
      </c>
      <c r="Y1816">
        <v>86491</v>
      </c>
      <c r="Z1816">
        <f t="shared" si="28"/>
        <v>1174.6500000000001</v>
      </c>
    </row>
    <row r="1817" spans="1:26" x14ac:dyDescent="0.25">
      <c r="A1817">
        <v>19376</v>
      </c>
      <c r="B1817" t="s">
        <v>37</v>
      </c>
      <c r="C1817" s="2">
        <v>0.1</v>
      </c>
      <c r="D1817" s="2">
        <v>3.98</v>
      </c>
      <c r="E1817" s="2">
        <v>0.83</v>
      </c>
      <c r="F1817">
        <v>3167</v>
      </c>
      <c r="G1817" t="s">
        <v>2833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1391</v>
      </c>
      <c r="N1817">
        <v>0.51</v>
      </c>
      <c r="O1817" t="s">
        <v>33</v>
      </c>
      <c r="P1817" t="s">
        <v>135</v>
      </c>
      <c r="Q1817" t="s">
        <v>356</v>
      </c>
      <c r="R1817" t="s">
        <v>2834</v>
      </c>
      <c r="S1817">
        <v>32004</v>
      </c>
      <c r="T1817" s="1">
        <v>42174</v>
      </c>
      <c r="U1817" s="1">
        <v>42176</v>
      </c>
      <c r="V1817" s="2">
        <v>-89.709199999999996</v>
      </c>
      <c r="W1817">
        <v>11</v>
      </c>
      <c r="X1817" s="2">
        <v>42.46</v>
      </c>
      <c r="Y1817">
        <v>86491</v>
      </c>
      <c r="Z1817">
        <f t="shared" si="28"/>
        <v>467.06</v>
      </c>
    </row>
    <row r="1818" spans="1:26" x14ac:dyDescent="0.25">
      <c r="A1818">
        <v>25683</v>
      </c>
      <c r="B1818" t="s">
        <v>47</v>
      </c>
      <c r="C1818" s="2">
        <v>0.08</v>
      </c>
      <c r="D1818" s="2">
        <v>7.28</v>
      </c>
      <c r="E1818" s="2">
        <v>11.15</v>
      </c>
      <c r="F1818">
        <v>3169</v>
      </c>
      <c r="G1818" t="s">
        <v>2835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845</v>
      </c>
      <c r="N1818">
        <v>0.37</v>
      </c>
      <c r="O1818" t="s">
        <v>33</v>
      </c>
      <c r="P1818" t="s">
        <v>135</v>
      </c>
      <c r="Q1818" t="s">
        <v>356</v>
      </c>
      <c r="R1818" t="s">
        <v>2836</v>
      </c>
      <c r="S1818">
        <v>32127</v>
      </c>
      <c r="T1818" s="1">
        <v>42107</v>
      </c>
      <c r="U1818" s="1">
        <v>42108</v>
      </c>
      <c r="V1818" s="2">
        <v>-44.414999999999999</v>
      </c>
      <c r="W1818">
        <v>1</v>
      </c>
      <c r="X1818" s="2">
        <v>14.66</v>
      </c>
      <c r="Y1818">
        <v>86490</v>
      </c>
      <c r="Z1818">
        <f t="shared" si="28"/>
        <v>14.66</v>
      </c>
    </row>
    <row r="1819" spans="1:26" x14ac:dyDescent="0.25">
      <c r="A1819">
        <v>26055</v>
      </c>
      <c r="B1819" t="s">
        <v>56</v>
      </c>
      <c r="C1819" s="2">
        <v>0.1</v>
      </c>
      <c r="D1819" s="2">
        <v>7.28</v>
      </c>
      <c r="E1819" s="2">
        <v>5.47</v>
      </c>
      <c r="F1819">
        <v>3170</v>
      </c>
      <c r="G1819" t="s">
        <v>2837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2838</v>
      </c>
      <c r="N1819">
        <v>0.35</v>
      </c>
      <c r="O1819" t="s">
        <v>33</v>
      </c>
      <c r="P1819" t="s">
        <v>135</v>
      </c>
      <c r="Q1819" t="s">
        <v>356</v>
      </c>
      <c r="R1819" t="s">
        <v>2839</v>
      </c>
      <c r="S1819">
        <v>34952</v>
      </c>
      <c r="T1819" s="1">
        <v>42048</v>
      </c>
      <c r="U1819" s="1">
        <v>42048</v>
      </c>
      <c r="V1819" s="2">
        <v>167.334</v>
      </c>
      <c r="W1819">
        <v>12</v>
      </c>
      <c r="X1819" s="2">
        <v>83.14</v>
      </c>
      <c r="Y1819">
        <v>86489</v>
      </c>
      <c r="Z1819">
        <f t="shared" si="28"/>
        <v>997.68000000000006</v>
      </c>
    </row>
    <row r="1820" spans="1:26" x14ac:dyDescent="0.25">
      <c r="A1820">
        <v>21961</v>
      </c>
      <c r="B1820" t="s">
        <v>25</v>
      </c>
      <c r="C1820" s="2">
        <v>0.06</v>
      </c>
      <c r="D1820" s="2">
        <v>10.97</v>
      </c>
      <c r="E1820" s="2">
        <v>6.5</v>
      </c>
      <c r="F1820">
        <v>3176</v>
      </c>
      <c r="G1820" t="s">
        <v>2840</v>
      </c>
      <c r="H1820" t="s">
        <v>49</v>
      </c>
      <c r="I1820" t="s">
        <v>114</v>
      </c>
      <c r="J1820" t="s">
        <v>77</v>
      </c>
      <c r="K1820" t="s">
        <v>177</v>
      </c>
      <c r="L1820" t="s">
        <v>59</v>
      </c>
      <c r="M1820" t="s">
        <v>2841</v>
      </c>
      <c r="N1820">
        <v>0.64</v>
      </c>
      <c r="O1820" t="s">
        <v>33</v>
      </c>
      <c r="P1820" t="s">
        <v>135</v>
      </c>
      <c r="Q1820" t="s">
        <v>356</v>
      </c>
      <c r="R1820" t="s">
        <v>2842</v>
      </c>
      <c r="S1820">
        <v>32216</v>
      </c>
      <c r="T1820" s="1">
        <v>42128</v>
      </c>
      <c r="U1820" s="1">
        <v>42130</v>
      </c>
      <c r="V1820" s="2">
        <v>65.597999999999999</v>
      </c>
      <c r="W1820">
        <v>19</v>
      </c>
      <c r="X1820" s="2">
        <v>215.25</v>
      </c>
      <c r="Y1820">
        <v>90820</v>
      </c>
      <c r="Z1820">
        <f t="shared" si="28"/>
        <v>4089.75</v>
      </c>
    </row>
    <row r="1821" spans="1:26" x14ac:dyDescent="0.25">
      <c r="A1821">
        <v>20964</v>
      </c>
      <c r="B1821" t="s">
        <v>106</v>
      </c>
      <c r="C1821" s="2">
        <v>0.02</v>
      </c>
      <c r="D1821" s="2">
        <v>58.14</v>
      </c>
      <c r="E1821" s="2">
        <v>36.61</v>
      </c>
      <c r="F1821">
        <v>3176</v>
      </c>
      <c r="G1821" t="s">
        <v>2840</v>
      </c>
      <c r="H1821" t="s">
        <v>39</v>
      </c>
      <c r="I1821" t="s">
        <v>114</v>
      </c>
      <c r="J1821" t="s">
        <v>41</v>
      </c>
      <c r="K1821" t="s">
        <v>187</v>
      </c>
      <c r="L1821" t="s">
        <v>120</v>
      </c>
      <c r="M1821" t="s">
        <v>1025</v>
      </c>
      <c r="N1821">
        <v>0.61</v>
      </c>
      <c r="O1821" t="s">
        <v>33</v>
      </c>
      <c r="P1821" t="s">
        <v>135</v>
      </c>
      <c r="Q1821" t="s">
        <v>356</v>
      </c>
      <c r="R1821" t="s">
        <v>2842</v>
      </c>
      <c r="S1821">
        <v>32216</v>
      </c>
      <c r="T1821" s="1">
        <v>42180</v>
      </c>
      <c r="U1821" s="1">
        <v>42186</v>
      </c>
      <c r="V1821" s="2">
        <v>0.25800000000000001</v>
      </c>
      <c r="W1821">
        <v>22</v>
      </c>
      <c r="X1821" s="2">
        <v>1358.02</v>
      </c>
      <c r="Y1821">
        <v>90821</v>
      </c>
      <c r="Z1821">
        <f t="shared" si="28"/>
        <v>29876.44</v>
      </c>
    </row>
    <row r="1822" spans="1:26" x14ac:dyDescent="0.25">
      <c r="A1822">
        <v>20965</v>
      </c>
      <c r="B1822" t="s">
        <v>106</v>
      </c>
      <c r="C1822" s="2">
        <v>0.03</v>
      </c>
      <c r="D1822" s="2">
        <v>15.57</v>
      </c>
      <c r="E1822" s="2">
        <v>1.39</v>
      </c>
      <c r="F1822">
        <v>3176</v>
      </c>
      <c r="G1822" t="s">
        <v>2840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715</v>
      </c>
      <c r="N1822">
        <v>0.38</v>
      </c>
      <c r="O1822" t="s">
        <v>33</v>
      </c>
      <c r="P1822" t="s">
        <v>135</v>
      </c>
      <c r="Q1822" t="s">
        <v>356</v>
      </c>
      <c r="R1822" t="s">
        <v>2842</v>
      </c>
      <c r="S1822">
        <v>32216</v>
      </c>
      <c r="T1822" s="1">
        <v>42180</v>
      </c>
      <c r="U1822" s="1">
        <v>42186</v>
      </c>
      <c r="V1822" s="2">
        <v>63.222000000000001</v>
      </c>
      <c r="W1822">
        <v>22</v>
      </c>
      <c r="X1822" s="2">
        <v>358.84</v>
      </c>
      <c r="Y1822">
        <v>90821</v>
      </c>
      <c r="Z1822">
        <f t="shared" si="28"/>
        <v>7894.48</v>
      </c>
    </row>
    <row r="1823" spans="1:26" x14ac:dyDescent="0.25">
      <c r="A1823">
        <v>24493</v>
      </c>
      <c r="B1823" t="s">
        <v>37</v>
      </c>
      <c r="C1823" s="2">
        <v>0.1</v>
      </c>
      <c r="D1823" s="2">
        <v>62.18</v>
      </c>
      <c r="E1823" s="2">
        <v>10.84</v>
      </c>
      <c r="F1823">
        <v>3177</v>
      </c>
      <c r="G1823" t="s">
        <v>2843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1377</v>
      </c>
      <c r="N1823">
        <v>0.63</v>
      </c>
      <c r="O1823" t="s">
        <v>33</v>
      </c>
      <c r="P1823" t="s">
        <v>135</v>
      </c>
      <c r="Q1823" t="s">
        <v>356</v>
      </c>
      <c r="R1823" t="s">
        <v>2844</v>
      </c>
      <c r="S1823">
        <v>33458</v>
      </c>
      <c r="T1823" s="1">
        <v>42077</v>
      </c>
      <c r="U1823" s="1">
        <v>42079</v>
      </c>
      <c r="V1823" s="2">
        <v>-29.666</v>
      </c>
      <c r="W1823">
        <v>9</v>
      </c>
      <c r="X1823" s="2">
        <v>511.57</v>
      </c>
      <c r="Y1823">
        <v>90818</v>
      </c>
      <c r="Z1823">
        <f t="shared" si="28"/>
        <v>4604.13</v>
      </c>
    </row>
    <row r="1824" spans="1:26" x14ac:dyDescent="0.25">
      <c r="A1824">
        <v>22086</v>
      </c>
      <c r="B1824" t="s">
        <v>47</v>
      </c>
      <c r="C1824" s="2">
        <v>0.06</v>
      </c>
      <c r="D1824" s="2">
        <v>1.68</v>
      </c>
      <c r="E1824" s="2">
        <v>1</v>
      </c>
      <c r="F1824">
        <v>3177</v>
      </c>
      <c r="G1824" t="s">
        <v>2843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2528</v>
      </c>
      <c r="N1824">
        <v>0.35</v>
      </c>
      <c r="O1824" t="s">
        <v>33</v>
      </c>
      <c r="P1824" t="s">
        <v>135</v>
      </c>
      <c r="Q1824" t="s">
        <v>356</v>
      </c>
      <c r="R1824" t="s">
        <v>2844</v>
      </c>
      <c r="S1824">
        <v>33458</v>
      </c>
      <c r="T1824" s="1">
        <v>42094</v>
      </c>
      <c r="U1824" s="1">
        <v>42096</v>
      </c>
      <c r="V1824" s="2">
        <v>-1319.5</v>
      </c>
      <c r="W1824">
        <v>5</v>
      </c>
      <c r="X1824" s="2">
        <v>8.65</v>
      </c>
      <c r="Y1824">
        <v>90819</v>
      </c>
      <c r="Z1824">
        <f t="shared" si="28"/>
        <v>43.25</v>
      </c>
    </row>
    <row r="1825" spans="1:26" x14ac:dyDescent="0.25">
      <c r="A1825">
        <v>21554</v>
      </c>
      <c r="B1825" t="s">
        <v>106</v>
      </c>
      <c r="C1825" s="2">
        <v>7.0000000000000007E-2</v>
      </c>
      <c r="D1825" s="2">
        <v>35.44</v>
      </c>
      <c r="E1825" s="2">
        <v>7.5</v>
      </c>
      <c r="F1825">
        <v>3179</v>
      </c>
      <c r="G1825" t="s">
        <v>2845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2726</v>
      </c>
      <c r="N1825">
        <v>0.38</v>
      </c>
      <c r="O1825" t="s">
        <v>33</v>
      </c>
      <c r="P1825" t="s">
        <v>61</v>
      </c>
      <c r="Q1825" t="s">
        <v>62</v>
      </c>
      <c r="R1825" t="s">
        <v>2846</v>
      </c>
      <c r="S1825">
        <v>55060</v>
      </c>
      <c r="T1825" s="1">
        <v>42167</v>
      </c>
      <c r="U1825" s="1">
        <v>42174</v>
      </c>
      <c r="V1825" s="2">
        <v>262.2</v>
      </c>
      <c r="W1825">
        <v>11</v>
      </c>
      <c r="X1825" s="2">
        <v>380</v>
      </c>
      <c r="Y1825">
        <v>86989</v>
      </c>
      <c r="Z1825">
        <f t="shared" si="28"/>
        <v>4180</v>
      </c>
    </row>
    <row r="1826" spans="1:26" x14ac:dyDescent="0.25">
      <c r="A1826">
        <v>24464</v>
      </c>
      <c r="B1826" t="s">
        <v>25</v>
      </c>
      <c r="C1826" s="2">
        <v>0.08</v>
      </c>
      <c r="D1826" s="2">
        <v>170.98</v>
      </c>
      <c r="E1826" s="2">
        <v>35.89</v>
      </c>
      <c r="F1826">
        <v>3187</v>
      </c>
      <c r="G1826" t="s">
        <v>2847</v>
      </c>
      <c r="H1826" t="s">
        <v>39</v>
      </c>
      <c r="I1826" t="s">
        <v>58</v>
      </c>
      <c r="J1826" t="s">
        <v>41</v>
      </c>
      <c r="K1826" t="s">
        <v>187</v>
      </c>
      <c r="L1826" t="s">
        <v>120</v>
      </c>
      <c r="M1826" t="s">
        <v>1036</v>
      </c>
      <c r="N1826">
        <v>0.66</v>
      </c>
      <c r="O1826" t="s">
        <v>33</v>
      </c>
      <c r="P1826" t="s">
        <v>135</v>
      </c>
      <c r="Q1826" t="s">
        <v>356</v>
      </c>
      <c r="R1826" t="s">
        <v>2848</v>
      </c>
      <c r="S1826">
        <v>33569</v>
      </c>
      <c r="T1826" s="1">
        <v>42065</v>
      </c>
      <c r="U1826" s="1">
        <v>42067</v>
      </c>
      <c r="V1826" s="2">
        <v>-119.812</v>
      </c>
      <c r="W1826">
        <v>1</v>
      </c>
      <c r="X1826" s="2">
        <v>199.48</v>
      </c>
      <c r="Y1826">
        <v>89025</v>
      </c>
      <c r="Z1826">
        <f t="shared" si="28"/>
        <v>199.48</v>
      </c>
    </row>
    <row r="1827" spans="1:26" x14ac:dyDescent="0.25">
      <c r="A1827">
        <v>20127</v>
      </c>
      <c r="B1827" t="s">
        <v>47</v>
      </c>
      <c r="C1827" s="2">
        <v>0.01</v>
      </c>
      <c r="D1827" s="2">
        <v>20.99</v>
      </c>
      <c r="E1827" s="2">
        <v>4.8099999999999996</v>
      </c>
      <c r="F1827">
        <v>3191</v>
      </c>
      <c r="G1827" t="s">
        <v>2849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469</v>
      </c>
      <c r="N1827">
        <v>0.57999999999999996</v>
      </c>
      <c r="O1827" t="s">
        <v>33</v>
      </c>
      <c r="P1827" t="s">
        <v>61</v>
      </c>
      <c r="Q1827" t="s">
        <v>1843</v>
      </c>
      <c r="R1827" t="s">
        <v>2850</v>
      </c>
      <c r="S1827">
        <v>54481</v>
      </c>
      <c r="T1827" s="1">
        <v>42081</v>
      </c>
      <c r="U1827" s="1">
        <v>42081</v>
      </c>
      <c r="V1827" s="2">
        <v>-9.1080000000000005</v>
      </c>
      <c r="W1827">
        <v>5</v>
      </c>
      <c r="X1827" s="2">
        <v>93.81</v>
      </c>
      <c r="Y1827">
        <v>86447</v>
      </c>
      <c r="Z1827">
        <f t="shared" si="28"/>
        <v>469.05</v>
      </c>
    </row>
    <row r="1828" spans="1:26" x14ac:dyDescent="0.25">
      <c r="A1828">
        <v>20303</v>
      </c>
      <c r="B1828" t="s">
        <v>25</v>
      </c>
      <c r="C1828" s="2">
        <v>0.09</v>
      </c>
      <c r="D1828" s="2">
        <v>35.94</v>
      </c>
      <c r="E1828" s="2">
        <v>6.66</v>
      </c>
      <c r="F1828">
        <v>3191</v>
      </c>
      <c r="G1828" t="s">
        <v>2849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1843</v>
      </c>
      <c r="R1828" t="s">
        <v>2850</v>
      </c>
      <c r="S1828">
        <v>54481</v>
      </c>
      <c r="T1828" s="1">
        <v>42104</v>
      </c>
      <c r="U1828" s="1">
        <v>42106</v>
      </c>
      <c r="V1828" s="2">
        <v>172.56440000000001</v>
      </c>
      <c r="W1828">
        <v>9</v>
      </c>
      <c r="X1828" s="2">
        <v>312.22000000000003</v>
      </c>
      <c r="Y1828">
        <v>86448</v>
      </c>
      <c r="Z1828">
        <f t="shared" si="28"/>
        <v>2809.9800000000005</v>
      </c>
    </row>
    <row r="1829" spans="1:26" x14ac:dyDescent="0.25">
      <c r="A1829">
        <v>22846</v>
      </c>
      <c r="B1829" t="s">
        <v>56</v>
      </c>
      <c r="C1829" s="2">
        <v>0.1</v>
      </c>
      <c r="D1829" s="2">
        <v>4.9800000000000004</v>
      </c>
      <c r="E1829" s="2">
        <v>7.54</v>
      </c>
      <c r="F1829">
        <v>3194</v>
      </c>
      <c r="G1829" t="s">
        <v>2851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2852</v>
      </c>
      <c r="N1829">
        <v>0.38</v>
      </c>
      <c r="O1829" t="s">
        <v>33</v>
      </c>
      <c r="P1829" t="s">
        <v>135</v>
      </c>
      <c r="Q1829" t="s">
        <v>356</v>
      </c>
      <c r="R1829" t="s">
        <v>942</v>
      </c>
      <c r="S1829">
        <v>34609</v>
      </c>
      <c r="T1829" s="1">
        <v>42073</v>
      </c>
      <c r="U1829" s="1">
        <v>42074</v>
      </c>
      <c r="V1829" s="2">
        <v>45.078000000000003</v>
      </c>
      <c r="W1829">
        <v>9</v>
      </c>
      <c r="X1829" s="2">
        <v>43.84</v>
      </c>
      <c r="Y1829">
        <v>89805</v>
      </c>
      <c r="Z1829">
        <f t="shared" si="28"/>
        <v>394.56000000000006</v>
      </c>
    </row>
    <row r="1830" spans="1:26" x14ac:dyDescent="0.25">
      <c r="A1830">
        <v>22847</v>
      </c>
      <c r="B1830" t="s">
        <v>56</v>
      </c>
      <c r="C1830" s="2">
        <v>0</v>
      </c>
      <c r="D1830" s="2">
        <v>22.84</v>
      </c>
      <c r="E1830" s="2">
        <v>8.18</v>
      </c>
      <c r="F1830">
        <v>3194</v>
      </c>
      <c r="G1830" t="s">
        <v>2851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1827</v>
      </c>
      <c r="N1830">
        <v>0.39</v>
      </c>
      <c r="O1830" t="s">
        <v>33</v>
      </c>
      <c r="P1830" t="s">
        <v>135</v>
      </c>
      <c r="Q1830" t="s">
        <v>356</v>
      </c>
      <c r="R1830" t="s">
        <v>942</v>
      </c>
      <c r="S1830">
        <v>34609</v>
      </c>
      <c r="T1830" s="1">
        <v>42073</v>
      </c>
      <c r="U1830" s="1">
        <v>42075</v>
      </c>
      <c r="V1830" s="2">
        <v>-110.376</v>
      </c>
      <c r="W1830">
        <v>6</v>
      </c>
      <c r="X1830" s="2">
        <v>141.74</v>
      </c>
      <c r="Y1830">
        <v>89805</v>
      </c>
      <c r="Z1830">
        <f t="shared" si="28"/>
        <v>850.44</v>
      </c>
    </row>
    <row r="1831" spans="1:26" x14ac:dyDescent="0.25">
      <c r="A1831">
        <v>3406</v>
      </c>
      <c r="B1831" t="s">
        <v>37</v>
      </c>
      <c r="C1831" s="2">
        <v>0.03</v>
      </c>
      <c r="D1831" s="2">
        <v>200.97</v>
      </c>
      <c r="E1831" s="2">
        <v>15.59</v>
      </c>
      <c r="F1831">
        <v>3196</v>
      </c>
      <c r="G1831" t="s">
        <v>2853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1321</v>
      </c>
      <c r="N1831">
        <v>0.36</v>
      </c>
      <c r="O1831" t="s">
        <v>33</v>
      </c>
      <c r="P1831" t="s">
        <v>34</v>
      </c>
      <c r="Q1831" t="s">
        <v>45</v>
      </c>
      <c r="R1831" t="s">
        <v>271</v>
      </c>
      <c r="S1831">
        <v>94109</v>
      </c>
      <c r="T1831" s="1">
        <v>42037</v>
      </c>
      <c r="U1831" s="1">
        <v>42038</v>
      </c>
      <c r="V1831" s="2">
        <v>1951.3</v>
      </c>
      <c r="W1831">
        <v>43</v>
      </c>
      <c r="X1831" s="2">
        <v>8717.75</v>
      </c>
      <c r="Y1831">
        <v>24294</v>
      </c>
      <c r="Z1831">
        <f t="shared" si="28"/>
        <v>374863.25</v>
      </c>
    </row>
    <row r="1832" spans="1:26" x14ac:dyDescent="0.25">
      <c r="A1832">
        <v>21406</v>
      </c>
      <c r="B1832" t="s">
        <v>37</v>
      </c>
      <c r="C1832" s="2">
        <v>0.03</v>
      </c>
      <c r="D1832" s="2">
        <v>200.97</v>
      </c>
      <c r="E1832" s="2">
        <v>15.59</v>
      </c>
      <c r="F1832">
        <v>3197</v>
      </c>
      <c r="G1832" t="s">
        <v>2854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1321</v>
      </c>
      <c r="N1832">
        <v>0.36</v>
      </c>
      <c r="O1832" t="s">
        <v>33</v>
      </c>
      <c r="P1832" t="s">
        <v>61</v>
      </c>
      <c r="Q1832" t="s">
        <v>175</v>
      </c>
      <c r="R1832" t="s">
        <v>2855</v>
      </c>
      <c r="S1832">
        <v>60062</v>
      </c>
      <c r="T1832" s="1">
        <v>42037</v>
      </c>
      <c r="U1832" s="1">
        <v>42038</v>
      </c>
      <c r="V1832" s="2">
        <v>1538.7828</v>
      </c>
      <c r="W1832">
        <v>11</v>
      </c>
      <c r="X1832" s="2">
        <v>2230.12</v>
      </c>
      <c r="Y1832">
        <v>90850</v>
      </c>
      <c r="Z1832">
        <f t="shared" si="28"/>
        <v>24531.32</v>
      </c>
    </row>
    <row r="1833" spans="1:26" x14ac:dyDescent="0.25">
      <c r="A1833">
        <v>18437</v>
      </c>
      <c r="B1833" t="s">
        <v>106</v>
      </c>
      <c r="C1833" s="2">
        <v>7.0000000000000007E-2</v>
      </c>
      <c r="D1833" s="2">
        <v>5.98</v>
      </c>
      <c r="E1833" s="2">
        <v>0.96</v>
      </c>
      <c r="F1833">
        <v>3205</v>
      </c>
      <c r="G1833" t="s">
        <v>2856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1804</v>
      </c>
      <c r="N1833">
        <v>0.6</v>
      </c>
      <c r="O1833" t="s">
        <v>33</v>
      </c>
      <c r="P1833" t="s">
        <v>34</v>
      </c>
      <c r="Q1833" t="s">
        <v>1727</v>
      </c>
      <c r="R1833" t="s">
        <v>2823</v>
      </c>
      <c r="S1833">
        <v>83440</v>
      </c>
      <c r="T1833" s="1">
        <v>42093</v>
      </c>
      <c r="U1833" s="1">
        <v>42097</v>
      </c>
      <c r="V1833" s="2">
        <v>32.83</v>
      </c>
      <c r="W1833">
        <v>10</v>
      </c>
      <c r="X1833" s="2">
        <v>56.4</v>
      </c>
      <c r="Y1833">
        <v>87933</v>
      </c>
      <c r="Z1833">
        <f t="shared" si="28"/>
        <v>564</v>
      </c>
    </row>
    <row r="1834" spans="1:26" x14ac:dyDescent="0.25">
      <c r="A1834">
        <v>18438</v>
      </c>
      <c r="B1834" t="s">
        <v>106</v>
      </c>
      <c r="C1834" s="2">
        <v>0.01</v>
      </c>
      <c r="D1834" s="2">
        <v>39.979999999999997</v>
      </c>
      <c r="E1834" s="2">
        <v>4</v>
      </c>
      <c r="F1834">
        <v>3206</v>
      </c>
      <c r="G1834" t="s">
        <v>2857</v>
      </c>
      <c r="H1834" t="s">
        <v>49</v>
      </c>
      <c r="I1834" t="s">
        <v>114</v>
      </c>
      <c r="J1834" t="s">
        <v>77</v>
      </c>
      <c r="K1834" t="s">
        <v>177</v>
      </c>
      <c r="L1834" t="s">
        <v>59</v>
      </c>
      <c r="M1834" t="s">
        <v>247</v>
      </c>
      <c r="N1834">
        <v>0.7</v>
      </c>
      <c r="O1834" t="s">
        <v>33</v>
      </c>
      <c r="P1834" t="s">
        <v>34</v>
      </c>
      <c r="Q1834" t="s">
        <v>1727</v>
      </c>
      <c r="R1834" t="s">
        <v>2858</v>
      </c>
      <c r="S1834">
        <v>83301</v>
      </c>
      <c r="T1834" s="1">
        <v>42093</v>
      </c>
      <c r="U1834" s="1">
        <v>42098</v>
      </c>
      <c r="V1834" s="2">
        <v>51.59</v>
      </c>
      <c r="W1834">
        <v>6</v>
      </c>
      <c r="X1834" s="2">
        <v>257.52</v>
      </c>
      <c r="Y1834">
        <v>87933</v>
      </c>
      <c r="Z1834">
        <f t="shared" si="28"/>
        <v>1545.12</v>
      </c>
    </row>
    <row r="1835" spans="1:26" x14ac:dyDescent="0.25">
      <c r="A1835">
        <v>21229</v>
      </c>
      <c r="B1835" t="s">
        <v>37</v>
      </c>
      <c r="C1835" s="2">
        <v>0.06</v>
      </c>
      <c r="D1835" s="2">
        <v>218.08</v>
      </c>
      <c r="E1835" s="2">
        <v>18.059999999999999</v>
      </c>
      <c r="F1835">
        <v>3206</v>
      </c>
      <c r="G1835" t="s">
        <v>2857</v>
      </c>
      <c r="H1835" t="s">
        <v>27</v>
      </c>
      <c r="I1835" t="s">
        <v>114</v>
      </c>
      <c r="J1835" t="s">
        <v>41</v>
      </c>
      <c r="K1835" t="s">
        <v>42</v>
      </c>
      <c r="L1835" t="s">
        <v>231</v>
      </c>
      <c r="M1835" t="s">
        <v>1486</v>
      </c>
      <c r="N1835">
        <v>0.56999999999999995</v>
      </c>
      <c r="O1835" t="s">
        <v>33</v>
      </c>
      <c r="P1835" t="s">
        <v>34</v>
      </c>
      <c r="Q1835" t="s">
        <v>1727</v>
      </c>
      <c r="R1835" t="s">
        <v>2858</v>
      </c>
      <c r="S1835">
        <v>83301</v>
      </c>
      <c r="T1835" s="1">
        <v>42145</v>
      </c>
      <c r="U1835" s="1">
        <v>42147</v>
      </c>
      <c r="V1835" s="2">
        <v>969.42</v>
      </c>
      <c r="W1835">
        <v>7</v>
      </c>
      <c r="X1835" s="2">
        <v>1488.51</v>
      </c>
      <c r="Y1835">
        <v>87934</v>
      </c>
      <c r="Z1835">
        <f t="shared" si="28"/>
        <v>10419.57</v>
      </c>
    </row>
    <row r="1836" spans="1:26" x14ac:dyDescent="0.25">
      <c r="A1836">
        <v>20156</v>
      </c>
      <c r="B1836" t="s">
        <v>37</v>
      </c>
      <c r="C1836" s="2">
        <v>0.05</v>
      </c>
      <c r="D1836" s="2">
        <v>35.44</v>
      </c>
      <c r="E1836" s="2">
        <v>5.09</v>
      </c>
      <c r="F1836">
        <v>3206</v>
      </c>
      <c r="G1836" t="s">
        <v>2857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2757</v>
      </c>
      <c r="N1836">
        <v>0.38</v>
      </c>
      <c r="O1836" t="s">
        <v>33</v>
      </c>
      <c r="P1836" t="s">
        <v>34</v>
      </c>
      <c r="Q1836" t="s">
        <v>1727</v>
      </c>
      <c r="R1836" t="s">
        <v>2858</v>
      </c>
      <c r="S1836">
        <v>83301</v>
      </c>
      <c r="T1836" s="1">
        <v>42152</v>
      </c>
      <c r="U1836" s="1">
        <v>42153</v>
      </c>
      <c r="V1836" s="2">
        <v>553.33169999999996</v>
      </c>
      <c r="W1836">
        <v>23</v>
      </c>
      <c r="X1836" s="2">
        <v>801.93</v>
      </c>
      <c r="Y1836">
        <v>87935</v>
      </c>
      <c r="Z1836">
        <f t="shared" si="28"/>
        <v>18444.39</v>
      </c>
    </row>
    <row r="1837" spans="1:26" x14ac:dyDescent="0.25">
      <c r="A1837">
        <v>24637</v>
      </c>
      <c r="B1837" t="s">
        <v>47</v>
      </c>
      <c r="C1837" s="2">
        <v>0.03</v>
      </c>
      <c r="D1837" s="2">
        <v>4.9800000000000004</v>
      </c>
      <c r="E1837" s="2">
        <v>4.62</v>
      </c>
      <c r="F1837">
        <v>3209</v>
      </c>
      <c r="G1837" t="s">
        <v>2859</v>
      </c>
      <c r="H1837" t="s">
        <v>27</v>
      </c>
      <c r="I1837" t="s">
        <v>28</v>
      </c>
      <c r="J1837" t="s">
        <v>77</v>
      </c>
      <c r="K1837" t="s">
        <v>177</v>
      </c>
      <c r="L1837" t="s">
        <v>51</v>
      </c>
      <c r="M1837" t="s">
        <v>405</v>
      </c>
      <c r="N1837">
        <v>0.64</v>
      </c>
      <c r="O1837" t="s">
        <v>33</v>
      </c>
      <c r="P1837" t="s">
        <v>34</v>
      </c>
      <c r="Q1837" t="s">
        <v>45</v>
      </c>
      <c r="R1837" t="s">
        <v>2860</v>
      </c>
      <c r="S1837">
        <v>90210</v>
      </c>
      <c r="T1837" s="1">
        <v>42183</v>
      </c>
      <c r="U1837" s="1">
        <v>42184</v>
      </c>
      <c r="V1837" s="2">
        <v>-30.45</v>
      </c>
      <c r="W1837">
        <v>8</v>
      </c>
      <c r="X1837" s="2">
        <v>44.24</v>
      </c>
      <c r="Y1837">
        <v>90739</v>
      </c>
      <c r="Z1837">
        <f t="shared" si="28"/>
        <v>353.92</v>
      </c>
    </row>
    <row r="1838" spans="1:26" x14ac:dyDescent="0.25">
      <c r="A1838">
        <v>22804</v>
      </c>
      <c r="B1838" t="s">
        <v>25</v>
      </c>
      <c r="C1838" s="2">
        <v>0.1</v>
      </c>
      <c r="D1838" s="2">
        <v>7.31</v>
      </c>
      <c r="E1838" s="2">
        <v>0.49</v>
      </c>
      <c r="F1838">
        <v>3211</v>
      </c>
      <c r="G1838" t="s">
        <v>2861</v>
      </c>
      <c r="H1838" t="s">
        <v>49</v>
      </c>
      <c r="I1838" t="s">
        <v>28</v>
      </c>
      <c r="J1838" t="s">
        <v>29</v>
      </c>
      <c r="K1838" t="s">
        <v>133</v>
      </c>
      <c r="L1838" t="s">
        <v>59</v>
      </c>
      <c r="M1838" t="s">
        <v>1060</v>
      </c>
      <c r="N1838">
        <v>0.38</v>
      </c>
      <c r="O1838" t="s">
        <v>33</v>
      </c>
      <c r="P1838" t="s">
        <v>61</v>
      </c>
      <c r="Q1838" t="s">
        <v>175</v>
      </c>
      <c r="R1838" t="s">
        <v>2862</v>
      </c>
      <c r="S1838">
        <v>60101</v>
      </c>
      <c r="T1838" s="1">
        <v>42050</v>
      </c>
      <c r="U1838" s="1">
        <v>42051</v>
      </c>
      <c r="V1838" s="2">
        <v>55.020600000000002</v>
      </c>
      <c r="W1838">
        <v>12</v>
      </c>
      <c r="X1838" s="2">
        <v>79.739999999999995</v>
      </c>
      <c r="Y1838">
        <v>91522</v>
      </c>
      <c r="Z1838">
        <f t="shared" si="28"/>
        <v>956.87999999999988</v>
      </c>
    </row>
    <row r="1839" spans="1:26" x14ac:dyDescent="0.25">
      <c r="A1839">
        <v>22805</v>
      </c>
      <c r="B1839" t="s">
        <v>25</v>
      </c>
      <c r="C1839" s="2">
        <v>0.1</v>
      </c>
      <c r="D1839" s="2">
        <v>20.99</v>
      </c>
      <c r="E1839" s="2">
        <v>2.5</v>
      </c>
      <c r="F1839">
        <v>3211</v>
      </c>
      <c r="G1839" t="s">
        <v>2861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1159</v>
      </c>
      <c r="N1839">
        <v>0.81</v>
      </c>
      <c r="O1839" t="s">
        <v>33</v>
      </c>
      <c r="P1839" t="s">
        <v>61</v>
      </c>
      <c r="Q1839" t="s">
        <v>175</v>
      </c>
      <c r="R1839" t="s">
        <v>2862</v>
      </c>
      <c r="S1839">
        <v>60101</v>
      </c>
      <c r="T1839" s="1">
        <v>42050</v>
      </c>
      <c r="U1839" s="1">
        <v>42051</v>
      </c>
      <c r="V1839" s="2">
        <v>-43.65504</v>
      </c>
      <c r="W1839">
        <v>23</v>
      </c>
      <c r="X1839" s="2">
        <v>392.45</v>
      </c>
      <c r="Y1839">
        <v>91522</v>
      </c>
      <c r="Z1839">
        <f t="shared" si="28"/>
        <v>9026.35</v>
      </c>
    </row>
    <row r="1840" spans="1:26" x14ac:dyDescent="0.25">
      <c r="A1840">
        <v>23736</v>
      </c>
      <c r="B1840" t="s">
        <v>37</v>
      </c>
      <c r="C1840" s="2">
        <v>0.03</v>
      </c>
      <c r="D1840" s="2">
        <v>6.68</v>
      </c>
      <c r="E1840" s="2">
        <v>1.5</v>
      </c>
      <c r="F1840">
        <v>3221</v>
      </c>
      <c r="G1840" t="s">
        <v>2863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2007</v>
      </c>
      <c r="N1840">
        <v>0.48</v>
      </c>
      <c r="O1840" t="s">
        <v>33</v>
      </c>
      <c r="P1840" t="s">
        <v>135</v>
      </c>
      <c r="Q1840" t="s">
        <v>356</v>
      </c>
      <c r="R1840" t="s">
        <v>2864</v>
      </c>
      <c r="S1840">
        <v>33322</v>
      </c>
      <c r="T1840" s="1">
        <v>42106</v>
      </c>
      <c r="U1840" s="1">
        <v>42107</v>
      </c>
      <c r="V1840" s="2">
        <v>-577.30399999999997</v>
      </c>
      <c r="W1840">
        <v>7</v>
      </c>
      <c r="X1840" s="2">
        <v>48.32</v>
      </c>
      <c r="Y1840">
        <v>90815</v>
      </c>
      <c r="Z1840">
        <f t="shared" si="28"/>
        <v>338.24</v>
      </c>
    </row>
    <row r="1841" spans="1:26" x14ac:dyDescent="0.25">
      <c r="A1841">
        <v>25605</v>
      </c>
      <c r="B1841" t="s">
        <v>25</v>
      </c>
      <c r="C1841" s="2">
        <v>0.04</v>
      </c>
      <c r="D1841" s="2">
        <v>39.479999999999997</v>
      </c>
      <c r="E1841" s="2">
        <v>1.99</v>
      </c>
      <c r="F1841">
        <v>3222</v>
      </c>
      <c r="G1841" t="s">
        <v>2865</v>
      </c>
      <c r="H1841" t="s">
        <v>27</v>
      </c>
      <c r="I1841" t="s">
        <v>28</v>
      </c>
      <c r="J1841" t="s">
        <v>77</v>
      </c>
      <c r="K1841" t="s">
        <v>177</v>
      </c>
      <c r="L1841" t="s">
        <v>51</v>
      </c>
      <c r="M1841" t="s">
        <v>697</v>
      </c>
      <c r="N1841">
        <v>0.54</v>
      </c>
      <c r="O1841" t="s">
        <v>33</v>
      </c>
      <c r="P1841" t="s">
        <v>135</v>
      </c>
      <c r="Q1841" t="s">
        <v>356</v>
      </c>
      <c r="R1841" t="s">
        <v>2866</v>
      </c>
      <c r="S1841">
        <v>32303</v>
      </c>
      <c r="T1841" s="1">
        <v>42082</v>
      </c>
      <c r="U1841" s="1">
        <v>42082</v>
      </c>
      <c r="V1841" s="2">
        <v>-1535.4864</v>
      </c>
      <c r="W1841">
        <v>8</v>
      </c>
      <c r="X1841" s="2">
        <v>332.16</v>
      </c>
      <c r="Y1841">
        <v>90814</v>
      </c>
      <c r="Z1841">
        <f t="shared" si="28"/>
        <v>2657.28</v>
      </c>
    </row>
    <row r="1842" spans="1:26" x14ac:dyDescent="0.25">
      <c r="A1842">
        <v>25606</v>
      </c>
      <c r="B1842" t="s">
        <v>25</v>
      </c>
      <c r="C1842" s="2">
        <v>0</v>
      </c>
      <c r="D1842" s="2">
        <v>8.1199999999999992</v>
      </c>
      <c r="E1842" s="2">
        <v>2.83</v>
      </c>
      <c r="F1842">
        <v>3222</v>
      </c>
      <c r="G1842" t="s">
        <v>2865</v>
      </c>
      <c r="H1842" t="s">
        <v>49</v>
      </c>
      <c r="I1842" t="s">
        <v>28</v>
      </c>
      <c r="J1842" t="s">
        <v>77</v>
      </c>
      <c r="K1842" t="s">
        <v>177</v>
      </c>
      <c r="L1842" t="s">
        <v>51</v>
      </c>
      <c r="M1842" t="s">
        <v>818</v>
      </c>
      <c r="N1842">
        <v>0.77</v>
      </c>
      <c r="O1842" t="s">
        <v>33</v>
      </c>
      <c r="P1842" t="s">
        <v>135</v>
      </c>
      <c r="Q1842" t="s">
        <v>356</v>
      </c>
      <c r="R1842" t="s">
        <v>2866</v>
      </c>
      <c r="S1842">
        <v>32303</v>
      </c>
      <c r="T1842" s="1">
        <v>42082</v>
      </c>
      <c r="U1842" s="1">
        <v>42083</v>
      </c>
      <c r="V1842" s="2">
        <v>-159.32</v>
      </c>
      <c r="W1842">
        <v>17</v>
      </c>
      <c r="X1842" s="2">
        <v>147.62</v>
      </c>
      <c r="Y1842">
        <v>90814</v>
      </c>
      <c r="Z1842">
        <f t="shared" si="28"/>
        <v>2509.54</v>
      </c>
    </row>
    <row r="1843" spans="1:26" x14ac:dyDescent="0.25">
      <c r="A1843">
        <v>19517</v>
      </c>
      <c r="B1843" t="s">
        <v>47</v>
      </c>
      <c r="C1843" s="2">
        <v>0.06</v>
      </c>
      <c r="D1843" s="2">
        <v>60.98</v>
      </c>
      <c r="E1843" s="2">
        <v>30</v>
      </c>
      <c r="F1843">
        <v>3224</v>
      </c>
      <c r="G1843" t="s">
        <v>2867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2868</v>
      </c>
      <c r="N1843">
        <v>0.7</v>
      </c>
      <c r="O1843" t="s">
        <v>33</v>
      </c>
      <c r="P1843" t="s">
        <v>135</v>
      </c>
      <c r="Q1843" t="s">
        <v>239</v>
      </c>
      <c r="R1843" t="s">
        <v>2869</v>
      </c>
      <c r="S1843">
        <v>37066</v>
      </c>
      <c r="T1843" s="1">
        <v>42095</v>
      </c>
      <c r="U1843" s="1">
        <v>42096</v>
      </c>
      <c r="V1843" s="2">
        <v>-74.087999999999994</v>
      </c>
      <c r="W1843">
        <v>2</v>
      </c>
      <c r="X1843" s="2">
        <v>125.9</v>
      </c>
      <c r="Y1843">
        <v>86508</v>
      </c>
      <c r="Z1843">
        <f t="shared" si="28"/>
        <v>251.8</v>
      </c>
    </row>
    <row r="1844" spans="1:26" x14ac:dyDescent="0.25">
      <c r="A1844">
        <v>22291</v>
      </c>
      <c r="B1844" t="s">
        <v>37</v>
      </c>
      <c r="C1844" s="2">
        <v>0.1</v>
      </c>
      <c r="D1844" s="2">
        <v>208.16</v>
      </c>
      <c r="E1844" s="2">
        <v>68.02</v>
      </c>
      <c r="F1844">
        <v>3225</v>
      </c>
      <c r="G1844" t="s">
        <v>2870</v>
      </c>
      <c r="H1844" t="s">
        <v>39</v>
      </c>
      <c r="I1844" t="s">
        <v>58</v>
      </c>
      <c r="J1844" t="s">
        <v>29</v>
      </c>
      <c r="K1844" t="s">
        <v>252</v>
      </c>
      <c r="L1844" t="s">
        <v>43</v>
      </c>
      <c r="M1844" t="s">
        <v>2871</v>
      </c>
      <c r="N1844">
        <v>0.57999999999999996</v>
      </c>
      <c r="O1844" t="s">
        <v>33</v>
      </c>
      <c r="P1844" t="s">
        <v>135</v>
      </c>
      <c r="Q1844" t="s">
        <v>239</v>
      </c>
      <c r="R1844" t="s">
        <v>2872</v>
      </c>
      <c r="S1844">
        <v>38138</v>
      </c>
      <c r="T1844" s="1">
        <v>42018</v>
      </c>
      <c r="U1844" s="1">
        <v>42018</v>
      </c>
      <c r="V1844" s="2">
        <v>-137.52199999999999</v>
      </c>
      <c r="W1844">
        <v>4</v>
      </c>
      <c r="X1844" s="2">
        <v>768.81</v>
      </c>
      <c r="Y1844">
        <v>86507</v>
      </c>
      <c r="Z1844">
        <f t="shared" si="28"/>
        <v>3075.24</v>
      </c>
    </row>
    <row r="1845" spans="1:26" x14ac:dyDescent="0.25">
      <c r="A1845">
        <v>22292</v>
      </c>
      <c r="B1845" t="s">
        <v>37</v>
      </c>
      <c r="C1845" s="2">
        <v>7.0000000000000007E-2</v>
      </c>
      <c r="D1845" s="2">
        <v>90.48</v>
      </c>
      <c r="E1845" s="2">
        <v>19.989999999999998</v>
      </c>
      <c r="F1845">
        <v>3226</v>
      </c>
      <c r="G1845" t="s">
        <v>2873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1825</v>
      </c>
      <c r="N1845">
        <v>0.4</v>
      </c>
      <c r="O1845" t="s">
        <v>33</v>
      </c>
      <c r="P1845" t="s">
        <v>135</v>
      </c>
      <c r="Q1845" t="s">
        <v>239</v>
      </c>
      <c r="R1845" t="s">
        <v>2874</v>
      </c>
      <c r="S1845">
        <v>37075</v>
      </c>
      <c r="T1845" s="1">
        <v>42018</v>
      </c>
      <c r="U1845" s="1">
        <v>42019</v>
      </c>
      <c r="V1845" s="2">
        <v>-11.816000000000001</v>
      </c>
      <c r="W1845">
        <v>2</v>
      </c>
      <c r="X1845" s="2">
        <v>183.39</v>
      </c>
      <c r="Y1845">
        <v>86507</v>
      </c>
      <c r="Z1845">
        <f t="shared" si="28"/>
        <v>366.78</v>
      </c>
    </row>
    <row r="1846" spans="1:26" x14ac:dyDescent="0.25">
      <c r="A1846">
        <v>22293</v>
      </c>
      <c r="B1846" t="s">
        <v>37</v>
      </c>
      <c r="C1846" s="2">
        <v>0.01</v>
      </c>
      <c r="D1846" s="2">
        <v>9.48</v>
      </c>
      <c r="E1846" s="2">
        <v>7.29</v>
      </c>
      <c r="F1846">
        <v>3226</v>
      </c>
      <c r="G1846" t="s">
        <v>2873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135</v>
      </c>
      <c r="Q1846" t="s">
        <v>239</v>
      </c>
      <c r="R1846" t="s">
        <v>2874</v>
      </c>
      <c r="S1846">
        <v>37075</v>
      </c>
      <c r="T1846" s="1">
        <v>42018</v>
      </c>
      <c r="U1846" s="1">
        <v>42020</v>
      </c>
      <c r="V1846" s="2">
        <v>238.93379999999999</v>
      </c>
      <c r="W1846">
        <v>1</v>
      </c>
      <c r="X1846" s="2">
        <v>12.9</v>
      </c>
      <c r="Y1846">
        <v>86507</v>
      </c>
      <c r="Z1846">
        <f t="shared" si="28"/>
        <v>12.9</v>
      </c>
    </row>
    <row r="1847" spans="1:26" x14ac:dyDescent="0.25">
      <c r="A1847">
        <v>22294</v>
      </c>
      <c r="B1847" t="s">
        <v>37</v>
      </c>
      <c r="C1847" s="2">
        <v>0.02</v>
      </c>
      <c r="D1847" s="2">
        <v>4.28</v>
      </c>
      <c r="E1847" s="2">
        <v>0.94</v>
      </c>
      <c r="F1847">
        <v>3226</v>
      </c>
      <c r="G1847" t="s">
        <v>2873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1634</v>
      </c>
      <c r="N1847">
        <v>0.56000000000000005</v>
      </c>
      <c r="O1847" t="s">
        <v>33</v>
      </c>
      <c r="P1847" t="s">
        <v>135</v>
      </c>
      <c r="Q1847" t="s">
        <v>239</v>
      </c>
      <c r="R1847" t="s">
        <v>2874</v>
      </c>
      <c r="S1847">
        <v>37075</v>
      </c>
      <c r="T1847" s="1">
        <v>42018</v>
      </c>
      <c r="U1847" s="1">
        <v>42019</v>
      </c>
      <c r="V1847" s="2">
        <v>-105.126</v>
      </c>
      <c r="W1847">
        <v>4</v>
      </c>
      <c r="X1847" s="2">
        <v>17.89</v>
      </c>
      <c r="Y1847">
        <v>86507</v>
      </c>
      <c r="Z1847">
        <f t="shared" si="28"/>
        <v>71.56</v>
      </c>
    </row>
    <row r="1848" spans="1:26" x14ac:dyDescent="0.25">
      <c r="A1848">
        <v>24343</v>
      </c>
      <c r="B1848" t="s">
        <v>56</v>
      </c>
      <c r="C1848" s="2">
        <v>0.06</v>
      </c>
      <c r="D1848" s="2">
        <v>22.24</v>
      </c>
      <c r="E1848" s="2">
        <v>1.99</v>
      </c>
      <c r="F1848">
        <v>3226</v>
      </c>
      <c r="G1848" t="s">
        <v>2873</v>
      </c>
      <c r="H1848" t="s">
        <v>49</v>
      </c>
      <c r="I1848" t="s">
        <v>58</v>
      </c>
      <c r="J1848" t="s">
        <v>77</v>
      </c>
      <c r="K1848" t="s">
        <v>177</v>
      </c>
      <c r="L1848" t="s">
        <v>51</v>
      </c>
      <c r="M1848" t="s">
        <v>2875</v>
      </c>
      <c r="N1848">
        <v>0.43</v>
      </c>
      <c r="O1848" t="s">
        <v>33</v>
      </c>
      <c r="P1848" t="s">
        <v>135</v>
      </c>
      <c r="Q1848" t="s">
        <v>239</v>
      </c>
      <c r="R1848" t="s">
        <v>2874</v>
      </c>
      <c r="S1848">
        <v>37075</v>
      </c>
      <c r="T1848" s="1">
        <v>42183</v>
      </c>
      <c r="U1848" s="1">
        <v>42185</v>
      </c>
      <c r="V1848" s="2">
        <v>95.388000000000005</v>
      </c>
      <c r="W1848">
        <v>12</v>
      </c>
      <c r="X1848" s="2">
        <v>255.88</v>
      </c>
      <c r="Y1848">
        <v>86509</v>
      </c>
      <c r="Z1848">
        <f t="shared" si="28"/>
        <v>3070.56</v>
      </c>
    </row>
    <row r="1849" spans="1:26" x14ac:dyDescent="0.25">
      <c r="A1849">
        <v>18940</v>
      </c>
      <c r="B1849" t="s">
        <v>37</v>
      </c>
      <c r="C1849" s="2">
        <v>0.01</v>
      </c>
      <c r="D1849" s="2">
        <v>24.95</v>
      </c>
      <c r="E1849" s="2">
        <v>2.99</v>
      </c>
      <c r="F1849">
        <v>3229</v>
      </c>
      <c r="G1849" t="s">
        <v>2876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2877</v>
      </c>
      <c r="N1849">
        <v>0.39</v>
      </c>
      <c r="O1849" t="s">
        <v>33</v>
      </c>
      <c r="P1849" t="s">
        <v>61</v>
      </c>
      <c r="Q1849" t="s">
        <v>1843</v>
      </c>
      <c r="R1849" t="s">
        <v>2878</v>
      </c>
      <c r="S1849">
        <v>54880</v>
      </c>
      <c r="T1849" s="1">
        <v>42025</v>
      </c>
      <c r="U1849" s="1">
        <v>42026</v>
      </c>
      <c r="V1849" s="2">
        <v>261.38580000000002</v>
      </c>
      <c r="W1849">
        <v>15</v>
      </c>
      <c r="X1849" s="2">
        <v>378.82</v>
      </c>
      <c r="Y1849">
        <v>87435</v>
      </c>
      <c r="Z1849">
        <f t="shared" si="28"/>
        <v>5682.3</v>
      </c>
    </row>
    <row r="1850" spans="1:26" x14ac:dyDescent="0.25">
      <c r="A1850">
        <v>18941</v>
      </c>
      <c r="B1850" t="s">
        <v>37</v>
      </c>
      <c r="C1850" s="2">
        <v>0</v>
      </c>
      <c r="D1850" s="2">
        <v>15.98</v>
      </c>
      <c r="E1850" s="2">
        <v>8.99</v>
      </c>
      <c r="F1850">
        <v>3230</v>
      </c>
      <c r="G1850" t="s">
        <v>2879</v>
      </c>
      <c r="H1850" t="s">
        <v>49</v>
      </c>
      <c r="I1850" t="s">
        <v>58</v>
      </c>
      <c r="J1850" t="s">
        <v>77</v>
      </c>
      <c r="K1850" t="s">
        <v>177</v>
      </c>
      <c r="L1850" t="s">
        <v>51</v>
      </c>
      <c r="M1850" t="s">
        <v>2880</v>
      </c>
      <c r="N1850">
        <v>0.64</v>
      </c>
      <c r="O1850" t="s">
        <v>33</v>
      </c>
      <c r="P1850" t="s">
        <v>61</v>
      </c>
      <c r="Q1850" t="s">
        <v>1843</v>
      </c>
      <c r="R1850" t="s">
        <v>2881</v>
      </c>
      <c r="S1850">
        <v>53186</v>
      </c>
      <c r="T1850" s="1">
        <v>42025</v>
      </c>
      <c r="U1850" s="1">
        <v>42027</v>
      </c>
      <c r="V1850" s="2">
        <v>-135.46</v>
      </c>
      <c r="W1850">
        <v>9</v>
      </c>
      <c r="X1850" s="2">
        <v>152.18</v>
      </c>
      <c r="Y1850">
        <v>87435</v>
      </c>
      <c r="Z1850">
        <f t="shared" si="28"/>
        <v>1369.6200000000001</v>
      </c>
    </row>
    <row r="1851" spans="1:26" x14ac:dyDescent="0.25">
      <c r="A1851">
        <v>19062</v>
      </c>
      <c r="B1851" t="s">
        <v>47</v>
      </c>
      <c r="C1851" s="2">
        <v>0.06</v>
      </c>
      <c r="D1851" s="2">
        <v>4.91</v>
      </c>
      <c r="E1851" s="2">
        <v>5.68</v>
      </c>
      <c r="F1851">
        <v>3230</v>
      </c>
      <c r="G1851" t="s">
        <v>2879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1383</v>
      </c>
      <c r="N1851">
        <v>0.36</v>
      </c>
      <c r="O1851" t="s">
        <v>33</v>
      </c>
      <c r="P1851" t="s">
        <v>61</v>
      </c>
      <c r="Q1851" t="s">
        <v>1843</v>
      </c>
      <c r="R1851" t="s">
        <v>2881</v>
      </c>
      <c r="S1851">
        <v>53186</v>
      </c>
      <c r="T1851" s="1">
        <v>42168</v>
      </c>
      <c r="U1851" s="1">
        <v>42168</v>
      </c>
      <c r="V1851" s="2">
        <v>-31.68825</v>
      </c>
      <c r="W1851">
        <v>10</v>
      </c>
      <c r="X1851" s="2">
        <v>53.89</v>
      </c>
      <c r="Y1851">
        <v>87436</v>
      </c>
      <c r="Z1851">
        <f t="shared" si="28"/>
        <v>538.9</v>
      </c>
    </row>
    <row r="1852" spans="1:26" x14ac:dyDescent="0.25">
      <c r="A1852">
        <v>19063</v>
      </c>
      <c r="B1852" t="s">
        <v>47</v>
      </c>
      <c r="C1852" s="2">
        <v>7.0000000000000007E-2</v>
      </c>
      <c r="D1852" s="2">
        <v>48.94</v>
      </c>
      <c r="E1852" s="2">
        <v>5.86</v>
      </c>
      <c r="F1852">
        <v>3230</v>
      </c>
      <c r="G1852" t="s">
        <v>2879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2882</v>
      </c>
      <c r="N1852">
        <v>0.35</v>
      </c>
      <c r="O1852" t="s">
        <v>33</v>
      </c>
      <c r="P1852" t="s">
        <v>61</v>
      </c>
      <c r="Q1852" t="s">
        <v>1843</v>
      </c>
      <c r="R1852" t="s">
        <v>2881</v>
      </c>
      <c r="S1852">
        <v>53186</v>
      </c>
      <c r="T1852" s="1">
        <v>42168</v>
      </c>
      <c r="U1852" s="1">
        <v>42169</v>
      </c>
      <c r="V1852" s="2">
        <v>690.7038</v>
      </c>
      <c r="W1852">
        <v>21</v>
      </c>
      <c r="X1852" s="2">
        <v>1001.02</v>
      </c>
      <c r="Y1852">
        <v>87436</v>
      </c>
      <c r="Z1852">
        <f t="shared" si="28"/>
        <v>21021.42</v>
      </c>
    </row>
    <row r="1853" spans="1:26" x14ac:dyDescent="0.25">
      <c r="A1853">
        <v>19179</v>
      </c>
      <c r="B1853" t="s">
        <v>106</v>
      </c>
      <c r="C1853" s="2">
        <v>0.06</v>
      </c>
      <c r="D1853" s="2">
        <v>115.99</v>
      </c>
      <c r="E1853" s="2">
        <v>5.92</v>
      </c>
      <c r="F1853">
        <v>3238</v>
      </c>
      <c r="G1853" t="s">
        <v>2883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>
        <v>8890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2884</v>
      </c>
      <c r="S1853">
        <v>97330</v>
      </c>
      <c r="T1853" s="1">
        <v>42159</v>
      </c>
      <c r="U1853" s="1">
        <v>42161</v>
      </c>
      <c r="V1853" s="2">
        <v>-13.068</v>
      </c>
      <c r="W1853">
        <v>5</v>
      </c>
      <c r="X1853" s="2">
        <v>495.82</v>
      </c>
      <c r="Y1853">
        <v>89564</v>
      </c>
      <c r="Z1853">
        <f t="shared" si="28"/>
        <v>2479.1</v>
      </c>
    </row>
    <row r="1854" spans="1:26" x14ac:dyDescent="0.25">
      <c r="A1854">
        <v>23084</v>
      </c>
      <c r="B1854" t="s">
        <v>25</v>
      </c>
      <c r="C1854" s="2">
        <v>0</v>
      </c>
      <c r="D1854" s="2">
        <v>7.28</v>
      </c>
      <c r="E1854" s="2">
        <v>3.52</v>
      </c>
      <c r="F1854">
        <v>3243</v>
      </c>
      <c r="G1854" t="s">
        <v>2885</v>
      </c>
      <c r="H1854" t="s">
        <v>49</v>
      </c>
      <c r="I1854" t="s">
        <v>58</v>
      </c>
      <c r="J1854" t="s">
        <v>77</v>
      </c>
      <c r="K1854" t="s">
        <v>177</v>
      </c>
      <c r="L1854" t="s">
        <v>51</v>
      </c>
      <c r="M1854" t="s">
        <v>2886</v>
      </c>
      <c r="N1854">
        <v>0.68</v>
      </c>
      <c r="O1854" t="s">
        <v>33</v>
      </c>
      <c r="P1854" t="s">
        <v>53</v>
      </c>
      <c r="Q1854" t="s">
        <v>223</v>
      </c>
      <c r="R1854" t="s">
        <v>907</v>
      </c>
      <c r="S1854">
        <v>6010</v>
      </c>
      <c r="T1854" s="1">
        <v>42165</v>
      </c>
      <c r="U1854" s="1">
        <v>42165</v>
      </c>
      <c r="V1854" s="2">
        <v>-25.103999999999999</v>
      </c>
      <c r="W1854">
        <v>3</v>
      </c>
      <c r="X1854" s="2">
        <v>24.44</v>
      </c>
      <c r="Y1854">
        <v>88329</v>
      </c>
      <c r="Z1854">
        <f t="shared" si="28"/>
        <v>73.320000000000007</v>
      </c>
    </row>
    <row r="1855" spans="1:26" x14ac:dyDescent="0.25">
      <c r="A1855">
        <v>23267</v>
      </c>
      <c r="B1855" t="s">
        <v>106</v>
      </c>
      <c r="C1855" s="2">
        <v>0.06</v>
      </c>
      <c r="D1855" s="2">
        <v>5.18</v>
      </c>
      <c r="E1855" s="2">
        <v>2.04</v>
      </c>
      <c r="F1855">
        <v>3246</v>
      </c>
      <c r="G1855" t="s">
        <v>2887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165</v>
      </c>
      <c r="N1855">
        <v>0.36</v>
      </c>
      <c r="O1855" t="s">
        <v>33</v>
      </c>
      <c r="P1855" t="s">
        <v>53</v>
      </c>
      <c r="Q1855" t="s">
        <v>193</v>
      </c>
      <c r="R1855" t="s">
        <v>2888</v>
      </c>
      <c r="S1855">
        <v>3051</v>
      </c>
      <c r="T1855" s="1">
        <v>42095</v>
      </c>
      <c r="U1855" s="1">
        <v>42095</v>
      </c>
      <c r="V1855" s="2">
        <v>1.9503999999999999</v>
      </c>
      <c r="W1855">
        <v>4</v>
      </c>
      <c r="X1855" s="2">
        <v>21.86</v>
      </c>
      <c r="Y1855">
        <v>88330</v>
      </c>
      <c r="Z1855">
        <f t="shared" si="28"/>
        <v>87.44</v>
      </c>
    </row>
    <row r="1856" spans="1:26" x14ac:dyDescent="0.25">
      <c r="A1856">
        <v>18265</v>
      </c>
      <c r="B1856" t="s">
        <v>25</v>
      </c>
      <c r="C1856" s="2">
        <v>7.0000000000000007E-2</v>
      </c>
      <c r="D1856" s="2">
        <v>2.78</v>
      </c>
      <c r="E1856" s="2">
        <v>1.49</v>
      </c>
      <c r="F1856">
        <v>3248</v>
      </c>
      <c r="G1856" t="s">
        <v>2889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763</v>
      </c>
      <c r="N1856">
        <v>0.36</v>
      </c>
      <c r="O1856" t="s">
        <v>33</v>
      </c>
      <c r="P1856" t="s">
        <v>135</v>
      </c>
      <c r="Q1856" t="s">
        <v>168</v>
      </c>
      <c r="R1856" t="s">
        <v>2890</v>
      </c>
      <c r="S1856">
        <v>70458</v>
      </c>
      <c r="T1856" s="1">
        <v>42131</v>
      </c>
      <c r="U1856" s="1">
        <v>42132</v>
      </c>
      <c r="V1856" s="2">
        <v>-340.53109999999998</v>
      </c>
      <c r="W1856">
        <v>17</v>
      </c>
      <c r="X1856" s="2">
        <v>47.12</v>
      </c>
      <c r="Y1856">
        <v>87297</v>
      </c>
      <c r="Z1856">
        <f t="shared" si="28"/>
        <v>801.04</v>
      </c>
    </row>
    <row r="1857" spans="1:26" x14ac:dyDescent="0.25">
      <c r="A1857">
        <v>25820</v>
      </c>
      <c r="B1857" t="s">
        <v>25</v>
      </c>
      <c r="C1857" s="2">
        <v>0.03</v>
      </c>
      <c r="D1857" s="2">
        <v>42.8</v>
      </c>
      <c r="E1857" s="2">
        <v>2.99</v>
      </c>
      <c r="F1857">
        <v>3249</v>
      </c>
      <c r="G1857" t="s">
        <v>2891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2892</v>
      </c>
      <c r="N1857">
        <v>0.36</v>
      </c>
      <c r="O1857" t="s">
        <v>33</v>
      </c>
      <c r="P1857" t="s">
        <v>53</v>
      </c>
      <c r="Q1857" t="s">
        <v>409</v>
      </c>
      <c r="R1857" t="s">
        <v>2893</v>
      </c>
      <c r="S1857">
        <v>21403</v>
      </c>
      <c r="T1857" s="1">
        <v>42147</v>
      </c>
      <c r="U1857" s="1">
        <v>42148</v>
      </c>
      <c r="V1857" s="2">
        <v>462.92099999999999</v>
      </c>
      <c r="W1857">
        <v>16</v>
      </c>
      <c r="X1857" s="2">
        <v>670.9</v>
      </c>
      <c r="Y1857">
        <v>87298</v>
      </c>
      <c r="Z1857">
        <f t="shared" si="28"/>
        <v>10734.4</v>
      </c>
    </row>
    <row r="1858" spans="1:26" x14ac:dyDescent="0.25">
      <c r="A1858">
        <v>5511</v>
      </c>
      <c r="B1858" t="s">
        <v>47</v>
      </c>
      <c r="C1858" s="2">
        <v>0.02</v>
      </c>
      <c r="D1858" s="2">
        <v>5.28</v>
      </c>
      <c r="E1858" s="2">
        <v>6.26</v>
      </c>
      <c r="F1858">
        <v>3251</v>
      </c>
      <c r="G1858" t="s">
        <v>2894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1351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1">
        <v>42166</v>
      </c>
      <c r="U1858" s="1">
        <v>42167</v>
      </c>
      <c r="V1858" s="2">
        <v>-131.16</v>
      </c>
      <c r="W1858">
        <v>76</v>
      </c>
      <c r="X1858" s="2">
        <v>412.72</v>
      </c>
      <c r="Y1858">
        <v>39076</v>
      </c>
      <c r="Z1858">
        <f t="shared" si="28"/>
        <v>31366.720000000001</v>
      </c>
    </row>
    <row r="1859" spans="1:26" x14ac:dyDescent="0.25">
      <c r="A1859">
        <v>23324</v>
      </c>
      <c r="B1859" t="s">
        <v>47</v>
      </c>
      <c r="C1859" s="2">
        <v>0.01</v>
      </c>
      <c r="D1859" s="2">
        <v>11.34</v>
      </c>
      <c r="E1859" s="2">
        <v>5.01</v>
      </c>
      <c r="F1859">
        <v>3252</v>
      </c>
      <c r="G1859" t="s">
        <v>2895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569</v>
      </c>
      <c r="N1859">
        <v>0.36</v>
      </c>
      <c r="O1859" t="s">
        <v>33</v>
      </c>
      <c r="P1859" t="s">
        <v>53</v>
      </c>
      <c r="Q1859" t="s">
        <v>71</v>
      </c>
      <c r="R1859" t="s">
        <v>2896</v>
      </c>
      <c r="S1859">
        <v>12306</v>
      </c>
      <c r="T1859" s="1">
        <v>42093</v>
      </c>
      <c r="U1859" s="1">
        <v>42095</v>
      </c>
      <c r="V1859" s="2">
        <v>-11.83</v>
      </c>
      <c r="W1859">
        <v>1</v>
      </c>
      <c r="X1859" s="2">
        <v>14.52</v>
      </c>
      <c r="Y1859">
        <v>87296</v>
      </c>
      <c r="Z1859">
        <f t="shared" ref="Z1859:Z1922" si="29">W1859*X1859</f>
        <v>14.52</v>
      </c>
    </row>
    <row r="1860" spans="1:26" x14ac:dyDescent="0.25">
      <c r="A1860">
        <v>23511</v>
      </c>
      <c r="B1860" t="s">
        <v>47</v>
      </c>
      <c r="C1860" s="2">
        <v>0.02</v>
      </c>
      <c r="D1860" s="2">
        <v>5.28</v>
      </c>
      <c r="E1860" s="2">
        <v>6.26</v>
      </c>
      <c r="F1860">
        <v>3252</v>
      </c>
      <c r="G1860" t="s">
        <v>2895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1351</v>
      </c>
      <c r="N1860">
        <v>0.4</v>
      </c>
      <c r="O1860" t="s">
        <v>33</v>
      </c>
      <c r="P1860" t="s">
        <v>53</v>
      </c>
      <c r="Q1860" t="s">
        <v>71</v>
      </c>
      <c r="R1860" t="s">
        <v>2896</v>
      </c>
      <c r="S1860">
        <v>12306</v>
      </c>
      <c r="T1860" s="1">
        <v>42166</v>
      </c>
      <c r="U1860" s="1">
        <v>42167</v>
      </c>
      <c r="V1860" s="2">
        <v>-65.58</v>
      </c>
      <c r="W1860">
        <v>19</v>
      </c>
      <c r="X1860" s="2">
        <v>103.18</v>
      </c>
      <c r="Y1860">
        <v>87299</v>
      </c>
      <c r="Z1860">
        <f t="shared" si="29"/>
        <v>1960.42</v>
      </c>
    </row>
    <row r="1861" spans="1:26" x14ac:dyDescent="0.25">
      <c r="A1861">
        <v>21046</v>
      </c>
      <c r="B1861" t="s">
        <v>47</v>
      </c>
      <c r="C1861" s="2">
        <v>0.06</v>
      </c>
      <c r="D1861" s="2">
        <v>47.98</v>
      </c>
      <c r="E1861" s="2">
        <v>3.61</v>
      </c>
      <c r="F1861">
        <v>3255</v>
      </c>
      <c r="G1861" t="s">
        <v>2897</v>
      </c>
      <c r="H1861" t="s">
        <v>49</v>
      </c>
      <c r="I1861" t="s">
        <v>40</v>
      </c>
      <c r="J1861" t="s">
        <v>77</v>
      </c>
      <c r="K1861" t="s">
        <v>177</v>
      </c>
      <c r="L1861" t="s">
        <v>51</v>
      </c>
      <c r="M1861" t="s">
        <v>1003</v>
      </c>
      <c r="N1861">
        <v>0.71</v>
      </c>
      <c r="O1861" t="s">
        <v>33</v>
      </c>
      <c r="P1861" t="s">
        <v>135</v>
      </c>
      <c r="Q1861" t="s">
        <v>356</v>
      </c>
      <c r="R1861" t="s">
        <v>2898</v>
      </c>
      <c r="S1861">
        <v>33319</v>
      </c>
      <c r="T1861" s="1">
        <v>42053</v>
      </c>
      <c r="U1861" s="1">
        <v>42055</v>
      </c>
      <c r="V1861" s="2">
        <v>596.80799999999999</v>
      </c>
      <c r="W1861">
        <v>2</v>
      </c>
      <c r="X1861" s="2">
        <v>97.96</v>
      </c>
      <c r="Y1861">
        <v>90488</v>
      </c>
      <c r="Z1861">
        <f t="shared" si="29"/>
        <v>195.92</v>
      </c>
    </row>
    <row r="1862" spans="1:26" x14ac:dyDescent="0.25">
      <c r="A1862">
        <v>18728</v>
      </c>
      <c r="B1862" t="s">
        <v>37</v>
      </c>
      <c r="C1862" s="2">
        <v>0.01</v>
      </c>
      <c r="D1862" s="2">
        <v>349.45</v>
      </c>
      <c r="E1862" s="2">
        <v>60</v>
      </c>
      <c r="F1862">
        <v>3257</v>
      </c>
      <c r="G1862" t="s">
        <v>2899</v>
      </c>
      <c r="H1862" t="s">
        <v>39</v>
      </c>
      <c r="I1862" t="s">
        <v>114</v>
      </c>
      <c r="J1862" t="s">
        <v>41</v>
      </c>
      <c r="K1862" t="s">
        <v>150</v>
      </c>
      <c r="L1862" t="s">
        <v>43</v>
      </c>
      <c r="M1862" t="s">
        <v>980</v>
      </c>
      <c r="O1862" t="s">
        <v>33</v>
      </c>
      <c r="P1862" t="s">
        <v>34</v>
      </c>
      <c r="Q1862" t="s">
        <v>35</v>
      </c>
      <c r="R1862" t="s">
        <v>2900</v>
      </c>
      <c r="S1862">
        <v>98632</v>
      </c>
      <c r="T1862" s="1">
        <v>42150</v>
      </c>
      <c r="U1862" s="1">
        <v>42151</v>
      </c>
      <c r="V1862" s="2">
        <v>3739.3928999999998</v>
      </c>
      <c r="W1862">
        <v>15</v>
      </c>
      <c r="X1862" s="2">
        <v>5419.41</v>
      </c>
      <c r="Y1862">
        <v>88825</v>
      </c>
      <c r="Z1862">
        <f t="shared" si="29"/>
        <v>81291.149999999994</v>
      </c>
    </row>
    <row r="1863" spans="1:26" x14ac:dyDescent="0.25">
      <c r="A1863">
        <v>21852</v>
      </c>
      <c r="B1863" t="s">
        <v>56</v>
      </c>
      <c r="C1863" s="2">
        <v>0</v>
      </c>
      <c r="D1863" s="2">
        <v>25.38</v>
      </c>
      <c r="E1863" s="2">
        <v>8.99</v>
      </c>
      <c r="F1863">
        <v>3257</v>
      </c>
      <c r="G1863" t="s">
        <v>2899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753</v>
      </c>
      <c r="N1863">
        <v>0.5</v>
      </c>
      <c r="O1863" t="s">
        <v>33</v>
      </c>
      <c r="P1863" t="s">
        <v>34</v>
      </c>
      <c r="Q1863" t="s">
        <v>35</v>
      </c>
      <c r="R1863" t="s">
        <v>2900</v>
      </c>
      <c r="S1863">
        <v>98632</v>
      </c>
      <c r="T1863" s="1">
        <v>42137</v>
      </c>
      <c r="U1863" s="1">
        <v>42139</v>
      </c>
      <c r="V1863" s="2">
        <v>470.33800000000002</v>
      </c>
      <c r="W1863">
        <v>26</v>
      </c>
      <c r="X1863" s="2">
        <v>700.41</v>
      </c>
      <c r="Y1863">
        <v>88826</v>
      </c>
      <c r="Z1863">
        <f t="shared" si="29"/>
        <v>18210.66</v>
      </c>
    </row>
    <row r="1864" spans="1:26" x14ac:dyDescent="0.25">
      <c r="A1864">
        <v>23010</v>
      </c>
      <c r="B1864" t="s">
        <v>37</v>
      </c>
      <c r="C1864" s="2">
        <v>0.02</v>
      </c>
      <c r="D1864" s="2">
        <v>55.94</v>
      </c>
      <c r="E1864" s="2">
        <v>6.55</v>
      </c>
      <c r="F1864">
        <v>3258</v>
      </c>
      <c r="G1864" t="s">
        <v>2901</v>
      </c>
      <c r="H1864" t="s">
        <v>49</v>
      </c>
      <c r="I1864" t="s">
        <v>114</v>
      </c>
      <c r="J1864" t="s">
        <v>77</v>
      </c>
      <c r="K1864" t="s">
        <v>177</v>
      </c>
      <c r="L1864" t="s">
        <v>59</v>
      </c>
      <c r="M1864" t="s">
        <v>1145</v>
      </c>
      <c r="N1864">
        <v>0.68</v>
      </c>
      <c r="O1864" t="s">
        <v>33</v>
      </c>
      <c r="P1864" t="s">
        <v>34</v>
      </c>
      <c r="Q1864" t="s">
        <v>35</v>
      </c>
      <c r="R1864" t="s">
        <v>2902</v>
      </c>
      <c r="S1864">
        <v>98037</v>
      </c>
      <c r="T1864" s="1">
        <v>42084</v>
      </c>
      <c r="U1864" s="1">
        <v>42086</v>
      </c>
      <c r="V1864" s="2">
        <v>401.85</v>
      </c>
      <c r="W1864">
        <v>11</v>
      </c>
      <c r="X1864" s="2">
        <v>646.88</v>
      </c>
      <c r="Y1864">
        <v>88824</v>
      </c>
      <c r="Z1864">
        <f t="shared" si="29"/>
        <v>7115.68</v>
      </c>
    </row>
    <row r="1865" spans="1:26" x14ac:dyDescent="0.25">
      <c r="A1865">
        <v>22576</v>
      </c>
      <c r="B1865" t="s">
        <v>37</v>
      </c>
      <c r="C1865" s="2">
        <v>7.0000000000000007E-2</v>
      </c>
      <c r="D1865" s="2">
        <v>105.34</v>
      </c>
      <c r="E1865" s="2">
        <v>24.49</v>
      </c>
      <c r="F1865">
        <v>3261</v>
      </c>
      <c r="G1865" t="s">
        <v>2903</v>
      </c>
      <c r="H1865" t="s">
        <v>27</v>
      </c>
      <c r="I1865" t="s">
        <v>114</v>
      </c>
      <c r="J1865" t="s">
        <v>41</v>
      </c>
      <c r="K1865" t="s">
        <v>50</v>
      </c>
      <c r="L1865" t="s">
        <v>231</v>
      </c>
      <c r="M1865" t="s">
        <v>2588</v>
      </c>
      <c r="N1865">
        <v>0.61</v>
      </c>
      <c r="O1865" t="s">
        <v>33</v>
      </c>
      <c r="P1865" t="s">
        <v>61</v>
      </c>
      <c r="Q1865" t="s">
        <v>295</v>
      </c>
      <c r="R1865" t="s">
        <v>2904</v>
      </c>
      <c r="S1865">
        <v>49221</v>
      </c>
      <c r="T1865" s="1">
        <v>42180</v>
      </c>
      <c r="U1865" s="1">
        <v>42181</v>
      </c>
      <c r="V1865" s="2">
        <v>710.67240000000004</v>
      </c>
      <c r="W1865">
        <v>10</v>
      </c>
      <c r="X1865" s="2">
        <v>1029.96</v>
      </c>
      <c r="Y1865">
        <v>90296</v>
      </c>
      <c r="Z1865">
        <f t="shared" si="29"/>
        <v>10299.6</v>
      </c>
    </row>
    <row r="1866" spans="1:26" x14ac:dyDescent="0.25">
      <c r="A1866">
        <v>19214</v>
      </c>
      <c r="B1866" t="s">
        <v>56</v>
      </c>
      <c r="C1866" s="2">
        <v>0.04</v>
      </c>
      <c r="D1866" s="2">
        <v>9.99</v>
      </c>
      <c r="E1866" s="2">
        <v>11.59</v>
      </c>
      <c r="F1866">
        <v>3264</v>
      </c>
      <c r="G1866" t="s">
        <v>2905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1896</v>
      </c>
      <c r="N1866">
        <v>0.4</v>
      </c>
      <c r="O1866" t="s">
        <v>33</v>
      </c>
      <c r="P1866" t="s">
        <v>34</v>
      </c>
      <c r="Q1866" t="s">
        <v>45</v>
      </c>
      <c r="R1866" t="s">
        <v>2906</v>
      </c>
      <c r="S1866">
        <v>95501</v>
      </c>
      <c r="T1866" s="1">
        <v>42143</v>
      </c>
      <c r="U1866" s="1">
        <v>42145</v>
      </c>
      <c r="V1866" s="2">
        <v>-92.32</v>
      </c>
      <c r="W1866">
        <v>5</v>
      </c>
      <c r="X1866" s="2">
        <v>52.09</v>
      </c>
      <c r="Y1866">
        <v>89835</v>
      </c>
      <c r="Z1866">
        <f t="shared" si="29"/>
        <v>260.45000000000005</v>
      </c>
    </row>
    <row r="1867" spans="1:26" x14ac:dyDescent="0.25">
      <c r="A1867">
        <v>21459</v>
      </c>
      <c r="B1867" t="s">
        <v>47</v>
      </c>
      <c r="C1867" s="2">
        <v>0</v>
      </c>
      <c r="D1867" s="2">
        <v>122.99</v>
      </c>
      <c r="E1867" s="2">
        <v>70.2</v>
      </c>
      <c r="F1867">
        <v>3266</v>
      </c>
      <c r="G1867" t="s">
        <v>2907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145</v>
      </c>
      <c r="N1867">
        <v>0.74</v>
      </c>
      <c r="O1867" t="s">
        <v>33</v>
      </c>
      <c r="P1867" t="s">
        <v>53</v>
      </c>
      <c r="Q1867" t="s">
        <v>184</v>
      </c>
      <c r="R1867" t="s">
        <v>427</v>
      </c>
      <c r="S1867">
        <v>4073</v>
      </c>
      <c r="T1867" s="1">
        <v>42032</v>
      </c>
      <c r="U1867" s="1">
        <v>42033</v>
      </c>
      <c r="V1867" s="2">
        <v>-1764.29</v>
      </c>
      <c r="W1867">
        <v>14</v>
      </c>
      <c r="X1867" s="2">
        <v>1794.88</v>
      </c>
      <c r="Y1867">
        <v>89836</v>
      </c>
      <c r="Z1867">
        <f t="shared" si="29"/>
        <v>25128.32</v>
      </c>
    </row>
    <row r="1868" spans="1:26" x14ac:dyDescent="0.25">
      <c r="A1868">
        <v>21458</v>
      </c>
      <c r="B1868" t="s">
        <v>47</v>
      </c>
      <c r="C1868" s="2">
        <v>0.01</v>
      </c>
      <c r="D1868" s="2">
        <v>60.97</v>
      </c>
      <c r="E1868" s="2">
        <v>4.5</v>
      </c>
      <c r="F1868">
        <v>3269</v>
      </c>
      <c r="G1868" t="s">
        <v>2908</v>
      </c>
      <c r="H1868" t="s">
        <v>27</v>
      </c>
      <c r="I1868" t="s">
        <v>28</v>
      </c>
      <c r="J1868" t="s">
        <v>29</v>
      </c>
      <c r="K1868" t="s">
        <v>252</v>
      </c>
      <c r="L1868" t="s">
        <v>59</v>
      </c>
      <c r="M1868" t="s">
        <v>2114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2909</v>
      </c>
      <c r="S1868">
        <v>7060</v>
      </c>
      <c r="T1868" s="1">
        <v>42032</v>
      </c>
      <c r="U1868" s="1">
        <v>42034</v>
      </c>
      <c r="V1868" s="2">
        <v>527.87760000000003</v>
      </c>
      <c r="W1868">
        <v>12</v>
      </c>
      <c r="X1868" s="2">
        <v>765.04</v>
      </c>
      <c r="Y1868">
        <v>89836</v>
      </c>
      <c r="Z1868">
        <f t="shared" si="29"/>
        <v>9180.48</v>
      </c>
    </row>
    <row r="1869" spans="1:26" x14ac:dyDescent="0.25">
      <c r="A1869">
        <v>19047</v>
      </c>
      <c r="B1869" t="s">
        <v>106</v>
      </c>
      <c r="C1869" s="2">
        <v>0.02</v>
      </c>
      <c r="D1869" s="2">
        <v>13.48</v>
      </c>
      <c r="E1869" s="2">
        <v>4.51</v>
      </c>
      <c r="F1869">
        <v>3275</v>
      </c>
      <c r="G1869" t="s">
        <v>2910</v>
      </c>
      <c r="H1869" t="s">
        <v>49</v>
      </c>
      <c r="I1869" t="s">
        <v>40</v>
      </c>
      <c r="J1869" t="s">
        <v>29</v>
      </c>
      <c r="K1869" t="s">
        <v>139</v>
      </c>
      <c r="L1869" t="s">
        <v>59</v>
      </c>
      <c r="M1869" t="s">
        <v>2483</v>
      </c>
      <c r="N1869">
        <v>0.59</v>
      </c>
      <c r="O1869" t="s">
        <v>33</v>
      </c>
      <c r="P1869" t="s">
        <v>34</v>
      </c>
      <c r="Q1869" t="s">
        <v>35</v>
      </c>
      <c r="R1869" t="s">
        <v>1945</v>
      </c>
      <c r="S1869">
        <v>98273</v>
      </c>
      <c r="T1869" s="1">
        <v>42084</v>
      </c>
      <c r="U1869" s="1">
        <v>42086</v>
      </c>
      <c r="V1869" s="2">
        <v>34.520000000000003</v>
      </c>
      <c r="W1869">
        <v>9</v>
      </c>
      <c r="X1869" s="2">
        <v>127.12</v>
      </c>
      <c r="Y1869">
        <v>86233</v>
      </c>
      <c r="Z1869">
        <f t="shared" si="29"/>
        <v>1144.08</v>
      </c>
    </row>
    <row r="1870" spans="1:26" x14ac:dyDescent="0.25">
      <c r="A1870">
        <v>19232</v>
      </c>
      <c r="B1870" t="s">
        <v>106</v>
      </c>
      <c r="C1870" s="2">
        <v>0.04</v>
      </c>
      <c r="D1870" s="2">
        <v>449.99</v>
      </c>
      <c r="E1870" s="2">
        <v>24.49</v>
      </c>
      <c r="F1870">
        <v>3275</v>
      </c>
      <c r="G1870" t="s">
        <v>2910</v>
      </c>
      <c r="H1870" t="s">
        <v>49</v>
      </c>
      <c r="I1870" t="s">
        <v>58</v>
      </c>
      <c r="J1870" t="s">
        <v>77</v>
      </c>
      <c r="K1870" t="s">
        <v>580</v>
      </c>
      <c r="L1870" t="s">
        <v>231</v>
      </c>
      <c r="M1870" t="s">
        <v>2911</v>
      </c>
      <c r="N1870">
        <v>0.52</v>
      </c>
      <c r="O1870" t="s">
        <v>33</v>
      </c>
      <c r="P1870" t="s">
        <v>34</v>
      </c>
      <c r="Q1870" t="s">
        <v>35</v>
      </c>
      <c r="R1870" t="s">
        <v>1945</v>
      </c>
      <c r="S1870">
        <v>98273</v>
      </c>
      <c r="T1870" s="1">
        <v>42005</v>
      </c>
      <c r="U1870" s="1">
        <v>42009</v>
      </c>
      <c r="V1870" s="2">
        <v>3576.8841000000002</v>
      </c>
      <c r="W1870">
        <v>12</v>
      </c>
      <c r="X1870" s="2">
        <v>5183.8900000000003</v>
      </c>
      <c r="Y1870">
        <v>86234</v>
      </c>
      <c r="Z1870">
        <f t="shared" si="29"/>
        <v>62206.680000000008</v>
      </c>
    </row>
    <row r="1871" spans="1:26" x14ac:dyDescent="0.25">
      <c r="A1871">
        <v>19233</v>
      </c>
      <c r="B1871" t="s">
        <v>106</v>
      </c>
      <c r="C1871" s="2">
        <v>0.01</v>
      </c>
      <c r="D1871" s="2">
        <v>5.84</v>
      </c>
      <c r="E1871" s="2">
        <v>1.2</v>
      </c>
      <c r="F1871">
        <v>3275</v>
      </c>
      <c r="G1871" t="s">
        <v>2910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1301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1945</v>
      </c>
      <c r="S1871">
        <v>98273</v>
      </c>
      <c r="T1871" s="1">
        <v>42005</v>
      </c>
      <c r="U1871" s="1">
        <v>42014</v>
      </c>
      <c r="V1871" s="2">
        <v>20.38</v>
      </c>
      <c r="W1871">
        <v>6</v>
      </c>
      <c r="X1871" s="2">
        <v>36.090000000000003</v>
      </c>
      <c r="Y1871">
        <v>86234</v>
      </c>
      <c r="Z1871">
        <f t="shared" si="29"/>
        <v>216.54000000000002</v>
      </c>
    </row>
    <row r="1872" spans="1:26" x14ac:dyDescent="0.25">
      <c r="A1872">
        <v>20039</v>
      </c>
      <c r="B1872" t="s">
        <v>25</v>
      </c>
      <c r="C1872" s="2">
        <v>0.06</v>
      </c>
      <c r="D1872" s="2">
        <v>89.83</v>
      </c>
      <c r="E1872" s="2">
        <v>35</v>
      </c>
      <c r="F1872">
        <v>3279</v>
      </c>
      <c r="G1872" t="s">
        <v>2912</v>
      </c>
      <c r="H1872" t="s">
        <v>49</v>
      </c>
      <c r="I1872" t="s">
        <v>40</v>
      </c>
      <c r="J1872" t="s">
        <v>29</v>
      </c>
      <c r="K1872" t="s">
        <v>139</v>
      </c>
      <c r="L1872" t="s">
        <v>231</v>
      </c>
      <c r="M1872" t="s">
        <v>2913</v>
      </c>
      <c r="N1872">
        <v>0.83</v>
      </c>
      <c r="O1872" t="s">
        <v>33</v>
      </c>
      <c r="P1872" t="s">
        <v>135</v>
      </c>
      <c r="Q1872" t="s">
        <v>923</v>
      </c>
      <c r="R1872" t="s">
        <v>2583</v>
      </c>
      <c r="S1872">
        <v>29203</v>
      </c>
      <c r="T1872" s="1">
        <v>42100</v>
      </c>
      <c r="U1872" s="1">
        <v>42102</v>
      </c>
      <c r="V1872" s="2">
        <v>31.11</v>
      </c>
      <c r="W1872">
        <v>4</v>
      </c>
      <c r="X1872" s="2">
        <v>366.26</v>
      </c>
      <c r="Y1872">
        <v>90766</v>
      </c>
      <c r="Z1872">
        <f t="shared" si="29"/>
        <v>1465.04</v>
      </c>
    </row>
    <row r="1873" spans="1:26" x14ac:dyDescent="0.25">
      <c r="A1873">
        <v>20040</v>
      </c>
      <c r="B1873" t="s">
        <v>25</v>
      </c>
      <c r="C1873" s="2">
        <v>0.1</v>
      </c>
      <c r="D1873" s="2">
        <v>13.43</v>
      </c>
      <c r="E1873" s="2">
        <v>5.5</v>
      </c>
      <c r="F1873">
        <v>3279</v>
      </c>
      <c r="G1873" t="s">
        <v>2912</v>
      </c>
      <c r="H1873" t="s">
        <v>49</v>
      </c>
      <c r="I1873" t="s">
        <v>40</v>
      </c>
      <c r="J1873" t="s">
        <v>29</v>
      </c>
      <c r="K1873" t="s">
        <v>139</v>
      </c>
      <c r="L1873" t="s">
        <v>59</v>
      </c>
      <c r="M1873" t="s">
        <v>1688</v>
      </c>
      <c r="N1873">
        <v>0.56999999999999995</v>
      </c>
      <c r="O1873" t="s">
        <v>33</v>
      </c>
      <c r="P1873" t="s">
        <v>135</v>
      </c>
      <c r="Q1873" t="s">
        <v>923</v>
      </c>
      <c r="R1873" t="s">
        <v>2583</v>
      </c>
      <c r="S1873">
        <v>29203</v>
      </c>
      <c r="T1873" s="1">
        <v>42100</v>
      </c>
      <c r="U1873" s="1">
        <v>42102</v>
      </c>
      <c r="V1873" s="2">
        <v>358.29539999999997</v>
      </c>
      <c r="W1873">
        <v>12</v>
      </c>
      <c r="X1873" s="2">
        <v>157.99</v>
      </c>
      <c r="Y1873">
        <v>90766</v>
      </c>
      <c r="Z1873">
        <f t="shared" si="29"/>
        <v>1895.88</v>
      </c>
    </row>
    <row r="1874" spans="1:26" x14ac:dyDescent="0.25">
      <c r="A1874">
        <v>20041</v>
      </c>
      <c r="B1874" t="s">
        <v>25</v>
      </c>
      <c r="C1874" s="2">
        <v>0.01</v>
      </c>
      <c r="D1874" s="2">
        <v>125.99</v>
      </c>
      <c r="E1874" s="2">
        <v>7.69</v>
      </c>
      <c r="F1874">
        <v>3279</v>
      </c>
      <c r="G1874" t="s">
        <v>2912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1214</v>
      </c>
      <c r="N1874">
        <v>0.57999999999999996</v>
      </c>
      <c r="O1874" t="s">
        <v>33</v>
      </c>
      <c r="P1874" t="s">
        <v>135</v>
      </c>
      <c r="Q1874" t="s">
        <v>923</v>
      </c>
      <c r="R1874" t="s">
        <v>2583</v>
      </c>
      <c r="S1874">
        <v>29203</v>
      </c>
      <c r="T1874" s="1">
        <v>42100</v>
      </c>
      <c r="U1874" s="1">
        <v>42100</v>
      </c>
      <c r="V1874" s="2">
        <v>8.3219999999999992</v>
      </c>
      <c r="W1874">
        <v>11</v>
      </c>
      <c r="X1874" s="2">
        <v>1212.8800000000001</v>
      </c>
      <c r="Y1874">
        <v>90766</v>
      </c>
      <c r="Z1874">
        <f t="shared" si="29"/>
        <v>13341.68</v>
      </c>
    </row>
    <row r="1875" spans="1:26" x14ac:dyDescent="0.25">
      <c r="A1875">
        <v>21620</v>
      </c>
      <c r="B1875" t="s">
        <v>56</v>
      </c>
      <c r="C1875" s="2">
        <v>0.01</v>
      </c>
      <c r="D1875" s="2">
        <v>45.99</v>
      </c>
      <c r="E1875" s="2">
        <v>4.99</v>
      </c>
      <c r="F1875">
        <v>3279</v>
      </c>
      <c r="G1875" t="s">
        <v>2912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1104</v>
      </c>
      <c r="N1875">
        <v>0.56000000000000005</v>
      </c>
      <c r="O1875" t="s">
        <v>33</v>
      </c>
      <c r="P1875" t="s">
        <v>135</v>
      </c>
      <c r="Q1875" t="s">
        <v>923</v>
      </c>
      <c r="R1875" t="s">
        <v>2583</v>
      </c>
      <c r="S1875">
        <v>29203</v>
      </c>
      <c r="T1875" s="1">
        <v>42077</v>
      </c>
      <c r="U1875" s="1">
        <v>42079</v>
      </c>
      <c r="V1875" s="2">
        <v>24.018000000000001</v>
      </c>
      <c r="W1875">
        <v>3</v>
      </c>
      <c r="X1875" s="2">
        <v>125.19</v>
      </c>
      <c r="Y1875">
        <v>90767</v>
      </c>
      <c r="Z1875">
        <f t="shared" si="29"/>
        <v>375.57</v>
      </c>
    </row>
    <row r="1876" spans="1:26" x14ac:dyDescent="0.25">
      <c r="A1876">
        <v>23022</v>
      </c>
      <c r="B1876" t="s">
        <v>47</v>
      </c>
      <c r="C1876" s="2">
        <v>0.05</v>
      </c>
      <c r="D1876" s="2">
        <v>363.25</v>
      </c>
      <c r="E1876" s="2">
        <v>19.989999999999998</v>
      </c>
      <c r="F1876">
        <v>3283</v>
      </c>
      <c r="G1876" t="s">
        <v>2914</v>
      </c>
      <c r="H1876" t="s">
        <v>27</v>
      </c>
      <c r="I1876" t="s">
        <v>28</v>
      </c>
      <c r="J1876" t="s">
        <v>29</v>
      </c>
      <c r="K1876" t="s">
        <v>252</v>
      </c>
      <c r="L1876" t="s">
        <v>59</v>
      </c>
      <c r="M1876" t="s">
        <v>1242</v>
      </c>
      <c r="N1876">
        <v>0.56999999999999995</v>
      </c>
      <c r="O1876" t="s">
        <v>33</v>
      </c>
      <c r="P1876" t="s">
        <v>135</v>
      </c>
      <c r="Q1876" t="s">
        <v>356</v>
      </c>
      <c r="R1876" t="s">
        <v>2915</v>
      </c>
      <c r="S1876">
        <v>33156</v>
      </c>
      <c r="T1876" s="1">
        <v>42115</v>
      </c>
      <c r="U1876" s="1">
        <v>42115</v>
      </c>
      <c r="V1876" s="2">
        <v>-269.75549999999998</v>
      </c>
      <c r="W1876">
        <v>5</v>
      </c>
      <c r="X1876" s="2">
        <v>1867.04</v>
      </c>
      <c r="Y1876">
        <v>90752</v>
      </c>
      <c r="Z1876">
        <f t="shared" si="29"/>
        <v>9335.2000000000007</v>
      </c>
    </row>
    <row r="1877" spans="1:26" x14ac:dyDescent="0.25">
      <c r="A1877">
        <v>23211</v>
      </c>
      <c r="B1877" t="s">
        <v>25</v>
      </c>
      <c r="C1877" s="2">
        <v>0.03</v>
      </c>
      <c r="D1877" s="2">
        <v>17.48</v>
      </c>
      <c r="E1877" s="2">
        <v>1.99</v>
      </c>
      <c r="F1877">
        <v>3283</v>
      </c>
      <c r="G1877" t="s">
        <v>2914</v>
      </c>
      <c r="H1877" t="s">
        <v>49</v>
      </c>
      <c r="I1877" t="s">
        <v>28</v>
      </c>
      <c r="J1877" t="s">
        <v>77</v>
      </c>
      <c r="K1877" t="s">
        <v>177</v>
      </c>
      <c r="L1877" t="s">
        <v>51</v>
      </c>
      <c r="M1877" t="s">
        <v>355</v>
      </c>
      <c r="N1877">
        <v>0.45</v>
      </c>
      <c r="O1877" t="s">
        <v>33</v>
      </c>
      <c r="P1877" t="s">
        <v>135</v>
      </c>
      <c r="Q1877" t="s">
        <v>356</v>
      </c>
      <c r="R1877" t="s">
        <v>2915</v>
      </c>
      <c r="S1877">
        <v>33156</v>
      </c>
      <c r="T1877" s="1">
        <v>42134</v>
      </c>
      <c r="U1877" s="1">
        <v>42135</v>
      </c>
      <c r="V1877" s="2">
        <v>710.80740000000003</v>
      </c>
      <c r="W1877">
        <v>31</v>
      </c>
      <c r="X1877" s="2">
        <v>537.79999999999995</v>
      </c>
      <c r="Y1877">
        <v>90753</v>
      </c>
      <c r="Z1877">
        <f t="shared" si="29"/>
        <v>16671.8</v>
      </c>
    </row>
    <row r="1878" spans="1:26" x14ac:dyDescent="0.25">
      <c r="A1878">
        <v>26141</v>
      </c>
      <c r="B1878" t="s">
        <v>25</v>
      </c>
      <c r="C1878" s="2">
        <v>0.05</v>
      </c>
      <c r="D1878" s="2">
        <v>19.23</v>
      </c>
      <c r="E1878" s="2">
        <v>6.15</v>
      </c>
      <c r="F1878">
        <v>3284</v>
      </c>
      <c r="G1878" t="s">
        <v>2916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466</v>
      </c>
      <c r="N1878">
        <v>0.44</v>
      </c>
      <c r="O1878" t="s">
        <v>33</v>
      </c>
      <c r="P1878" t="s">
        <v>135</v>
      </c>
      <c r="Q1878" t="s">
        <v>356</v>
      </c>
      <c r="R1878" t="s">
        <v>2917</v>
      </c>
      <c r="S1878">
        <v>34741</v>
      </c>
      <c r="T1878" s="1">
        <v>42055</v>
      </c>
      <c r="U1878" s="1">
        <v>42057</v>
      </c>
      <c r="V1878" s="2">
        <v>-2133.2779999999998</v>
      </c>
      <c r="W1878">
        <v>6</v>
      </c>
      <c r="X1878" s="2">
        <v>119.78</v>
      </c>
      <c r="Y1878">
        <v>90751</v>
      </c>
      <c r="Z1878">
        <f t="shared" si="29"/>
        <v>718.68000000000006</v>
      </c>
    </row>
    <row r="1879" spans="1:26" x14ac:dyDescent="0.25">
      <c r="A1879">
        <v>20350</v>
      </c>
      <c r="B1879" t="s">
        <v>37</v>
      </c>
      <c r="C1879" s="2">
        <v>0.06</v>
      </c>
      <c r="D1879" s="2">
        <v>1.7</v>
      </c>
      <c r="E1879" s="2">
        <v>1.99</v>
      </c>
      <c r="F1879">
        <v>3285</v>
      </c>
      <c r="G1879" t="s">
        <v>2918</v>
      </c>
      <c r="H1879" t="s">
        <v>49</v>
      </c>
      <c r="I1879" t="s">
        <v>114</v>
      </c>
      <c r="J1879" t="s">
        <v>77</v>
      </c>
      <c r="K1879" t="s">
        <v>177</v>
      </c>
      <c r="L1879" t="s">
        <v>51</v>
      </c>
      <c r="M1879" t="s">
        <v>805</v>
      </c>
      <c r="N1879">
        <v>0.51</v>
      </c>
      <c r="O1879" t="s">
        <v>33</v>
      </c>
      <c r="P1879" t="s">
        <v>135</v>
      </c>
      <c r="Q1879" t="s">
        <v>136</v>
      </c>
      <c r="R1879" t="s">
        <v>2919</v>
      </c>
      <c r="S1879">
        <v>20170</v>
      </c>
      <c r="T1879" s="1">
        <v>42010</v>
      </c>
      <c r="U1879" s="1">
        <v>42011</v>
      </c>
      <c r="V1879" s="2">
        <v>80.071200000000005</v>
      </c>
      <c r="W1879">
        <v>7</v>
      </c>
      <c r="X1879" s="2">
        <v>12.15</v>
      </c>
      <c r="Y1879">
        <v>90750</v>
      </c>
      <c r="Z1879">
        <f t="shared" si="29"/>
        <v>85.05</v>
      </c>
    </row>
    <row r="1880" spans="1:26" x14ac:dyDescent="0.25">
      <c r="A1880">
        <v>20351</v>
      </c>
      <c r="B1880" t="s">
        <v>37</v>
      </c>
      <c r="C1880" s="2">
        <v>0.01</v>
      </c>
      <c r="D1880" s="2">
        <v>30.98</v>
      </c>
      <c r="E1880" s="2">
        <v>5.09</v>
      </c>
      <c r="F1880">
        <v>3285</v>
      </c>
      <c r="G1880" t="s">
        <v>2918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2920</v>
      </c>
      <c r="N1880">
        <v>0.4</v>
      </c>
      <c r="O1880" t="s">
        <v>33</v>
      </c>
      <c r="P1880" t="s">
        <v>135</v>
      </c>
      <c r="Q1880" t="s">
        <v>136</v>
      </c>
      <c r="R1880" t="s">
        <v>2919</v>
      </c>
      <c r="S1880">
        <v>20170</v>
      </c>
      <c r="T1880" s="1">
        <v>42010</v>
      </c>
      <c r="U1880" s="1">
        <v>42012</v>
      </c>
      <c r="V1880" s="2">
        <v>896.40599999999995</v>
      </c>
      <c r="W1880">
        <v>9</v>
      </c>
      <c r="X1880" s="2">
        <v>288.42</v>
      </c>
      <c r="Y1880">
        <v>90750</v>
      </c>
      <c r="Z1880">
        <f t="shared" si="29"/>
        <v>2595.7800000000002</v>
      </c>
    </row>
    <row r="1881" spans="1:26" x14ac:dyDescent="0.25">
      <c r="A1881">
        <v>21567</v>
      </c>
      <c r="B1881" t="s">
        <v>106</v>
      </c>
      <c r="C1881" s="2">
        <v>0.08</v>
      </c>
      <c r="D1881" s="2">
        <v>30.56</v>
      </c>
      <c r="E1881" s="2">
        <v>2.99</v>
      </c>
      <c r="F1881">
        <v>3287</v>
      </c>
      <c r="G1881" t="s">
        <v>2921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2560</v>
      </c>
      <c r="N1881">
        <v>0.35</v>
      </c>
      <c r="O1881" t="s">
        <v>33</v>
      </c>
      <c r="P1881" t="s">
        <v>34</v>
      </c>
      <c r="Q1881" t="s">
        <v>45</v>
      </c>
      <c r="R1881" t="s">
        <v>2922</v>
      </c>
      <c r="S1881">
        <v>95746</v>
      </c>
      <c r="T1881" s="1">
        <v>42149</v>
      </c>
      <c r="U1881" s="1">
        <v>42151</v>
      </c>
      <c r="V1881" s="2">
        <v>352.87979999999999</v>
      </c>
      <c r="W1881">
        <v>17</v>
      </c>
      <c r="X1881" s="2">
        <v>511.42</v>
      </c>
      <c r="Y1881">
        <v>89897</v>
      </c>
      <c r="Z1881">
        <f t="shared" si="29"/>
        <v>8694.14</v>
      </c>
    </row>
    <row r="1882" spans="1:26" x14ac:dyDescent="0.25">
      <c r="A1882">
        <v>23198</v>
      </c>
      <c r="B1882" t="s">
        <v>106</v>
      </c>
      <c r="C1882" s="2">
        <v>0.04</v>
      </c>
      <c r="D1882" s="2">
        <v>33.89</v>
      </c>
      <c r="E1882" s="2">
        <v>5.0999999999999996</v>
      </c>
      <c r="F1882">
        <v>3303</v>
      </c>
      <c r="G1882" t="s">
        <v>2923</v>
      </c>
      <c r="H1882" t="s">
        <v>49</v>
      </c>
      <c r="I1882" t="s">
        <v>40</v>
      </c>
      <c r="J1882" t="s">
        <v>29</v>
      </c>
      <c r="K1882" t="s">
        <v>139</v>
      </c>
      <c r="L1882" t="s">
        <v>59</v>
      </c>
      <c r="M1882" t="s">
        <v>2772</v>
      </c>
      <c r="N1882">
        <v>0.6</v>
      </c>
      <c r="O1882" t="s">
        <v>33</v>
      </c>
      <c r="P1882" t="s">
        <v>135</v>
      </c>
      <c r="Q1882" t="s">
        <v>356</v>
      </c>
      <c r="R1882" t="s">
        <v>2924</v>
      </c>
      <c r="S1882">
        <v>33461</v>
      </c>
      <c r="T1882" s="1">
        <v>42011</v>
      </c>
      <c r="U1882" s="1">
        <v>42016</v>
      </c>
      <c r="V1882" s="2">
        <v>68.676000000000002</v>
      </c>
      <c r="W1882">
        <v>6</v>
      </c>
      <c r="X1882" s="2">
        <v>200.64</v>
      </c>
      <c r="Y1882">
        <v>87795</v>
      </c>
      <c r="Z1882">
        <f t="shared" si="29"/>
        <v>1203.8399999999999</v>
      </c>
    </row>
    <row r="1883" spans="1:26" x14ac:dyDescent="0.25">
      <c r="A1883">
        <v>20447</v>
      </c>
      <c r="B1883" t="s">
        <v>56</v>
      </c>
      <c r="C1883" s="2">
        <v>0.06</v>
      </c>
      <c r="D1883" s="2">
        <v>11.33</v>
      </c>
      <c r="E1883" s="2">
        <v>6.12</v>
      </c>
      <c r="F1883">
        <v>3306</v>
      </c>
      <c r="G1883" t="s">
        <v>2925</v>
      </c>
      <c r="H1883" t="s">
        <v>49</v>
      </c>
      <c r="I1883" t="s">
        <v>58</v>
      </c>
      <c r="J1883" t="s">
        <v>29</v>
      </c>
      <c r="K1883" t="s">
        <v>252</v>
      </c>
      <c r="L1883" t="s">
        <v>86</v>
      </c>
      <c r="M1883" t="s">
        <v>2131</v>
      </c>
      <c r="N1883">
        <v>0.42</v>
      </c>
      <c r="O1883" t="s">
        <v>33</v>
      </c>
      <c r="P1883" t="s">
        <v>53</v>
      </c>
      <c r="Q1883" t="s">
        <v>223</v>
      </c>
      <c r="R1883" t="s">
        <v>2926</v>
      </c>
      <c r="S1883">
        <v>6320</v>
      </c>
      <c r="T1883" s="1">
        <v>42095</v>
      </c>
      <c r="U1883" s="1">
        <v>42097</v>
      </c>
      <c r="V1883" s="2">
        <v>-15.92</v>
      </c>
      <c r="W1883">
        <v>1</v>
      </c>
      <c r="X1883" s="2">
        <v>17.62</v>
      </c>
      <c r="Y1883">
        <v>90461</v>
      </c>
      <c r="Z1883">
        <f t="shared" si="29"/>
        <v>17.62</v>
      </c>
    </row>
    <row r="1884" spans="1:26" x14ac:dyDescent="0.25">
      <c r="A1884">
        <v>22732</v>
      </c>
      <c r="B1884" t="s">
        <v>106</v>
      </c>
      <c r="C1884" s="2">
        <v>7.0000000000000007E-2</v>
      </c>
      <c r="D1884" s="2">
        <v>16.739999999999998</v>
      </c>
      <c r="E1884" s="2">
        <v>7.04</v>
      </c>
      <c r="F1884">
        <v>3307</v>
      </c>
      <c r="G1884" t="s">
        <v>2927</v>
      </c>
      <c r="H1884" t="s">
        <v>49</v>
      </c>
      <c r="I1884" t="s">
        <v>58</v>
      </c>
      <c r="J1884" t="s">
        <v>29</v>
      </c>
      <c r="K1884" t="s">
        <v>139</v>
      </c>
      <c r="L1884" t="s">
        <v>59</v>
      </c>
      <c r="M1884" t="s">
        <v>2928</v>
      </c>
      <c r="N1884">
        <v>0.81</v>
      </c>
      <c r="O1884" t="s">
        <v>33</v>
      </c>
      <c r="P1884" t="s">
        <v>53</v>
      </c>
      <c r="Q1884" t="s">
        <v>189</v>
      </c>
      <c r="R1884" t="s">
        <v>2929</v>
      </c>
      <c r="S1884">
        <v>1001</v>
      </c>
      <c r="T1884" s="1">
        <v>42030</v>
      </c>
      <c r="U1884" s="1">
        <v>42037</v>
      </c>
      <c r="V1884" s="2">
        <v>-114.2</v>
      </c>
      <c r="W1884">
        <v>5</v>
      </c>
      <c r="X1884" s="2">
        <v>80.58</v>
      </c>
      <c r="Y1884">
        <v>90462</v>
      </c>
      <c r="Z1884">
        <f t="shared" si="29"/>
        <v>402.9</v>
      </c>
    </row>
    <row r="1885" spans="1:26" x14ac:dyDescent="0.25">
      <c r="A1885">
        <v>23451</v>
      </c>
      <c r="B1885" t="s">
        <v>47</v>
      </c>
      <c r="C1885" s="2">
        <v>0.1</v>
      </c>
      <c r="D1885" s="2">
        <v>6.64</v>
      </c>
      <c r="E1885" s="2">
        <v>54.95</v>
      </c>
      <c r="F1885">
        <v>3309</v>
      </c>
      <c r="G1885" t="s">
        <v>2930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2931</v>
      </c>
      <c r="N1885">
        <v>0.37</v>
      </c>
      <c r="O1885" t="s">
        <v>33</v>
      </c>
      <c r="P1885" t="s">
        <v>53</v>
      </c>
      <c r="Q1885" t="s">
        <v>189</v>
      </c>
      <c r="R1885" t="s">
        <v>2932</v>
      </c>
      <c r="S1885">
        <v>1760</v>
      </c>
      <c r="T1885" s="1">
        <v>42087</v>
      </c>
      <c r="U1885" s="1">
        <v>42089</v>
      </c>
      <c r="V1885" s="2">
        <v>-25</v>
      </c>
      <c r="W1885">
        <v>4</v>
      </c>
      <c r="X1885" s="2">
        <v>25.31</v>
      </c>
      <c r="Y1885">
        <v>90460</v>
      </c>
      <c r="Z1885">
        <f t="shared" si="29"/>
        <v>101.24</v>
      </c>
    </row>
    <row r="1886" spans="1:26" x14ac:dyDescent="0.25">
      <c r="A1886">
        <v>23452</v>
      </c>
      <c r="B1886" t="s">
        <v>47</v>
      </c>
      <c r="C1886" s="2">
        <v>0.05</v>
      </c>
      <c r="D1886" s="2">
        <v>90.48</v>
      </c>
      <c r="E1886" s="2">
        <v>19.989999999999998</v>
      </c>
      <c r="F1886">
        <v>3310</v>
      </c>
      <c r="G1886" t="s">
        <v>2933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1825</v>
      </c>
      <c r="N1886">
        <v>0.4</v>
      </c>
      <c r="O1886" t="s">
        <v>33</v>
      </c>
      <c r="P1886" t="s">
        <v>53</v>
      </c>
      <c r="Q1886" t="s">
        <v>189</v>
      </c>
      <c r="R1886" t="s">
        <v>2934</v>
      </c>
      <c r="S1886">
        <v>2563</v>
      </c>
      <c r="T1886" s="1">
        <v>42087</v>
      </c>
      <c r="U1886" s="1">
        <v>42088</v>
      </c>
      <c r="V1886" s="2">
        <v>255.1482</v>
      </c>
      <c r="W1886">
        <v>4</v>
      </c>
      <c r="X1886" s="2">
        <v>369.78</v>
      </c>
      <c r="Y1886">
        <v>90460</v>
      </c>
      <c r="Z1886">
        <f t="shared" si="29"/>
        <v>1479.12</v>
      </c>
    </row>
    <row r="1887" spans="1:26" x14ac:dyDescent="0.25">
      <c r="A1887">
        <v>22734</v>
      </c>
      <c r="B1887" t="s">
        <v>106</v>
      </c>
      <c r="C1887" s="2">
        <v>0.06</v>
      </c>
      <c r="D1887" s="2">
        <v>6.45</v>
      </c>
      <c r="E1887" s="2">
        <v>1.34</v>
      </c>
      <c r="F1887">
        <v>3311</v>
      </c>
      <c r="G1887" t="s">
        <v>2935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2743</v>
      </c>
      <c r="N1887">
        <v>0.36</v>
      </c>
      <c r="O1887" t="s">
        <v>33</v>
      </c>
      <c r="P1887" t="s">
        <v>53</v>
      </c>
      <c r="Q1887" t="s">
        <v>189</v>
      </c>
      <c r="R1887" t="s">
        <v>2462</v>
      </c>
      <c r="S1887">
        <v>1890</v>
      </c>
      <c r="T1887" s="1">
        <v>42030</v>
      </c>
      <c r="U1887" s="1">
        <v>42035</v>
      </c>
      <c r="V1887" s="2">
        <v>39.426600000000001</v>
      </c>
      <c r="W1887">
        <v>9</v>
      </c>
      <c r="X1887" s="2">
        <v>57.14</v>
      </c>
      <c r="Y1887">
        <v>90462</v>
      </c>
      <c r="Z1887">
        <f t="shared" si="29"/>
        <v>514.26</v>
      </c>
    </row>
    <row r="1888" spans="1:26" x14ac:dyDescent="0.25">
      <c r="A1888">
        <v>22733</v>
      </c>
      <c r="B1888" t="s">
        <v>106</v>
      </c>
      <c r="C1888" s="2">
        <v>0.05</v>
      </c>
      <c r="D1888" s="2">
        <v>122.99</v>
      </c>
      <c r="E1888" s="2">
        <v>70.2</v>
      </c>
      <c r="F1888">
        <v>3314</v>
      </c>
      <c r="G1888" t="s">
        <v>2936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145</v>
      </c>
      <c r="N1888">
        <v>0.74</v>
      </c>
      <c r="O1888" t="s">
        <v>33</v>
      </c>
      <c r="P1888" t="s">
        <v>53</v>
      </c>
      <c r="Q1888" t="s">
        <v>54</v>
      </c>
      <c r="R1888" t="s">
        <v>268</v>
      </c>
      <c r="S1888">
        <v>7024</v>
      </c>
      <c r="T1888" s="1">
        <v>42030</v>
      </c>
      <c r="U1888" s="1">
        <v>42034</v>
      </c>
      <c r="V1888" s="2">
        <v>-722.23</v>
      </c>
      <c r="W1888">
        <v>4</v>
      </c>
      <c r="X1888" s="2">
        <v>498.31</v>
      </c>
      <c r="Y1888">
        <v>90462</v>
      </c>
      <c r="Z1888">
        <f t="shared" si="29"/>
        <v>1993.24</v>
      </c>
    </row>
    <row r="1889" spans="1:26" x14ac:dyDescent="0.25">
      <c r="A1889">
        <v>19422</v>
      </c>
      <c r="B1889" t="s">
        <v>106</v>
      </c>
      <c r="C1889" s="2">
        <v>0.03</v>
      </c>
      <c r="D1889" s="2">
        <v>20.98</v>
      </c>
      <c r="E1889" s="2">
        <v>1.49</v>
      </c>
      <c r="F1889">
        <v>3319</v>
      </c>
      <c r="G1889" t="s">
        <v>2937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1533</v>
      </c>
      <c r="N1889">
        <v>0.35</v>
      </c>
      <c r="O1889" t="s">
        <v>33</v>
      </c>
      <c r="P1889" t="s">
        <v>135</v>
      </c>
      <c r="Q1889" t="s">
        <v>239</v>
      </c>
      <c r="R1889" t="s">
        <v>2874</v>
      </c>
      <c r="S1889">
        <v>37075</v>
      </c>
      <c r="T1889" s="1">
        <v>42145</v>
      </c>
      <c r="U1889" s="1">
        <v>42145</v>
      </c>
      <c r="V1889" s="2">
        <v>30.024000000000001</v>
      </c>
      <c r="W1889">
        <v>20</v>
      </c>
      <c r="X1889" s="2">
        <v>431.43</v>
      </c>
      <c r="Y1889">
        <v>90104</v>
      </c>
      <c r="Z1889">
        <f t="shared" si="29"/>
        <v>8628.6</v>
      </c>
    </row>
    <row r="1890" spans="1:26" x14ac:dyDescent="0.25">
      <c r="A1890">
        <v>20203</v>
      </c>
      <c r="B1890" t="s">
        <v>37</v>
      </c>
      <c r="C1890" s="2">
        <v>0.08</v>
      </c>
      <c r="D1890" s="2">
        <v>3.28</v>
      </c>
      <c r="E1890" s="2">
        <v>3.97</v>
      </c>
      <c r="F1890">
        <v>3320</v>
      </c>
      <c r="G1890" t="s">
        <v>2938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1778</v>
      </c>
      <c r="N1890">
        <v>0.56000000000000005</v>
      </c>
      <c r="O1890" t="s">
        <v>33</v>
      </c>
      <c r="P1890" t="s">
        <v>135</v>
      </c>
      <c r="Q1890" t="s">
        <v>239</v>
      </c>
      <c r="R1890" t="s">
        <v>1631</v>
      </c>
      <c r="S1890">
        <v>38301</v>
      </c>
      <c r="T1890" s="1">
        <v>42121</v>
      </c>
      <c r="U1890" s="1">
        <v>42122</v>
      </c>
      <c r="V1890" s="2">
        <v>0.42659999999999998</v>
      </c>
      <c r="W1890">
        <v>18</v>
      </c>
      <c r="X1890" s="2">
        <v>57.24</v>
      </c>
      <c r="Y1890">
        <v>90103</v>
      </c>
      <c r="Z1890">
        <f t="shared" si="29"/>
        <v>1030.32</v>
      </c>
    </row>
    <row r="1891" spans="1:26" x14ac:dyDescent="0.25">
      <c r="A1891">
        <v>20204</v>
      </c>
      <c r="B1891" t="s">
        <v>37</v>
      </c>
      <c r="C1891" s="2">
        <v>0.09</v>
      </c>
      <c r="D1891" s="2">
        <v>40.97</v>
      </c>
      <c r="E1891" s="2">
        <v>8.99</v>
      </c>
      <c r="F1891">
        <v>3320</v>
      </c>
      <c r="G1891" t="s">
        <v>2938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2425</v>
      </c>
      <c r="N1891">
        <v>0.59</v>
      </c>
      <c r="O1891" t="s">
        <v>33</v>
      </c>
      <c r="P1891" t="s">
        <v>135</v>
      </c>
      <c r="Q1891" t="s">
        <v>239</v>
      </c>
      <c r="R1891" t="s">
        <v>1631</v>
      </c>
      <c r="S1891">
        <v>38301</v>
      </c>
      <c r="T1891" s="1">
        <v>42121</v>
      </c>
      <c r="U1891" s="1">
        <v>42123</v>
      </c>
      <c r="V1891" s="2">
        <v>66.215999999999994</v>
      </c>
      <c r="W1891">
        <v>22</v>
      </c>
      <c r="X1891" s="2">
        <v>824.7</v>
      </c>
      <c r="Y1891">
        <v>90103</v>
      </c>
      <c r="Z1891">
        <f t="shared" si="29"/>
        <v>18143.400000000001</v>
      </c>
    </row>
    <row r="1892" spans="1:26" x14ac:dyDescent="0.25">
      <c r="A1892">
        <v>25330</v>
      </c>
      <c r="B1892" t="s">
        <v>56</v>
      </c>
      <c r="C1892" s="2">
        <v>0.05</v>
      </c>
      <c r="D1892" s="2">
        <v>6.48</v>
      </c>
      <c r="E1892" s="2">
        <v>8.19</v>
      </c>
      <c r="F1892">
        <v>3324</v>
      </c>
      <c r="G1892" t="s">
        <v>2939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2536</v>
      </c>
      <c r="N1892">
        <v>0.37</v>
      </c>
      <c r="O1892" t="s">
        <v>33</v>
      </c>
      <c r="P1892" t="s">
        <v>34</v>
      </c>
      <c r="Q1892" t="s">
        <v>372</v>
      </c>
      <c r="R1892" t="s">
        <v>2940</v>
      </c>
      <c r="S1892">
        <v>85335</v>
      </c>
      <c r="T1892" s="1">
        <v>42047</v>
      </c>
      <c r="U1892" s="1">
        <v>42050</v>
      </c>
      <c r="V1892" s="2">
        <v>-164.18</v>
      </c>
      <c r="W1892">
        <v>9</v>
      </c>
      <c r="X1892" s="2">
        <v>58.5</v>
      </c>
      <c r="Y1892">
        <v>90985</v>
      </c>
      <c r="Z1892">
        <f t="shared" si="29"/>
        <v>526.5</v>
      </c>
    </row>
    <row r="1893" spans="1:26" x14ac:dyDescent="0.25">
      <c r="A1893">
        <v>20488</v>
      </c>
      <c r="B1893" t="s">
        <v>106</v>
      </c>
      <c r="C1893" s="2">
        <v>0</v>
      </c>
      <c r="D1893" s="2">
        <v>8.74</v>
      </c>
      <c r="E1893" s="2">
        <v>8.2899999999999991</v>
      </c>
      <c r="F1893">
        <v>3325</v>
      </c>
      <c r="G1893" t="s">
        <v>2941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1469</v>
      </c>
      <c r="N1893">
        <v>0.38</v>
      </c>
      <c r="O1893" t="s">
        <v>33</v>
      </c>
      <c r="P1893" t="s">
        <v>34</v>
      </c>
      <c r="Q1893" t="s">
        <v>102</v>
      </c>
      <c r="R1893" t="s">
        <v>1380</v>
      </c>
      <c r="S1893">
        <v>97420</v>
      </c>
      <c r="T1893" s="1">
        <v>42179</v>
      </c>
      <c r="U1893" s="1">
        <v>42181</v>
      </c>
      <c r="V1893" s="2">
        <v>-79.400000000000006</v>
      </c>
      <c r="W1893">
        <v>14</v>
      </c>
      <c r="X1893" s="2">
        <v>131.62</v>
      </c>
      <c r="Y1893">
        <v>90986</v>
      </c>
      <c r="Z1893">
        <f t="shared" si="29"/>
        <v>1842.68</v>
      </c>
    </row>
    <row r="1894" spans="1:26" x14ac:dyDescent="0.25">
      <c r="A1894">
        <v>23476</v>
      </c>
      <c r="B1894" t="s">
        <v>47</v>
      </c>
      <c r="C1894" s="2">
        <v>7.0000000000000007E-2</v>
      </c>
      <c r="D1894" s="2">
        <v>5.58</v>
      </c>
      <c r="E1894" s="2">
        <v>1.99</v>
      </c>
      <c r="F1894">
        <v>3325</v>
      </c>
      <c r="G1894" t="s">
        <v>2941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2942</v>
      </c>
      <c r="N1894">
        <v>0.46</v>
      </c>
      <c r="O1894" t="s">
        <v>33</v>
      </c>
      <c r="P1894" t="s">
        <v>34</v>
      </c>
      <c r="Q1894" t="s">
        <v>102</v>
      </c>
      <c r="R1894" t="s">
        <v>1380</v>
      </c>
      <c r="S1894">
        <v>97420</v>
      </c>
      <c r="T1894" s="1">
        <v>42118</v>
      </c>
      <c r="U1894" s="1">
        <v>42120</v>
      </c>
      <c r="V1894" s="2">
        <v>23.045999999999999</v>
      </c>
      <c r="W1894">
        <v>23</v>
      </c>
      <c r="X1894" s="2">
        <v>121.46</v>
      </c>
      <c r="Y1894">
        <v>90987</v>
      </c>
      <c r="Z1894">
        <f t="shared" si="29"/>
        <v>2793.58</v>
      </c>
    </row>
    <row r="1895" spans="1:26" x14ac:dyDescent="0.25">
      <c r="A1895">
        <v>18259</v>
      </c>
      <c r="B1895" t="s">
        <v>37</v>
      </c>
      <c r="C1895" s="2">
        <v>0.06</v>
      </c>
      <c r="D1895" s="2">
        <v>113.98</v>
      </c>
      <c r="E1895" s="2">
        <v>30</v>
      </c>
      <c r="F1895">
        <v>3327</v>
      </c>
      <c r="G1895" t="s">
        <v>2943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2944</v>
      </c>
      <c r="N1895">
        <v>0.69</v>
      </c>
      <c r="O1895" t="s">
        <v>33</v>
      </c>
      <c r="P1895" t="s">
        <v>61</v>
      </c>
      <c r="Q1895" t="s">
        <v>295</v>
      </c>
      <c r="R1895" t="s">
        <v>2702</v>
      </c>
      <c r="S1895">
        <v>48060</v>
      </c>
      <c r="T1895" s="1">
        <v>42069</v>
      </c>
      <c r="U1895" s="1">
        <v>42071</v>
      </c>
      <c r="V1895" s="2">
        <v>-127.3</v>
      </c>
      <c r="W1895">
        <v>3</v>
      </c>
      <c r="X1895" s="2">
        <v>356.14</v>
      </c>
      <c r="Y1895">
        <v>87272</v>
      </c>
      <c r="Z1895">
        <f t="shared" si="29"/>
        <v>1068.42</v>
      </c>
    </row>
    <row r="1896" spans="1:26" x14ac:dyDescent="0.25">
      <c r="A1896">
        <v>18260</v>
      </c>
      <c r="B1896" t="s">
        <v>37</v>
      </c>
      <c r="C1896" s="2">
        <v>0.05</v>
      </c>
      <c r="D1896" s="2">
        <v>6.48</v>
      </c>
      <c r="E1896" s="2">
        <v>6.86</v>
      </c>
      <c r="F1896">
        <v>3327</v>
      </c>
      <c r="G1896" t="s">
        <v>2943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920</v>
      </c>
      <c r="N1896">
        <v>0.37</v>
      </c>
      <c r="O1896" t="s">
        <v>33</v>
      </c>
      <c r="P1896" t="s">
        <v>61</v>
      </c>
      <c r="Q1896" t="s">
        <v>295</v>
      </c>
      <c r="R1896" t="s">
        <v>2702</v>
      </c>
      <c r="S1896">
        <v>48060</v>
      </c>
      <c r="T1896" s="1">
        <v>42069</v>
      </c>
      <c r="U1896" s="1">
        <v>42071</v>
      </c>
      <c r="V1896" s="2">
        <v>-52.77</v>
      </c>
      <c r="W1896">
        <v>4</v>
      </c>
      <c r="X1896" s="2">
        <v>27.08</v>
      </c>
      <c r="Y1896">
        <v>87272</v>
      </c>
      <c r="Z1896">
        <f t="shared" si="29"/>
        <v>108.32</v>
      </c>
    </row>
    <row r="1897" spans="1:26" x14ac:dyDescent="0.25">
      <c r="A1897">
        <v>21588</v>
      </c>
      <c r="B1897" t="s">
        <v>56</v>
      </c>
      <c r="C1897" s="2">
        <v>0.09</v>
      </c>
      <c r="D1897" s="2">
        <v>5.98</v>
      </c>
      <c r="E1897" s="2">
        <v>4.6900000000000004</v>
      </c>
      <c r="F1897">
        <v>3331</v>
      </c>
      <c r="G1897" t="s">
        <v>2945</v>
      </c>
      <c r="H1897" t="s">
        <v>49</v>
      </c>
      <c r="I1897" t="s">
        <v>28</v>
      </c>
      <c r="J1897" t="s">
        <v>29</v>
      </c>
      <c r="K1897" t="s">
        <v>139</v>
      </c>
      <c r="L1897" t="s">
        <v>59</v>
      </c>
      <c r="M1897" t="s">
        <v>1390</v>
      </c>
      <c r="N1897">
        <v>0.68</v>
      </c>
      <c r="O1897" t="s">
        <v>33</v>
      </c>
      <c r="P1897" t="s">
        <v>135</v>
      </c>
      <c r="Q1897" t="s">
        <v>356</v>
      </c>
      <c r="R1897" t="s">
        <v>2946</v>
      </c>
      <c r="S1897">
        <v>32174</v>
      </c>
      <c r="T1897" s="1">
        <v>42009</v>
      </c>
      <c r="U1897" s="1">
        <v>42010</v>
      </c>
      <c r="V1897" s="2">
        <v>-781.13419999999996</v>
      </c>
      <c r="W1897">
        <v>11</v>
      </c>
      <c r="X1897" s="2">
        <v>65.849999999999994</v>
      </c>
      <c r="Y1897">
        <v>86283</v>
      </c>
      <c r="Z1897">
        <f t="shared" si="29"/>
        <v>724.34999999999991</v>
      </c>
    </row>
    <row r="1898" spans="1:26" x14ac:dyDescent="0.25">
      <c r="A1898">
        <v>23294</v>
      </c>
      <c r="B1898" t="s">
        <v>37</v>
      </c>
      <c r="C1898" s="2">
        <v>0.02</v>
      </c>
      <c r="D1898" s="2">
        <v>4</v>
      </c>
      <c r="E1898" s="2">
        <v>1.3</v>
      </c>
      <c r="F1898">
        <v>3331</v>
      </c>
      <c r="G1898" t="s">
        <v>2945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200</v>
      </c>
      <c r="N1898">
        <v>0.37</v>
      </c>
      <c r="O1898" t="s">
        <v>33</v>
      </c>
      <c r="P1898" t="s">
        <v>135</v>
      </c>
      <c r="Q1898" t="s">
        <v>356</v>
      </c>
      <c r="R1898" t="s">
        <v>2946</v>
      </c>
      <c r="S1898">
        <v>32174</v>
      </c>
      <c r="T1898" s="1">
        <v>42013</v>
      </c>
      <c r="U1898" s="1">
        <v>42013</v>
      </c>
      <c r="V1898" s="2">
        <v>-23.295999999999999</v>
      </c>
      <c r="W1898">
        <v>12</v>
      </c>
      <c r="X1898" s="2">
        <v>50.71</v>
      </c>
      <c r="Y1898">
        <v>86284</v>
      </c>
      <c r="Z1898">
        <f t="shared" si="29"/>
        <v>608.52</v>
      </c>
    </row>
    <row r="1899" spans="1:26" x14ac:dyDescent="0.25">
      <c r="A1899">
        <v>21429</v>
      </c>
      <c r="B1899" t="s">
        <v>25</v>
      </c>
      <c r="C1899" s="2">
        <v>0.08</v>
      </c>
      <c r="D1899" s="2">
        <v>6.48</v>
      </c>
      <c r="E1899" s="2">
        <v>8.4</v>
      </c>
      <c r="F1899">
        <v>3338</v>
      </c>
      <c r="G1899" t="s">
        <v>2947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728</v>
      </c>
      <c r="N1899">
        <v>0.37</v>
      </c>
      <c r="O1899" t="s">
        <v>33</v>
      </c>
      <c r="P1899" t="s">
        <v>135</v>
      </c>
      <c r="Q1899" t="s">
        <v>356</v>
      </c>
      <c r="R1899" t="s">
        <v>2948</v>
      </c>
      <c r="S1899">
        <v>33614</v>
      </c>
      <c r="T1899" s="1">
        <v>42131</v>
      </c>
      <c r="U1899" s="1">
        <v>42131</v>
      </c>
      <c r="V1899" s="2">
        <v>58.811999999999998</v>
      </c>
      <c r="W1899">
        <v>7</v>
      </c>
      <c r="X1899" s="2">
        <v>45</v>
      </c>
      <c r="Y1899">
        <v>85979</v>
      </c>
      <c r="Z1899">
        <f t="shared" si="29"/>
        <v>315</v>
      </c>
    </row>
    <row r="1900" spans="1:26" x14ac:dyDescent="0.25">
      <c r="A1900">
        <v>25613</v>
      </c>
      <c r="B1900" t="s">
        <v>25</v>
      </c>
      <c r="C1900" s="2">
        <v>0.03</v>
      </c>
      <c r="D1900" s="2">
        <v>2.61</v>
      </c>
      <c r="E1900" s="2">
        <v>0.5</v>
      </c>
      <c r="F1900">
        <v>3339</v>
      </c>
      <c r="G1900" t="s">
        <v>2949</v>
      </c>
      <c r="H1900" t="s">
        <v>49</v>
      </c>
      <c r="I1900" t="s">
        <v>114</v>
      </c>
      <c r="J1900" t="s">
        <v>29</v>
      </c>
      <c r="K1900" t="s">
        <v>133</v>
      </c>
      <c r="L1900" t="s">
        <v>59</v>
      </c>
      <c r="M1900" t="s">
        <v>1127</v>
      </c>
      <c r="N1900">
        <v>0.39</v>
      </c>
      <c r="O1900" t="s">
        <v>33</v>
      </c>
      <c r="P1900" t="s">
        <v>135</v>
      </c>
      <c r="Q1900" t="s">
        <v>356</v>
      </c>
      <c r="R1900" t="s">
        <v>2950</v>
      </c>
      <c r="S1900">
        <v>32780</v>
      </c>
      <c r="T1900" s="1">
        <v>42169</v>
      </c>
      <c r="U1900" s="1">
        <v>42170</v>
      </c>
      <c r="V1900" s="2">
        <v>4.0442999999999998</v>
      </c>
      <c r="W1900">
        <v>7</v>
      </c>
      <c r="X1900" s="2">
        <v>19.02</v>
      </c>
      <c r="Y1900">
        <v>85981</v>
      </c>
      <c r="Z1900">
        <f t="shared" si="29"/>
        <v>133.13999999999999</v>
      </c>
    </row>
    <row r="1901" spans="1:26" x14ac:dyDescent="0.25">
      <c r="A1901">
        <v>25614</v>
      </c>
      <c r="B1901" t="s">
        <v>25</v>
      </c>
      <c r="C1901" s="2">
        <v>0.01</v>
      </c>
      <c r="D1901" s="2">
        <v>11.66</v>
      </c>
      <c r="E1901" s="2">
        <v>7.95</v>
      </c>
      <c r="F1901">
        <v>3339</v>
      </c>
      <c r="G1901" t="s">
        <v>2949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1704</v>
      </c>
      <c r="N1901">
        <v>0.57999999999999996</v>
      </c>
      <c r="O1901" t="s">
        <v>33</v>
      </c>
      <c r="P1901" t="s">
        <v>135</v>
      </c>
      <c r="Q1901" t="s">
        <v>356</v>
      </c>
      <c r="R1901" t="s">
        <v>2950</v>
      </c>
      <c r="S1901">
        <v>32780</v>
      </c>
      <c r="T1901" s="1">
        <v>42169</v>
      </c>
      <c r="U1901" s="1">
        <v>42170</v>
      </c>
      <c r="V1901" s="2">
        <v>-10.368399999999999</v>
      </c>
      <c r="W1901">
        <v>16</v>
      </c>
      <c r="X1901" s="2">
        <v>193.87</v>
      </c>
      <c r="Y1901">
        <v>85981</v>
      </c>
      <c r="Z1901">
        <f t="shared" si="29"/>
        <v>3101.92</v>
      </c>
    </row>
    <row r="1902" spans="1:26" x14ac:dyDescent="0.25">
      <c r="A1902">
        <v>22857</v>
      </c>
      <c r="B1902" t="s">
        <v>56</v>
      </c>
      <c r="C1902" s="2">
        <v>0.08</v>
      </c>
      <c r="D1902" s="2">
        <v>125.99</v>
      </c>
      <c r="E1902" s="2">
        <v>4.2</v>
      </c>
      <c r="F1902">
        <v>3340</v>
      </c>
      <c r="G1902" t="s">
        <v>2951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2952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2953</v>
      </c>
      <c r="S1902">
        <v>97060</v>
      </c>
      <c r="T1902" s="1">
        <v>42017</v>
      </c>
      <c r="U1902" s="1">
        <v>42018</v>
      </c>
      <c r="V1902" s="2">
        <v>989.81190000000004</v>
      </c>
      <c r="W1902">
        <v>14</v>
      </c>
      <c r="X1902" s="2">
        <v>1434.51</v>
      </c>
      <c r="Y1902">
        <v>85980</v>
      </c>
      <c r="Z1902">
        <f t="shared" si="29"/>
        <v>20083.14</v>
      </c>
    </row>
    <row r="1903" spans="1:26" x14ac:dyDescent="0.25">
      <c r="A1903">
        <v>2986</v>
      </c>
      <c r="B1903" t="s">
        <v>47</v>
      </c>
      <c r="C1903" s="2">
        <v>0.03</v>
      </c>
      <c r="D1903" s="2">
        <v>194.3</v>
      </c>
      <c r="E1903" s="2">
        <v>11.54</v>
      </c>
      <c r="F1903">
        <v>3342</v>
      </c>
      <c r="G1903" t="s">
        <v>2954</v>
      </c>
      <c r="H1903" t="s">
        <v>49</v>
      </c>
      <c r="I1903" t="s">
        <v>40</v>
      </c>
      <c r="J1903" t="s">
        <v>41</v>
      </c>
      <c r="K1903" t="s">
        <v>50</v>
      </c>
      <c r="L1903" t="s">
        <v>231</v>
      </c>
      <c r="M1903" t="s">
        <v>1152</v>
      </c>
      <c r="N1903">
        <v>0.59</v>
      </c>
      <c r="O1903" t="s">
        <v>33</v>
      </c>
      <c r="P1903" t="s">
        <v>53</v>
      </c>
      <c r="Q1903" t="s">
        <v>998</v>
      </c>
      <c r="R1903" t="s">
        <v>35</v>
      </c>
      <c r="S1903">
        <v>20006</v>
      </c>
      <c r="T1903" s="1">
        <v>42048</v>
      </c>
      <c r="U1903" s="1">
        <v>42050</v>
      </c>
      <c r="V1903" s="2">
        <v>2861.01</v>
      </c>
      <c r="W1903">
        <v>42</v>
      </c>
      <c r="X1903" s="2">
        <v>8549.0400000000009</v>
      </c>
      <c r="Y1903">
        <v>21572</v>
      </c>
      <c r="Z1903">
        <f t="shared" si="29"/>
        <v>359059.68000000005</v>
      </c>
    </row>
    <row r="1904" spans="1:26" x14ac:dyDescent="0.25">
      <c r="A1904">
        <v>20986</v>
      </c>
      <c r="B1904" t="s">
        <v>47</v>
      </c>
      <c r="C1904" s="2">
        <v>0.03</v>
      </c>
      <c r="D1904" s="2">
        <v>194.3</v>
      </c>
      <c r="E1904" s="2">
        <v>11.54</v>
      </c>
      <c r="F1904">
        <v>3344</v>
      </c>
      <c r="G1904" t="s">
        <v>2955</v>
      </c>
      <c r="H1904" t="s">
        <v>49</v>
      </c>
      <c r="I1904" t="s">
        <v>40</v>
      </c>
      <c r="J1904" t="s">
        <v>41</v>
      </c>
      <c r="K1904" t="s">
        <v>50</v>
      </c>
      <c r="L1904" t="s">
        <v>231</v>
      </c>
      <c r="M1904" t="s">
        <v>1152</v>
      </c>
      <c r="N1904">
        <v>0.59</v>
      </c>
      <c r="O1904" t="s">
        <v>33</v>
      </c>
      <c r="P1904" t="s">
        <v>61</v>
      </c>
      <c r="Q1904" t="s">
        <v>295</v>
      </c>
      <c r="R1904" t="s">
        <v>2956</v>
      </c>
      <c r="S1904">
        <v>48307</v>
      </c>
      <c r="T1904" s="1">
        <v>42048</v>
      </c>
      <c r="U1904" s="1">
        <v>42050</v>
      </c>
      <c r="V1904" s="2">
        <v>1544.9306999999999</v>
      </c>
      <c r="W1904">
        <v>11</v>
      </c>
      <c r="X1904" s="2">
        <v>2239.0300000000002</v>
      </c>
      <c r="Y1904">
        <v>89928</v>
      </c>
      <c r="Z1904">
        <f t="shared" si="29"/>
        <v>24629.33</v>
      </c>
    </row>
    <row r="1905" spans="1:26" x14ac:dyDescent="0.25">
      <c r="A1905">
        <v>18947</v>
      </c>
      <c r="B1905" t="s">
        <v>56</v>
      </c>
      <c r="C1905" s="2">
        <v>7.0000000000000007E-2</v>
      </c>
      <c r="D1905" s="2">
        <v>7.68</v>
      </c>
      <c r="E1905" s="2">
        <v>6.16</v>
      </c>
      <c r="F1905">
        <v>3347</v>
      </c>
      <c r="G1905" t="s">
        <v>2957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2958</v>
      </c>
      <c r="N1905">
        <v>0.35</v>
      </c>
      <c r="O1905" t="s">
        <v>33</v>
      </c>
      <c r="P1905" t="s">
        <v>135</v>
      </c>
      <c r="Q1905" t="s">
        <v>356</v>
      </c>
      <c r="R1905" t="s">
        <v>2959</v>
      </c>
      <c r="S1905">
        <v>33411</v>
      </c>
      <c r="T1905" s="1">
        <v>42010</v>
      </c>
      <c r="U1905" s="1">
        <v>42012</v>
      </c>
      <c r="V1905" s="2">
        <v>125.9982</v>
      </c>
      <c r="W1905">
        <v>1</v>
      </c>
      <c r="X1905" s="2">
        <v>22.13</v>
      </c>
      <c r="Y1905">
        <v>89355</v>
      </c>
      <c r="Z1905">
        <f t="shared" si="29"/>
        <v>22.13</v>
      </c>
    </row>
    <row r="1906" spans="1:26" x14ac:dyDescent="0.25">
      <c r="A1906">
        <v>18948</v>
      </c>
      <c r="B1906" t="s">
        <v>56</v>
      </c>
      <c r="C1906" s="2">
        <v>0.05</v>
      </c>
      <c r="D1906" s="2">
        <v>6.64</v>
      </c>
      <c r="E1906" s="2">
        <v>4.95</v>
      </c>
      <c r="F1906">
        <v>3347</v>
      </c>
      <c r="G1906" t="s">
        <v>2957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2931</v>
      </c>
      <c r="N1906">
        <v>0.37</v>
      </c>
      <c r="O1906" t="s">
        <v>33</v>
      </c>
      <c r="P1906" t="s">
        <v>135</v>
      </c>
      <c r="Q1906" t="s">
        <v>356</v>
      </c>
      <c r="R1906" t="s">
        <v>2959</v>
      </c>
      <c r="S1906">
        <v>33411</v>
      </c>
      <c r="T1906" s="1">
        <v>42010</v>
      </c>
      <c r="U1906" s="1">
        <v>42012</v>
      </c>
      <c r="V1906" s="2">
        <v>-92.929199999999994</v>
      </c>
      <c r="W1906">
        <v>5</v>
      </c>
      <c r="X1906" s="2">
        <v>34.17</v>
      </c>
      <c r="Y1906">
        <v>89355</v>
      </c>
      <c r="Z1906">
        <f t="shared" si="29"/>
        <v>170.85000000000002</v>
      </c>
    </row>
    <row r="1907" spans="1:26" x14ac:dyDescent="0.25">
      <c r="A1907">
        <v>19461</v>
      </c>
      <c r="B1907" t="s">
        <v>56</v>
      </c>
      <c r="C1907" s="2">
        <v>0.02</v>
      </c>
      <c r="D1907" s="2">
        <v>110.99</v>
      </c>
      <c r="E1907" s="2">
        <v>2.5</v>
      </c>
      <c r="F1907">
        <v>3347</v>
      </c>
      <c r="G1907" t="s">
        <v>2957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494</v>
      </c>
      <c r="N1907">
        <v>0.56999999999999995</v>
      </c>
      <c r="O1907" t="s">
        <v>33</v>
      </c>
      <c r="P1907" t="s">
        <v>135</v>
      </c>
      <c r="Q1907" t="s">
        <v>356</v>
      </c>
      <c r="R1907" t="s">
        <v>2959</v>
      </c>
      <c r="S1907">
        <v>33411</v>
      </c>
      <c r="T1907" s="1">
        <v>42031</v>
      </c>
      <c r="U1907" s="1">
        <v>42033</v>
      </c>
      <c r="V1907" s="2">
        <v>-39.808999999999997</v>
      </c>
      <c r="W1907">
        <v>1</v>
      </c>
      <c r="X1907" s="2">
        <v>94.3</v>
      </c>
      <c r="Y1907">
        <v>89356</v>
      </c>
      <c r="Z1907">
        <f t="shared" si="29"/>
        <v>94.3</v>
      </c>
    </row>
    <row r="1908" spans="1:26" x14ac:dyDescent="0.25">
      <c r="A1908">
        <v>21485</v>
      </c>
      <c r="B1908" t="s">
        <v>56</v>
      </c>
      <c r="C1908" s="2">
        <v>0.01</v>
      </c>
      <c r="D1908" s="2">
        <v>73.98</v>
      </c>
      <c r="E1908" s="2">
        <v>12.14</v>
      </c>
      <c r="F1908">
        <v>3350</v>
      </c>
      <c r="G1908" t="s">
        <v>2960</v>
      </c>
      <c r="H1908" t="s">
        <v>49</v>
      </c>
      <c r="I1908" t="s">
        <v>58</v>
      </c>
      <c r="J1908" t="s">
        <v>77</v>
      </c>
      <c r="K1908" t="s">
        <v>177</v>
      </c>
      <c r="L1908" t="s">
        <v>59</v>
      </c>
      <c r="M1908" t="s">
        <v>366</v>
      </c>
      <c r="N1908">
        <v>0.67</v>
      </c>
      <c r="O1908" t="s">
        <v>33</v>
      </c>
      <c r="P1908" t="s">
        <v>34</v>
      </c>
      <c r="Q1908" t="s">
        <v>35</v>
      </c>
      <c r="R1908" t="s">
        <v>2961</v>
      </c>
      <c r="S1908">
        <v>98444</v>
      </c>
      <c r="T1908" s="1">
        <v>42027</v>
      </c>
      <c r="U1908" s="1">
        <v>42029</v>
      </c>
      <c r="V1908" s="2">
        <v>-29.0656</v>
      </c>
      <c r="W1908">
        <v>5</v>
      </c>
      <c r="X1908" s="2">
        <v>384.22</v>
      </c>
      <c r="Y1908">
        <v>91296</v>
      </c>
      <c r="Z1908">
        <f t="shared" si="29"/>
        <v>1921.1000000000001</v>
      </c>
    </row>
    <row r="1909" spans="1:26" x14ac:dyDescent="0.25">
      <c r="A1909">
        <v>23248</v>
      </c>
      <c r="B1909" t="s">
        <v>47</v>
      </c>
      <c r="C1909" s="2">
        <v>0.1</v>
      </c>
      <c r="D1909" s="2">
        <v>10.89</v>
      </c>
      <c r="E1909" s="2">
        <v>4.5</v>
      </c>
      <c r="F1909">
        <v>3351</v>
      </c>
      <c r="G1909" t="s">
        <v>2962</v>
      </c>
      <c r="H1909" t="s">
        <v>49</v>
      </c>
      <c r="I1909" t="s">
        <v>58</v>
      </c>
      <c r="J1909" t="s">
        <v>29</v>
      </c>
      <c r="K1909" t="s">
        <v>252</v>
      </c>
      <c r="L1909" t="s">
        <v>59</v>
      </c>
      <c r="M1909" t="s">
        <v>253</v>
      </c>
      <c r="N1909">
        <v>0.59</v>
      </c>
      <c r="O1909" t="s">
        <v>33</v>
      </c>
      <c r="P1909" t="s">
        <v>34</v>
      </c>
      <c r="Q1909" t="s">
        <v>35</v>
      </c>
      <c r="R1909" t="s">
        <v>2963</v>
      </c>
      <c r="S1909">
        <v>99301</v>
      </c>
      <c r="T1909" s="1">
        <v>42039</v>
      </c>
      <c r="U1909" s="1">
        <v>42041</v>
      </c>
      <c r="V1909" s="2">
        <v>-19.2972</v>
      </c>
      <c r="W1909">
        <v>17</v>
      </c>
      <c r="X1909" s="2">
        <v>178.68</v>
      </c>
      <c r="Y1909">
        <v>91297</v>
      </c>
      <c r="Z1909">
        <f t="shared" si="29"/>
        <v>3037.56</v>
      </c>
    </row>
    <row r="1910" spans="1:26" x14ac:dyDescent="0.25">
      <c r="A1910">
        <v>23474</v>
      </c>
      <c r="B1910" t="s">
        <v>25</v>
      </c>
      <c r="C1910" s="2">
        <v>0.06</v>
      </c>
      <c r="D1910" s="2">
        <v>6.7</v>
      </c>
      <c r="E1910" s="2">
        <v>1.56</v>
      </c>
      <c r="F1910">
        <v>3351</v>
      </c>
      <c r="G1910" t="s">
        <v>2962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1062</v>
      </c>
      <c r="N1910">
        <v>0.52</v>
      </c>
      <c r="O1910" t="s">
        <v>33</v>
      </c>
      <c r="P1910" t="s">
        <v>34</v>
      </c>
      <c r="Q1910" t="s">
        <v>35</v>
      </c>
      <c r="R1910" t="s">
        <v>2963</v>
      </c>
      <c r="S1910">
        <v>99301</v>
      </c>
      <c r="T1910" s="1">
        <v>42042</v>
      </c>
      <c r="U1910" s="1">
        <v>42044</v>
      </c>
      <c r="V1910" s="2">
        <v>40.6556</v>
      </c>
      <c r="W1910">
        <v>12</v>
      </c>
      <c r="X1910" s="2">
        <v>79.39</v>
      </c>
      <c r="Y1910">
        <v>91298</v>
      </c>
      <c r="Z1910">
        <f t="shared" si="29"/>
        <v>952.68000000000006</v>
      </c>
    </row>
    <row r="1911" spans="1:26" x14ac:dyDescent="0.25">
      <c r="A1911">
        <v>19838</v>
      </c>
      <c r="B1911" t="s">
        <v>25</v>
      </c>
      <c r="C1911" s="2">
        <v>0.03</v>
      </c>
      <c r="D1911" s="2">
        <v>28.53</v>
      </c>
      <c r="E1911" s="2">
        <v>1.49</v>
      </c>
      <c r="F1911">
        <v>3354</v>
      </c>
      <c r="G1911" t="s">
        <v>2964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326</v>
      </c>
      <c r="N1911">
        <v>0.38</v>
      </c>
      <c r="O1911" t="s">
        <v>33</v>
      </c>
      <c r="P1911" t="s">
        <v>34</v>
      </c>
      <c r="Q1911" t="s">
        <v>45</v>
      </c>
      <c r="R1911" t="s">
        <v>2965</v>
      </c>
      <c r="S1911">
        <v>92231</v>
      </c>
      <c r="T1911" s="1">
        <v>42140</v>
      </c>
      <c r="U1911" s="1">
        <v>42141</v>
      </c>
      <c r="V1911" s="2">
        <v>137.67570000000001</v>
      </c>
      <c r="W1911">
        <v>7</v>
      </c>
      <c r="X1911" s="2">
        <v>199.53</v>
      </c>
      <c r="Y1911">
        <v>88589</v>
      </c>
      <c r="Z1911">
        <f t="shared" si="29"/>
        <v>1396.71</v>
      </c>
    </row>
    <row r="1912" spans="1:26" x14ac:dyDescent="0.25">
      <c r="A1912">
        <v>19839</v>
      </c>
      <c r="B1912" t="s">
        <v>25</v>
      </c>
      <c r="C1912" s="2">
        <v>7.0000000000000007E-2</v>
      </c>
      <c r="D1912" s="2">
        <v>5.98</v>
      </c>
      <c r="E1912" s="2">
        <v>7.15</v>
      </c>
      <c r="F1912">
        <v>3354</v>
      </c>
      <c r="G1912" t="s">
        <v>2964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2966</v>
      </c>
      <c r="N1912">
        <v>0.36</v>
      </c>
      <c r="O1912" t="s">
        <v>33</v>
      </c>
      <c r="P1912" t="s">
        <v>34</v>
      </c>
      <c r="Q1912" t="s">
        <v>45</v>
      </c>
      <c r="R1912" t="s">
        <v>2965</v>
      </c>
      <c r="S1912">
        <v>92231</v>
      </c>
      <c r="T1912" s="1">
        <v>42140</v>
      </c>
      <c r="U1912" s="1">
        <v>42142</v>
      </c>
      <c r="V1912" s="2">
        <v>-62</v>
      </c>
      <c r="W1912">
        <v>6</v>
      </c>
      <c r="X1912" s="2">
        <v>37.049999999999997</v>
      </c>
      <c r="Y1912">
        <v>88589</v>
      </c>
      <c r="Z1912">
        <f t="shared" si="29"/>
        <v>222.29999999999998</v>
      </c>
    </row>
    <row r="1913" spans="1:26" x14ac:dyDescent="0.25">
      <c r="A1913">
        <v>19666</v>
      </c>
      <c r="B1913" t="s">
        <v>37</v>
      </c>
      <c r="C1913" s="2">
        <v>0.04</v>
      </c>
      <c r="D1913" s="2">
        <v>3.69</v>
      </c>
      <c r="E1913" s="2">
        <v>0.5</v>
      </c>
      <c r="F1913">
        <v>3354</v>
      </c>
      <c r="G1913" t="s">
        <v>2964</v>
      </c>
      <c r="H1913" t="s">
        <v>49</v>
      </c>
      <c r="I1913" t="s">
        <v>28</v>
      </c>
      <c r="J1913" t="s">
        <v>29</v>
      </c>
      <c r="K1913" t="s">
        <v>133</v>
      </c>
      <c r="L1913" t="s">
        <v>59</v>
      </c>
      <c r="M1913" t="s">
        <v>1526</v>
      </c>
      <c r="N1913">
        <v>0.38</v>
      </c>
      <c r="O1913" t="s">
        <v>33</v>
      </c>
      <c r="P1913" t="s">
        <v>34</v>
      </c>
      <c r="Q1913" t="s">
        <v>45</v>
      </c>
      <c r="R1913" t="s">
        <v>2965</v>
      </c>
      <c r="S1913">
        <v>92231</v>
      </c>
      <c r="T1913" s="1">
        <v>42090</v>
      </c>
      <c r="U1913" s="1">
        <v>42092</v>
      </c>
      <c r="V1913" s="2">
        <v>47.527200000000001</v>
      </c>
      <c r="W1913">
        <v>19</v>
      </c>
      <c r="X1913" s="2">
        <v>68.88</v>
      </c>
      <c r="Y1913">
        <v>88590</v>
      </c>
      <c r="Z1913">
        <f t="shared" si="29"/>
        <v>1308.7199999999998</v>
      </c>
    </row>
    <row r="1914" spans="1:26" x14ac:dyDescent="0.25">
      <c r="A1914">
        <v>23906</v>
      </c>
      <c r="B1914" t="s">
        <v>106</v>
      </c>
      <c r="C1914" s="2">
        <v>0.1</v>
      </c>
      <c r="D1914" s="2">
        <v>120.98</v>
      </c>
      <c r="E1914" s="2">
        <v>9.07</v>
      </c>
      <c r="F1914">
        <v>3355</v>
      </c>
      <c r="G1914" t="s">
        <v>2967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1311</v>
      </c>
      <c r="N1914">
        <v>0.35</v>
      </c>
      <c r="O1914" t="s">
        <v>33</v>
      </c>
      <c r="P1914" t="s">
        <v>34</v>
      </c>
      <c r="Q1914" t="s">
        <v>45</v>
      </c>
      <c r="R1914" t="s">
        <v>2968</v>
      </c>
      <c r="S1914">
        <v>93010</v>
      </c>
      <c r="T1914" s="1">
        <v>42063</v>
      </c>
      <c r="U1914" s="1">
        <v>42072</v>
      </c>
      <c r="V1914" s="2">
        <v>379.3965</v>
      </c>
      <c r="W1914">
        <v>5</v>
      </c>
      <c r="X1914" s="2">
        <v>549.85</v>
      </c>
      <c r="Y1914">
        <v>88587</v>
      </c>
      <c r="Z1914">
        <f t="shared" si="29"/>
        <v>2749.25</v>
      </c>
    </row>
    <row r="1915" spans="1:26" x14ac:dyDescent="0.25">
      <c r="A1915">
        <v>23907</v>
      </c>
      <c r="B1915" t="s">
        <v>106</v>
      </c>
      <c r="C1915" s="2">
        <v>0.08</v>
      </c>
      <c r="D1915" s="2">
        <v>8.32</v>
      </c>
      <c r="E1915" s="2">
        <v>2.38</v>
      </c>
      <c r="F1915">
        <v>3355</v>
      </c>
      <c r="G1915" t="s">
        <v>2967</v>
      </c>
      <c r="H1915" t="s">
        <v>27</v>
      </c>
      <c r="I1915" t="s">
        <v>28</v>
      </c>
      <c r="J1915" t="s">
        <v>77</v>
      </c>
      <c r="K1915" t="s">
        <v>177</v>
      </c>
      <c r="L1915" t="s">
        <v>51</v>
      </c>
      <c r="M1915" t="s">
        <v>600</v>
      </c>
      <c r="N1915">
        <v>0.74</v>
      </c>
      <c r="O1915" t="s">
        <v>33</v>
      </c>
      <c r="P1915" t="s">
        <v>34</v>
      </c>
      <c r="Q1915" t="s">
        <v>45</v>
      </c>
      <c r="R1915" t="s">
        <v>2968</v>
      </c>
      <c r="S1915">
        <v>93010</v>
      </c>
      <c r="T1915" s="1">
        <v>42063</v>
      </c>
      <c r="U1915" s="1">
        <v>42067</v>
      </c>
      <c r="V1915" s="2">
        <v>-41.83</v>
      </c>
      <c r="W1915">
        <v>6</v>
      </c>
      <c r="X1915" s="2">
        <v>48.99</v>
      </c>
      <c r="Y1915">
        <v>88587</v>
      </c>
      <c r="Z1915">
        <f t="shared" si="29"/>
        <v>293.94</v>
      </c>
    </row>
    <row r="1916" spans="1:26" x14ac:dyDescent="0.25">
      <c r="A1916">
        <v>23908</v>
      </c>
      <c r="B1916" t="s">
        <v>106</v>
      </c>
      <c r="C1916" s="2">
        <v>0.1</v>
      </c>
      <c r="D1916" s="2">
        <v>125.99</v>
      </c>
      <c r="E1916" s="2">
        <v>4.2</v>
      </c>
      <c r="F1916">
        <v>3355</v>
      </c>
      <c r="G1916" t="s">
        <v>2967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2778</v>
      </c>
      <c r="N1916">
        <v>0.59</v>
      </c>
      <c r="O1916" t="s">
        <v>33</v>
      </c>
      <c r="P1916" t="s">
        <v>34</v>
      </c>
      <c r="Q1916" t="s">
        <v>45</v>
      </c>
      <c r="R1916" t="s">
        <v>2968</v>
      </c>
      <c r="S1916">
        <v>93010</v>
      </c>
      <c r="T1916" s="1">
        <v>42063</v>
      </c>
      <c r="U1916" s="1">
        <v>42063</v>
      </c>
      <c r="V1916" s="2">
        <v>372.40199999999999</v>
      </c>
      <c r="W1916">
        <v>7</v>
      </c>
      <c r="X1916" s="2">
        <v>681.42</v>
      </c>
      <c r="Y1916">
        <v>88587</v>
      </c>
      <c r="Z1916">
        <f t="shared" si="29"/>
        <v>4769.9399999999996</v>
      </c>
    </row>
    <row r="1917" spans="1:26" x14ac:dyDescent="0.25">
      <c r="A1917">
        <v>18628</v>
      </c>
      <c r="B1917" t="s">
        <v>56</v>
      </c>
      <c r="C1917" s="2">
        <v>7.0000000000000007E-2</v>
      </c>
      <c r="D1917" s="2">
        <v>5.34</v>
      </c>
      <c r="E1917" s="2">
        <v>5.63</v>
      </c>
      <c r="F1917">
        <v>3356</v>
      </c>
      <c r="G1917" t="s">
        <v>2969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485</v>
      </c>
      <c r="N1917">
        <v>0.39</v>
      </c>
      <c r="O1917" t="s">
        <v>33</v>
      </c>
      <c r="P1917" t="s">
        <v>34</v>
      </c>
      <c r="Q1917" t="s">
        <v>1727</v>
      </c>
      <c r="R1917" t="s">
        <v>2970</v>
      </c>
      <c r="S1917">
        <v>83616</v>
      </c>
      <c r="T1917" s="1">
        <v>42128</v>
      </c>
      <c r="U1917" s="1">
        <v>42130</v>
      </c>
      <c r="V1917" s="2">
        <v>-116.3455</v>
      </c>
      <c r="W1917">
        <v>13</v>
      </c>
      <c r="X1917" s="2">
        <v>66.650000000000006</v>
      </c>
      <c r="Y1917">
        <v>88588</v>
      </c>
      <c r="Z1917">
        <f t="shared" si="29"/>
        <v>866.45</v>
      </c>
    </row>
    <row r="1918" spans="1:26" x14ac:dyDescent="0.25">
      <c r="A1918">
        <v>18629</v>
      </c>
      <c r="B1918" t="s">
        <v>56</v>
      </c>
      <c r="C1918" s="2">
        <v>0.03</v>
      </c>
      <c r="D1918" s="2">
        <v>160.97999999999999</v>
      </c>
      <c r="E1918" s="2">
        <v>30</v>
      </c>
      <c r="F1918">
        <v>3356</v>
      </c>
      <c r="G1918" t="s">
        <v>2969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174</v>
      </c>
      <c r="N1918">
        <v>0.62</v>
      </c>
      <c r="O1918" t="s">
        <v>33</v>
      </c>
      <c r="P1918" t="s">
        <v>34</v>
      </c>
      <c r="Q1918" t="s">
        <v>1727</v>
      </c>
      <c r="R1918" t="s">
        <v>2970</v>
      </c>
      <c r="S1918">
        <v>83616</v>
      </c>
      <c r="T1918" s="1">
        <v>42128</v>
      </c>
      <c r="U1918" s="1">
        <v>42129</v>
      </c>
      <c r="V1918" s="2">
        <v>1304.9000000000001</v>
      </c>
      <c r="W1918">
        <v>18</v>
      </c>
      <c r="X1918" s="2">
        <v>2934.16</v>
      </c>
      <c r="Y1918">
        <v>88588</v>
      </c>
      <c r="Z1918">
        <f t="shared" si="29"/>
        <v>52814.879999999997</v>
      </c>
    </row>
    <row r="1919" spans="1:26" x14ac:dyDescent="0.25">
      <c r="A1919">
        <v>18630</v>
      </c>
      <c r="B1919" t="s">
        <v>56</v>
      </c>
      <c r="C1919" s="2">
        <v>0.04</v>
      </c>
      <c r="D1919" s="2">
        <v>65.989999999999995</v>
      </c>
      <c r="E1919" s="2">
        <v>5.63</v>
      </c>
      <c r="F1919">
        <v>3356</v>
      </c>
      <c r="G1919" t="s">
        <v>2969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>
        <v>2190</v>
      </c>
      <c r="N1919">
        <v>0.56000000000000005</v>
      </c>
      <c r="O1919" t="s">
        <v>33</v>
      </c>
      <c r="P1919" t="s">
        <v>34</v>
      </c>
      <c r="Q1919" t="s">
        <v>1727</v>
      </c>
      <c r="R1919" t="s">
        <v>2970</v>
      </c>
      <c r="S1919">
        <v>83616</v>
      </c>
      <c r="T1919" s="1">
        <v>42128</v>
      </c>
      <c r="U1919" s="1">
        <v>42128</v>
      </c>
      <c r="V1919" s="2">
        <v>605.04719999999998</v>
      </c>
      <c r="W1919">
        <v>15</v>
      </c>
      <c r="X1919" s="2">
        <v>876.88</v>
      </c>
      <c r="Y1919">
        <v>88588</v>
      </c>
      <c r="Z1919">
        <f t="shared" si="29"/>
        <v>13153.2</v>
      </c>
    </row>
    <row r="1920" spans="1:26" x14ac:dyDescent="0.25">
      <c r="A1920">
        <v>22597</v>
      </c>
      <c r="B1920" t="s">
        <v>25</v>
      </c>
      <c r="C1920" s="2">
        <v>0.09</v>
      </c>
      <c r="D1920" s="2">
        <v>28.53</v>
      </c>
      <c r="E1920" s="2">
        <v>1.49</v>
      </c>
      <c r="F1920">
        <v>3359</v>
      </c>
      <c r="G1920" t="s">
        <v>2971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326</v>
      </c>
      <c r="N1920">
        <v>0.38</v>
      </c>
      <c r="O1920" t="s">
        <v>33</v>
      </c>
      <c r="P1920" t="s">
        <v>61</v>
      </c>
      <c r="Q1920" t="s">
        <v>1843</v>
      </c>
      <c r="R1920" t="s">
        <v>2972</v>
      </c>
      <c r="S1920">
        <v>53213</v>
      </c>
      <c r="T1920" s="1">
        <v>42122</v>
      </c>
      <c r="U1920" s="1">
        <v>42124</v>
      </c>
      <c r="V1920" s="2">
        <v>107.45462000000001</v>
      </c>
      <c r="W1920">
        <v>6</v>
      </c>
      <c r="X1920" s="2">
        <v>157.33000000000001</v>
      </c>
      <c r="Y1920">
        <v>91437</v>
      </c>
      <c r="Z1920">
        <f t="shared" si="29"/>
        <v>943.98</v>
      </c>
    </row>
    <row r="1921" spans="1:26" x14ac:dyDescent="0.25">
      <c r="A1921">
        <v>23359</v>
      </c>
      <c r="B1921" t="s">
        <v>37</v>
      </c>
      <c r="C1921" s="2">
        <v>0.02</v>
      </c>
      <c r="D1921" s="2">
        <v>9.11</v>
      </c>
      <c r="E1921" s="2">
        <v>2.15</v>
      </c>
      <c r="F1921">
        <v>3360</v>
      </c>
      <c r="G1921" t="s">
        <v>2973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1247</v>
      </c>
      <c r="N1921">
        <v>0.4</v>
      </c>
      <c r="O1921" t="s">
        <v>33</v>
      </c>
      <c r="P1921" t="s">
        <v>61</v>
      </c>
      <c r="Q1921" t="s">
        <v>1843</v>
      </c>
      <c r="R1921" t="s">
        <v>2974</v>
      </c>
      <c r="S1921">
        <v>53214</v>
      </c>
      <c r="T1921" s="1">
        <v>42083</v>
      </c>
      <c r="U1921" s="1">
        <v>42085</v>
      </c>
      <c r="V1921" s="2">
        <v>18.41</v>
      </c>
      <c r="W1921">
        <v>3</v>
      </c>
      <c r="X1921" s="2">
        <v>27.37</v>
      </c>
      <c r="Y1921">
        <v>91435</v>
      </c>
      <c r="Z1921">
        <f t="shared" si="29"/>
        <v>82.11</v>
      </c>
    </row>
    <row r="1922" spans="1:26" x14ac:dyDescent="0.25">
      <c r="A1922">
        <v>23360</v>
      </c>
      <c r="B1922" t="s">
        <v>37</v>
      </c>
      <c r="C1922" s="2">
        <v>0.06</v>
      </c>
      <c r="D1922" s="2">
        <v>12.64</v>
      </c>
      <c r="E1922" s="2">
        <v>4.9800000000000004</v>
      </c>
      <c r="F1922">
        <v>3361</v>
      </c>
      <c r="G1922" t="s">
        <v>2975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618</v>
      </c>
      <c r="N1922">
        <v>0.48</v>
      </c>
      <c r="O1922" t="s">
        <v>33</v>
      </c>
      <c r="P1922" t="s">
        <v>61</v>
      </c>
      <c r="Q1922" t="s">
        <v>1843</v>
      </c>
      <c r="R1922" t="s">
        <v>2976</v>
      </c>
      <c r="S1922">
        <v>53095</v>
      </c>
      <c r="T1922" s="1">
        <v>42083</v>
      </c>
      <c r="U1922" s="1">
        <v>42085</v>
      </c>
      <c r="V1922" s="2">
        <v>65.63</v>
      </c>
      <c r="W1922">
        <v>8</v>
      </c>
      <c r="X1922" s="2">
        <v>98.16</v>
      </c>
      <c r="Y1922">
        <v>91435</v>
      </c>
      <c r="Z1922">
        <f t="shared" si="29"/>
        <v>785.28</v>
      </c>
    </row>
    <row r="1923" spans="1:26" x14ac:dyDescent="0.25">
      <c r="A1923">
        <v>24802</v>
      </c>
      <c r="B1923" t="s">
        <v>56</v>
      </c>
      <c r="C1923" s="2">
        <v>0.04</v>
      </c>
      <c r="D1923" s="2">
        <v>7.96</v>
      </c>
      <c r="E1923" s="2">
        <v>4.95</v>
      </c>
      <c r="F1923">
        <v>3361</v>
      </c>
      <c r="G1923" t="s">
        <v>2975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1273</v>
      </c>
      <c r="N1923">
        <v>0.41</v>
      </c>
      <c r="O1923" t="s">
        <v>33</v>
      </c>
      <c r="P1923" t="s">
        <v>61</v>
      </c>
      <c r="Q1923" t="s">
        <v>1843</v>
      </c>
      <c r="R1923" t="s">
        <v>2976</v>
      </c>
      <c r="S1923">
        <v>53095</v>
      </c>
      <c r="T1923" s="1">
        <v>42030</v>
      </c>
      <c r="U1923" s="1">
        <v>42030</v>
      </c>
      <c r="V1923" s="2">
        <v>-7.73</v>
      </c>
      <c r="W1923">
        <v>15</v>
      </c>
      <c r="X1923" s="2">
        <v>116.11</v>
      </c>
      <c r="Y1923">
        <v>91436</v>
      </c>
      <c r="Z1923">
        <f t="shared" ref="Z1923:Z1953" si="30">W1923*X1923</f>
        <v>1741.65</v>
      </c>
    </row>
    <row r="1924" spans="1:26" x14ac:dyDescent="0.25">
      <c r="A1924">
        <v>23887</v>
      </c>
      <c r="B1924" t="s">
        <v>56</v>
      </c>
      <c r="C1924" s="2">
        <v>0.03</v>
      </c>
      <c r="D1924" s="2">
        <v>4.9800000000000004</v>
      </c>
      <c r="E1924" s="2">
        <v>4.95</v>
      </c>
      <c r="F1924">
        <v>3361</v>
      </c>
      <c r="G1924" t="s">
        <v>2975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2478</v>
      </c>
      <c r="N1924">
        <v>0.37</v>
      </c>
      <c r="O1924" t="s">
        <v>33</v>
      </c>
      <c r="P1924" t="s">
        <v>61</v>
      </c>
      <c r="Q1924" t="s">
        <v>1843</v>
      </c>
      <c r="R1924" t="s">
        <v>2976</v>
      </c>
      <c r="S1924">
        <v>53095</v>
      </c>
      <c r="T1924" s="1">
        <v>42164</v>
      </c>
      <c r="U1924" s="1">
        <v>42166</v>
      </c>
      <c r="V1924" s="2">
        <v>-47.995249999999999</v>
      </c>
      <c r="W1924">
        <v>19</v>
      </c>
      <c r="X1924" s="2">
        <v>95</v>
      </c>
      <c r="Y1924">
        <v>91438</v>
      </c>
      <c r="Z1924">
        <f t="shared" si="30"/>
        <v>1805</v>
      </c>
    </row>
    <row r="1925" spans="1:26" x14ac:dyDescent="0.25">
      <c r="A1925">
        <v>19749</v>
      </c>
      <c r="B1925" t="s">
        <v>106</v>
      </c>
      <c r="C1925" s="2">
        <v>0.1</v>
      </c>
      <c r="D1925" s="2">
        <v>80.97</v>
      </c>
      <c r="E1925" s="2">
        <v>33.6</v>
      </c>
      <c r="F1925">
        <v>3366</v>
      </c>
      <c r="G1925" t="s">
        <v>2977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2016</v>
      </c>
      <c r="N1925">
        <v>0.37</v>
      </c>
      <c r="O1925" t="s">
        <v>33</v>
      </c>
      <c r="P1925" t="s">
        <v>53</v>
      </c>
      <c r="Q1925" t="s">
        <v>152</v>
      </c>
      <c r="R1925" t="s">
        <v>304</v>
      </c>
      <c r="S1925">
        <v>45373</v>
      </c>
      <c r="T1925" s="1">
        <v>42148</v>
      </c>
      <c r="U1925" s="1">
        <v>42153</v>
      </c>
      <c r="V1925" s="2">
        <v>66.22</v>
      </c>
      <c r="W1925">
        <v>11</v>
      </c>
      <c r="X1925" s="2">
        <v>837.57</v>
      </c>
      <c r="Y1925">
        <v>90501</v>
      </c>
      <c r="Z1925">
        <f t="shared" si="30"/>
        <v>9213.27</v>
      </c>
    </row>
    <row r="1926" spans="1:26" x14ac:dyDescent="0.25">
      <c r="A1926">
        <v>19750</v>
      </c>
      <c r="B1926" t="s">
        <v>106</v>
      </c>
      <c r="C1926" s="2">
        <v>0.02</v>
      </c>
      <c r="D1926" s="2">
        <v>6.48</v>
      </c>
      <c r="E1926" s="2">
        <v>5.1100000000000003</v>
      </c>
      <c r="F1926">
        <v>3366</v>
      </c>
      <c r="G1926" t="s">
        <v>2977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983</v>
      </c>
      <c r="N1926">
        <v>0.37</v>
      </c>
      <c r="O1926" t="s">
        <v>33</v>
      </c>
      <c r="P1926" t="s">
        <v>53</v>
      </c>
      <c r="Q1926" t="s">
        <v>152</v>
      </c>
      <c r="R1926" t="s">
        <v>304</v>
      </c>
      <c r="S1926">
        <v>45373</v>
      </c>
      <c r="T1926" s="1">
        <v>42148</v>
      </c>
      <c r="U1926" s="1">
        <v>42152</v>
      </c>
      <c r="V1926" s="2">
        <v>-23.53</v>
      </c>
      <c r="W1926">
        <v>8</v>
      </c>
      <c r="X1926" s="2">
        <v>56.22</v>
      </c>
      <c r="Y1926">
        <v>90501</v>
      </c>
      <c r="Z1926">
        <f t="shared" si="30"/>
        <v>449.76</v>
      </c>
    </row>
    <row r="1927" spans="1:26" x14ac:dyDescent="0.25">
      <c r="A1927">
        <v>23428</v>
      </c>
      <c r="B1927" t="s">
        <v>47</v>
      </c>
      <c r="C1927" s="2">
        <v>0.08</v>
      </c>
      <c r="D1927" s="2">
        <v>30.97</v>
      </c>
      <c r="E1927" s="2">
        <v>4</v>
      </c>
      <c r="F1927">
        <v>3367</v>
      </c>
      <c r="G1927" t="s">
        <v>2978</v>
      </c>
      <c r="H1927" t="s">
        <v>49</v>
      </c>
      <c r="I1927" t="s">
        <v>40</v>
      </c>
      <c r="J1927" t="s">
        <v>77</v>
      </c>
      <c r="K1927" t="s">
        <v>177</v>
      </c>
      <c r="L1927" t="s">
        <v>59</v>
      </c>
      <c r="M1927" t="s">
        <v>2682</v>
      </c>
      <c r="N1927">
        <v>0.74</v>
      </c>
      <c r="O1927" t="s">
        <v>33</v>
      </c>
      <c r="P1927" t="s">
        <v>53</v>
      </c>
      <c r="Q1927" t="s">
        <v>152</v>
      </c>
      <c r="R1927" t="s">
        <v>2979</v>
      </c>
      <c r="S1927">
        <v>43221</v>
      </c>
      <c r="T1927" s="1">
        <v>42126</v>
      </c>
      <c r="U1927" s="1">
        <v>42127</v>
      </c>
      <c r="V1927" s="2">
        <v>10.68</v>
      </c>
      <c r="W1927">
        <v>26</v>
      </c>
      <c r="X1927" s="2">
        <v>758.97</v>
      </c>
      <c r="Y1927">
        <v>90502</v>
      </c>
      <c r="Z1927">
        <f t="shared" si="30"/>
        <v>19733.22</v>
      </c>
    </row>
    <row r="1928" spans="1:26" x14ac:dyDescent="0.25">
      <c r="A1928">
        <v>23429</v>
      </c>
      <c r="B1928" t="s">
        <v>47</v>
      </c>
      <c r="C1928" s="2">
        <v>0.1</v>
      </c>
      <c r="D1928" s="2">
        <v>4.13</v>
      </c>
      <c r="E1928" s="2">
        <v>0.5</v>
      </c>
      <c r="F1928">
        <v>3367</v>
      </c>
      <c r="G1928" t="s">
        <v>2978</v>
      </c>
      <c r="H1928" t="s">
        <v>27</v>
      </c>
      <c r="I1928" t="s">
        <v>40</v>
      </c>
      <c r="J1928" t="s">
        <v>29</v>
      </c>
      <c r="K1928" t="s">
        <v>133</v>
      </c>
      <c r="L1928" t="s">
        <v>59</v>
      </c>
      <c r="M1928" t="s">
        <v>2980</v>
      </c>
      <c r="N1928">
        <v>0.39</v>
      </c>
      <c r="O1928" t="s">
        <v>33</v>
      </c>
      <c r="P1928" t="s">
        <v>53</v>
      </c>
      <c r="Q1928" t="s">
        <v>152</v>
      </c>
      <c r="R1928" t="s">
        <v>2979</v>
      </c>
      <c r="S1928">
        <v>43221</v>
      </c>
      <c r="T1928" s="1">
        <v>42126</v>
      </c>
      <c r="U1928" s="1">
        <v>42128</v>
      </c>
      <c r="V1928" s="2">
        <v>58.263599999999997</v>
      </c>
      <c r="W1928">
        <v>18</v>
      </c>
      <c r="X1928" s="2">
        <v>84.44</v>
      </c>
      <c r="Y1928">
        <v>90502</v>
      </c>
      <c r="Z1928">
        <f t="shared" si="30"/>
        <v>1519.92</v>
      </c>
    </row>
    <row r="1929" spans="1:26" x14ac:dyDescent="0.25">
      <c r="A1929">
        <v>26104</v>
      </c>
      <c r="B1929" t="s">
        <v>56</v>
      </c>
      <c r="C1929" s="2">
        <v>0.06</v>
      </c>
      <c r="D1929" s="2">
        <v>7.1</v>
      </c>
      <c r="E1929" s="2">
        <v>6.05</v>
      </c>
      <c r="F1929">
        <v>3369</v>
      </c>
      <c r="G1929" t="s">
        <v>2981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644</v>
      </c>
      <c r="N1929">
        <v>0.39</v>
      </c>
      <c r="O1929" t="s">
        <v>33</v>
      </c>
      <c r="P1929" t="s">
        <v>53</v>
      </c>
      <c r="Q1929" t="s">
        <v>152</v>
      </c>
      <c r="R1929" t="s">
        <v>1498</v>
      </c>
      <c r="S1929">
        <v>43081</v>
      </c>
      <c r="T1929" s="1">
        <v>42047</v>
      </c>
      <c r="U1929" s="1">
        <v>42048</v>
      </c>
      <c r="V1929" s="2">
        <v>-42.170499999999997</v>
      </c>
      <c r="W1929">
        <v>4</v>
      </c>
      <c r="X1929" s="2">
        <v>29.99</v>
      </c>
      <c r="Y1929">
        <v>90500</v>
      </c>
      <c r="Z1929">
        <f t="shared" si="30"/>
        <v>119.96</v>
      </c>
    </row>
    <row r="1930" spans="1:26" x14ac:dyDescent="0.25">
      <c r="A1930">
        <v>18311</v>
      </c>
      <c r="B1930" t="s">
        <v>56</v>
      </c>
      <c r="C1930" s="2">
        <v>0.01</v>
      </c>
      <c r="D1930" s="2">
        <v>179.29</v>
      </c>
      <c r="E1930" s="2">
        <v>29.21</v>
      </c>
      <c r="F1930">
        <v>3374</v>
      </c>
      <c r="G1930" t="s">
        <v>2982</v>
      </c>
      <c r="H1930" t="s">
        <v>39</v>
      </c>
      <c r="I1930" t="s">
        <v>28</v>
      </c>
      <c r="J1930" t="s">
        <v>41</v>
      </c>
      <c r="K1930" t="s">
        <v>150</v>
      </c>
      <c r="L1930" t="s">
        <v>120</v>
      </c>
      <c r="M1930" t="s">
        <v>622</v>
      </c>
      <c r="N1930">
        <v>0.76</v>
      </c>
      <c r="O1930" t="s">
        <v>33</v>
      </c>
      <c r="P1930" t="s">
        <v>53</v>
      </c>
      <c r="Q1930" t="s">
        <v>409</v>
      </c>
      <c r="R1930" t="s">
        <v>2983</v>
      </c>
      <c r="S1930">
        <v>21113</v>
      </c>
      <c r="T1930" s="1">
        <v>42157</v>
      </c>
      <c r="U1930" s="1">
        <v>42159</v>
      </c>
      <c r="V1930" s="2">
        <v>66.362219999999994</v>
      </c>
      <c r="W1930">
        <v>8</v>
      </c>
      <c r="X1930" s="2">
        <v>1487.9</v>
      </c>
      <c r="Y1930">
        <v>87473</v>
      </c>
      <c r="Z1930">
        <f t="shared" si="30"/>
        <v>11903.2</v>
      </c>
    </row>
    <row r="1931" spans="1:26" x14ac:dyDescent="0.25">
      <c r="A1931">
        <v>18320</v>
      </c>
      <c r="B1931" t="s">
        <v>25</v>
      </c>
      <c r="C1931" s="2">
        <v>0.05</v>
      </c>
      <c r="D1931" s="2">
        <v>73.98</v>
      </c>
      <c r="E1931" s="2">
        <v>12.14</v>
      </c>
      <c r="F1931">
        <v>3374</v>
      </c>
      <c r="G1931" t="s">
        <v>2982</v>
      </c>
      <c r="H1931" t="s">
        <v>49</v>
      </c>
      <c r="I1931" t="s">
        <v>40</v>
      </c>
      <c r="J1931" t="s">
        <v>77</v>
      </c>
      <c r="K1931" t="s">
        <v>177</v>
      </c>
      <c r="L1931" t="s">
        <v>59</v>
      </c>
      <c r="M1931" t="s">
        <v>366</v>
      </c>
      <c r="N1931">
        <v>0.67</v>
      </c>
      <c r="O1931" t="s">
        <v>33</v>
      </c>
      <c r="P1931" t="s">
        <v>53</v>
      </c>
      <c r="Q1931" t="s">
        <v>409</v>
      </c>
      <c r="R1931" t="s">
        <v>2983</v>
      </c>
      <c r="S1931">
        <v>21113</v>
      </c>
      <c r="T1931" s="1">
        <v>42184</v>
      </c>
      <c r="U1931" s="1">
        <v>42185</v>
      </c>
      <c r="V1931" s="2">
        <v>-1.9039999999999999</v>
      </c>
      <c r="W1931">
        <v>8</v>
      </c>
      <c r="X1931" s="2">
        <v>600.4</v>
      </c>
      <c r="Y1931">
        <v>87474</v>
      </c>
      <c r="Z1931">
        <f t="shared" si="30"/>
        <v>4803.2</v>
      </c>
    </row>
    <row r="1932" spans="1:26" x14ac:dyDescent="0.25">
      <c r="A1932">
        <v>18321</v>
      </c>
      <c r="B1932" t="s">
        <v>25</v>
      </c>
      <c r="C1932" s="2">
        <v>0</v>
      </c>
      <c r="D1932" s="2">
        <v>5.98</v>
      </c>
      <c r="E1932" s="2">
        <v>7.15</v>
      </c>
      <c r="F1932">
        <v>3374</v>
      </c>
      <c r="G1932" t="s">
        <v>2982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2966</v>
      </c>
      <c r="N1932">
        <v>0.36</v>
      </c>
      <c r="O1932" t="s">
        <v>33</v>
      </c>
      <c r="P1932" t="s">
        <v>53</v>
      </c>
      <c r="Q1932" t="s">
        <v>409</v>
      </c>
      <c r="R1932" t="s">
        <v>2983</v>
      </c>
      <c r="S1932">
        <v>21113</v>
      </c>
      <c r="T1932" s="1">
        <v>42184</v>
      </c>
      <c r="U1932" s="1">
        <v>42186</v>
      </c>
      <c r="V1932" s="2">
        <v>-37.048000000000002</v>
      </c>
      <c r="W1932">
        <v>5</v>
      </c>
      <c r="X1932" s="2">
        <v>34.25</v>
      </c>
      <c r="Y1932">
        <v>87474</v>
      </c>
      <c r="Z1932">
        <f t="shared" si="30"/>
        <v>171.25</v>
      </c>
    </row>
    <row r="1933" spans="1:26" x14ac:dyDescent="0.25">
      <c r="A1933">
        <v>18322</v>
      </c>
      <c r="B1933" t="s">
        <v>25</v>
      </c>
      <c r="C1933" s="2">
        <v>0.09</v>
      </c>
      <c r="D1933" s="2">
        <v>3.57</v>
      </c>
      <c r="E1933" s="2">
        <v>4.17</v>
      </c>
      <c r="F1933">
        <v>3374</v>
      </c>
      <c r="G1933" t="s">
        <v>2982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2546</v>
      </c>
      <c r="N1933">
        <v>0.59</v>
      </c>
      <c r="O1933" t="s">
        <v>33</v>
      </c>
      <c r="P1933" t="s">
        <v>53</v>
      </c>
      <c r="Q1933" t="s">
        <v>409</v>
      </c>
      <c r="R1933" t="s">
        <v>2983</v>
      </c>
      <c r="S1933">
        <v>21113</v>
      </c>
      <c r="T1933" s="1">
        <v>42184</v>
      </c>
      <c r="U1933" s="1">
        <v>42186</v>
      </c>
      <c r="V1933" s="2">
        <v>-56.887999999999998</v>
      </c>
      <c r="W1933">
        <v>9</v>
      </c>
      <c r="X1933" s="2">
        <v>31.45</v>
      </c>
      <c r="Y1933">
        <v>87474</v>
      </c>
      <c r="Z1933">
        <f t="shared" si="30"/>
        <v>283.05</v>
      </c>
    </row>
    <row r="1934" spans="1:26" x14ac:dyDescent="0.25">
      <c r="A1934">
        <v>22378</v>
      </c>
      <c r="B1934" t="s">
        <v>47</v>
      </c>
      <c r="C1934" s="2">
        <v>0</v>
      </c>
      <c r="D1934" s="2">
        <v>19.98</v>
      </c>
      <c r="E1934" s="2">
        <v>5.97</v>
      </c>
      <c r="F1934">
        <v>3379</v>
      </c>
      <c r="G1934" t="s">
        <v>2984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2985</v>
      </c>
      <c r="N1934">
        <v>0.38</v>
      </c>
      <c r="O1934" t="s">
        <v>33</v>
      </c>
      <c r="P1934" t="s">
        <v>135</v>
      </c>
      <c r="Q1934" t="s">
        <v>381</v>
      </c>
      <c r="R1934" t="s">
        <v>2986</v>
      </c>
      <c r="S1934">
        <v>30144</v>
      </c>
      <c r="T1934" s="1">
        <v>42089</v>
      </c>
      <c r="U1934" s="1">
        <v>42092</v>
      </c>
      <c r="V1934" s="2">
        <v>-189.714</v>
      </c>
      <c r="W1934">
        <v>12</v>
      </c>
      <c r="X1934" s="2">
        <v>249.07</v>
      </c>
      <c r="Y1934">
        <v>88837</v>
      </c>
      <c r="Z1934">
        <f t="shared" si="30"/>
        <v>2988.84</v>
      </c>
    </row>
    <row r="1935" spans="1:26" x14ac:dyDescent="0.25">
      <c r="A1935">
        <v>20366</v>
      </c>
      <c r="B1935" t="s">
        <v>47</v>
      </c>
      <c r="C1935" s="2">
        <v>0.05</v>
      </c>
      <c r="D1935" s="2">
        <v>3.14</v>
      </c>
      <c r="E1935" s="2">
        <v>1.92</v>
      </c>
      <c r="F1935">
        <v>3379</v>
      </c>
      <c r="G1935" t="s">
        <v>2984</v>
      </c>
      <c r="H1935" t="s">
        <v>27</v>
      </c>
      <c r="I1935" t="s">
        <v>40</v>
      </c>
      <c r="J1935" t="s">
        <v>29</v>
      </c>
      <c r="K1935" t="s">
        <v>171</v>
      </c>
      <c r="L1935" t="s">
        <v>31</v>
      </c>
      <c r="M1935" t="s">
        <v>2637</v>
      </c>
      <c r="N1935">
        <v>0.84</v>
      </c>
      <c r="O1935" t="s">
        <v>33</v>
      </c>
      <c r="P1935" t="s">
        <v>135</v>
      </c>
      <c r="Q1935" t="s">
        <v>381</v>
      </c>
      <c r="R1935" t="s">
        <v>2986</v>
      </c>
      <c r="S1935">
        <v>30144</v>
      </c>
      <c r="T1935" s="1">
        <v>42119</v>
      </c>
      <c r="U1935" s="1">
        <v>42120</v>
      </c>
      <c r="V1935" s="2">
        <v>1628.37</v>
      </c>
      <c r="W1935">
        <v>18</v>
      </c>
      <c r="X1935" s="2">
        <v>59.22</v>
      </c>
      <c r="Y1935">
        <v>88839</v>
      </c>
      <c r="Z1935">
        <f t="shared" si="30"/>
        <v>1065.96</v>
      </c>
    </row>
    <row r="1936" spans="1:26" x14ac:dyDescent="0.25">
      <c r="A1936">
        <v>23181</v>
      </c>
      <c r="B1936" t="s">
        <v>47</v>
      </c>
      <c r="C1936" s="2">
        <v>0.03</v>
      </c>
      <c r="D1936" s="2">
        <v>315.98</v>
      </c>
      <c r="E1936" s="2">
        <v>19.989999999999998</v>
      </c>
      <c r="F1936">
        <v>3380</v>
      </c>
      <c r="G1936" t="s">
        <v>2987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2787</v>
      </c>
      <c r="N1936">
        <v>0.38</v>
      </c>
      <c r="O1936" t="s">
        <v>33</v>
      </c>
      <c r="P1936" t="s">
        <v>135</v>
      </c>
      <c r="Q1936" t="s">
        <v>381</v>
      </c>
      <c r="R1936" t="s">
        <v>2988</v>
      </c>
      <c r="S1936">
        <v>30240</v>
      </c>
      <c r="T1936" s="1">
        <v>42114</v>
      </c>
      <c r="U1936" s="1">
        <v>42116</v>
      </c>
      <c r="V1936" s="2">
        <v>-4.4800000000000004</v>
      </c>
      <c r="W1936">
        <v>18</v>
      </c>
      <c r="X1936" s="2">
        <v>5572.18</v>
      </c>
      <c r="Y1936">
        <v>88838</v>
      </c>
      <c r="Z1936">
        <f t="shared" si="30"/>
        <v>100299.24</v>
      </c>
    </row>
    <row r="1937" spans="1:26" x14ac:dyDescent="0.25">
      <c r="A1937">
        <v>23182</v>
      </c>
      <c r="B1937" t="s">
        <v>47</v>
      </c>
      <c r="C1937" s="2">
        <v>0.09</v>
      </c>
      <c r="D1937" s="2">
        <v>276.2</v>
      </c>
      <c r="E1937" s="2">
        <v>24.49</v>
      </c>
      <c r="F1937">
        <v>3380</v>
      </c>
      <c r="G1937" t="s">
        <v>2987</v>
      </c>
      <c r="H1937" t="s">
        <v>49</v>
      </c>
      <c r="I1937" t="s">
        <v>40</v>
      </c>
      <c r="J1937" t="s">
        <v>41</v>
      </c>
      <c r="K1937" t="s">
        <v>42</v>
      </c>
      <c r="L1937" t="s">
        <v>231</v>
      </c>
      <c r="M1937" t="s">
        <v>432</v>
      </c>
      <c r="O1937" t="s">
        <v>33</v>
      </c>
      <c r="P1937" t="s">
        <v>135</v>
      </c>
      <c r="Q1937" t="s">
        <v>381</v>
      </c>
      <c r="R1937" t="s">
        <v>2988</v>
      </c>
      <c r="S1937">
        <v>30240</v>
      </c>
      <c r="T1937" s="1">
        <v>42114</v>
      </c>
      <c r="U1937" s="1">
        <v>42115</v>
      </c>
      <c r="V1937" s="2">
        <v>3193.2840000000001</v>
      </c>
      <c r="W1937">
        <v>11</v>
      </c>
      <c r="X1937" s="2">
        <v>2941.42</v>
      </c>
      <c r="Y1937">
        <v>88838</v>
      </c>
      <c r="Z1937">
        <f t="shared" si="30"/>
        <v>32355.620000000003</v>
      </c>
    </row>
    <row r="1938" spans="1:26" x14ac:dyDescent="0.25">
      <c r="A1938">
        <v>23183</v>
      </c>
      <c r="B1938" t="s">
        <v>47</v>
      </c>
      <c r="C1938" s="2">
        <v>0.03</v>
      </c>
      <c r="D1938" s="2">
        <v>63.94</v>
      </c>
      <c r="E1938" s="2">
        <v>14.48</v>
      </c>
      <c r="F1938">
        <v>3380</v>
      </c>
      <c r="G1938" t="s">
        <v>2987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512</v>
      </c>
      <c r="N1938">
        <v>0.46</v>
      </c>
      <c r="O1938" t="s">
        <v>33</v>
      </c>
      <c r="P1938" t="s">
        <v>135</v>
      </c>
      <c r="Q1938" t="s">
        <v>381</v>
      </c>
      <c r="R1938" t="s">
        <v>2988</v>
      </c>
      <c r="S1938">
        <v>30240</v>
      </c>
      <c r="T1938" s="1">
        <v>42114</v>
      </c>
      <c r="U1938" s="1">
        <v>42115</v>
      </c>
      <c r="V1938" s="2">
        <v>43.691699999999997</v>
      </c>
      <c r="W1938">
        <v>8</v>
      </c>
      <c r="X1938" s="2">
        <v>522.46</v>
      </c>
      <c r="Y1938">
        <v>88838</v>
      </c>
      <c r="Z1938">
        <f t="shared" si="30"/>
        <v>4179.68</v>
      </c>
    </row>
    <row r="1939" spans="1:26" x14ac:dyDescent="0.25">
      <c r="A1939">
        <v>24161</v>
      </c>
      <c r="B1939" t="s">
        <v>37</v>
      </c>
      <c r="C1939" s="2">
        <v>0.05</v>
      </c>
      <c r="D1939" s="2">
        <v>11.97</v>
      </c>
      <c r="E1939" s="2">
        <v>5.81</v>
      </c>
      <c r="F1939">
        <v>3381</v>
      </c>
      <c r="G1939" t="s">
        <v>2989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2990</v>
      </c>
      <c r="N1939">
        <v>0.6</v>
      </c>
      <c r="O1939" t="s">
        <v>33</v>
      </c>
      <c r="P1939" t="s">
        <v>135</v>
      </c>
      <c r="Q1939" t="s">
        <v>381</v>
      </c>
      <c r="R1939" t="s">
        <v>2991</v>
      </c>
      <c r="S1939">
        <v>31204</v>
      </c>
      <c r="T1939" s="1">
        <v>42086</v>
      </c>
      <c r="U1939" s="1">
        <v>42088</v>
      </c>
      <c r="V1939" s="2">
        <v>349.05930000000001</v>
      </c>
      <c r="W1939">
        <v>2</v>
      </c>
      <c r="X1939" s="2">
        <v>25.31</v>
      </c>
      <c r="Y1939">
        <v>88836</v>
      </c>
      <c r="Z1939">
        <f t="shared" si="30"/>
        <v>50.62</v>
      </c>
    </row>
    <row r="1940" spans="1:26" x14ac:dyDescent="0.25">
      <c r="A1940">
        <v>25841</v>
      </c>
      <c r="B1940" t="s">
        <v>56</v>
      </c>
      <c r="C1940" s="2">
        <v>0.02</v>
      </c>
      <c r="D1940" s="2">
        <v>28.53</v>
      </c>
      <c r="E1940" s="2">
        <v>1.49</v>
      </c>
      <c r="F1940">
        <v>3381</v>
      </c>
      <c r="G1940" t="s">
        <v>2989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326</v>
      </c>
      <c r="N1940">
        <v>0.38</v>
      </c>
      <c r="O1940" t="s">
        <v>33</v>
      </c>
      <c r="P1940" t="s">
        <v>135</v>
      </c>
      <c r="Q1940" t="s">
        <v>381</v>
      </c>
      <c r="R1940" t="s">
        <v>2991</v>
      </c>
      <c r="S1940">
        <v>31204</v>
      </c>
      <c r="T1940" s="1">
        <v>42123</v>
      </c>
      <c r="U1940" s="1">
        <v>42123</v>
      </c>
      <c r="V1940" s="2">
        <v>1.992</v>
      </c>
      <c r="W1940">
        <v>18</v>
      </c>
      <c r="X1940" s="2">
        <v>513.33000000000004</v>
      </c>
      <c r="Y1940">
        <v>88840</v>
      </c>
      <c r="Z1940">
        <f t="shared" si="30"/>
        <v>9239.94</v>
      </c>
    </row>
    <row r="1941" spans="1:26" x14ac:dyDescent="0.25">
      <c r="A1941">
        <v>22341</v>
      </c>
      <c r="B1941" t="s">
        <v>106</v>
      </c>
      <c r="C1941" s="2">
        <v>0.04</v>
      </c>
      <c r="D1941" s="2">
        <v>2.98</v>
      </c>
      <c r="E1941" s="2">
        <v>2.0299999999999998</v>
      </c>
      <c r="F1941">
        <v>3385</v>
      </c>
      <c r="G1941" t="s">
        <v>2992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2993</v>
      </c>
      <c r="N1941">
        <v>0.56999999999999995</v>
      </c>
      <c r="O1941" t="s">
        <v>33</v>
      </c>
      <c r="P1941" t="s">
        <v>53</v>
      </c>
      <c r="Q1941" t="s">
        <v>152</v>
      </c>
      <c r="R1941" t="s">
        <v>2994</v>
      </c>
      <c r="S1941">
        <v>44512</v>
      </c>
      <c r="T1941" s="1">
        <v>42020</v>
      </c>
      <c r="U1941" s="1">
        <v>42020</v>
      </c>
      <c r="V1941" s="2">
        <v>-22.01</v>
      </c>
      <c r="W1941">
        <v>5</v>
      </c>
      <c r="X1941" s="2">
        <v>15.7</v>
      </c>
      <c r="Y1941">
        <v>88745</v>
      </c>
      <c r="Z1941">
        <f t="shared" si="30"/>
        <v>78.5</v>
      </c>
    </row>
    <row r="1942" spans="1:26" x14ac:dyDescent="0.25">
      <c r="A1942">
        <v>22342</v>
      </c>
      <c r="B1942" t="s">
        <v>106</v>
      </c>
      <c r="C1942" s="2">
        <v>0.01</v>
      </c>
      <c r="D1942" s="2">
        <v>125.99</v>
      </c>
      <c r="E1942" s="2">
        <v>8.99</v>
      </c>
      <c r="F1942">
        <v>3385</v>
      </c>
      <c r="G1942" t="s">
        <v>2992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459</v>
      </c>
      <c r="N1942">
        <v>0.59</v>
      </c>
      <c r="O1942" t="s">
        <v>33</v>
      </c>
      <c r="P1942" t="s">
        <v>53</v>
      </c>
      <c r="Q1942" t="s">
        <v>152</v>
      </c>
      <c r="R1942" t="s">
        <v>2994</v>
      </c>
      <c r="S1942">
        <v>44512</v>
      </c>
      <c r="T1942" s="1">
        <v>42020</v>
      </c>
      <c r="U1942" s="1">
        <v>42025</v>
      </c>
      <c r="V1942" s="2">
        <v>426.46032000000002</v>
      </c>
      <c r="W1942">
        <v>6</v>
      </c>
      <c r="X1942" s="2">
        <v>680.65</v>
      </c>
      <c r="Y1942">
        <v>88745</v>
      </c>
      <c r="Z1942">
        <f t="shared" si="30"/>
        <v>4083.8999999999996</v>
      </c>
    </row>
    <row r="1943" spans="1:26" x14ac:dyDescent="0.25">
      <c r="A1943">
        <v>23190</v>
      </c>
      <c r="B1943" t="s">
        <v>47</v>
      </c>
      <c r="C1943" s="2">
        <v>0</v>
      </c>
      <c r="D1943" s="2">
        <v>2.61</v>
      </c>
      <c r="E1943" s="2">
        <v>0.5</v>
      </c>
      <c r="F1943">
        <v>3386</v>
      </c>
      <c r="G1943" t="s">
        <v>2995</v>
      </c>
      <c r="H1943" t="s">
        <v>49</v>
      </c>
      <c r="I1943" t="s">
        <v>28</v>
      </c>
      <c r="J1943" t="s">
        <v>29</v>
      </c>
      <c r="K1943" t="s">
        <v>133</v>
      </c>
      <c r="L1943" t="s">
        <v>59</v>
      </c>
      <c r="M1943" t="s">
        <v>1127</v>
      </c>
      <c r="N1943">
        <v>0.39</v>
      </c>
      <c r="O1943" t="s">
        <v>33</v>
      </c>
      <c r="P1943" t="s">
        <v>53</v>
      </c>
      <c r="Q1943" t="s">
        <v>152</v>
      </c>
      <c r="R1943" t="s">
        <v>607</v>
      </c>
      <c r="S1943">
        <v>43402</v>
      </c>
      <c r="T1943" s="1">
        <v>42127</v>
      </c>
      <c r="U1943" s="1">
        <v>42129</v>
      </c>
      <c r="V1943" s="2">
        <v>19.554600000000001</v>
      </c>
      <c r="W1943">
        <v>10</v>
      </c>
      <c r="X1943" s="2">
        <v>28.34</v>
      </c>
      <c r="Y1943">
        <v>88746</v>
      </c>
      <c r="Z1943">
        <f t="shared" si="30"/>
        <v>283.39999999999998</v>
      </c>
    </row>
    <row r="1944" spans="1:26" x14ac:dyDescent="0.25">
      <c r="A1944">
        <v>23191</v>
      </c>
      <c r="B1944" t="s">
        <v>47</v>
      </c>
      <c r="C1944" s="2">
        <v>0.04</v>
      </c>
      <c r="D1944" s="2">
        <v>25.38</v>
      </c>
      <c r="E1944" s="2">
        <v>8.99</v>
      </c>
      <c r="F1944">
        <v>3386</v>
      </c>
      <c r="G1944" t="s">
        <v>2995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753</v>
      </c>
      <c r="N1944">
        <v>0.5</v>
      </c>
      <c r="O1944" t="s">
        <v>33</v>
      </c>
      <c r="P1944" t="s">
        <v>53</v>
      </c>
      <c r="Q1944" t="s">
        <v>152</v>
      </c>
      <c r="R1944" t="s">
        <v>607</v>
      </c>
      <c r="S1944">
        <v>43402</v>
      </c>
      <c r="T1944" s="1">
        <v>42127</v>
      </c>
      <c r="U1944" s="1">
        <v>42130</v>
      </c>
      <c r="V1944" s="2">
        <v>152.482</v>
      </c>
      <c r="W1944">
        <v>35</v>
      </c>
      <c r="X1944" s="2">
        <v>861.3</v>
      </c>
      <c r="Y1944">
        <v>88746</v>
      </c>
      <c r="Z1944">
        <f t="shared" si="30"/>
        <v>30145.5</v>
      </c>
    </row>
    <row r="1945" spans="1:26" x14ac:dyDescent="0.25">
      <c r="A1945">
        <v>19464</v>
      </c>
      <c r="B1945" t="s">
        <v>37</v>
      </c>
      <c r="C1945" s="2">
        <v>0.03</v>
      </c>
      <c r="D1945" s="2">
        <v>95.99</v>
      </c>
      <c r="E1945" s="2">
        <v>35</v>
      </c>
      <c r="F1945">
        <v>3388</v>
      </c>
      <c r="G1945" t="s">
        <v>2996</v>
      </c>
      <c r="H1945" t="s">
        <v>49</v>
      </c>
      <c r="I1945" t="s">
        <v>28</v>
      </c>
      <c r="J1945" t="s">
        <v>29</v>
      </c>
      <c r="K1945" t="s">
        <v>139</v>
      </c>
      <c r="L1945" t="s">
        <v>231</v>
      </c>
      <c r="M1945" t="s">
        <v>2093</v>
      </c>
      <c r="O1945" t="s">
        <v>33</v>
      </c>
      <c r="P1945" t="s">
        <v>34</v>
      </c>
      <c r="Q1945" t="s">
        <v>45</v>
      </c>
      <c r="R1945" t="s">
        <v>387</v>
      </c>
      <c r="S1945">
        <v>94533</v>
      </c>
      <c r="T1945" s="1">
        <v>42135</v>
      </c>
      <c r="U1945" s="1">
        <v>42136</v>
      </c>
      <c r="V1945" s="2">
        <v>67.012</v>
      </c>
      <c r="W1945">
        <v>9</v>
      </c>
      <c r="X1945" s="2">
        <v>894.64</v>
      </c>
      <c r="Y1945">
        <v>90154</v>
      </c>
      <c r="Z1945">
        <f t="shared" si="30"/>
        <v>8051.76</v>
      </c>
    </row>
    <row r="1946" spans="1:26" x14ac:dyDescent="0.25">
      <c r="A1946">
        <v>18640</v>
      </c>
      <c r="B1946" t="s">
        <v>56</v>
      </c>
      <c r="C1946" s="2">
        <v>0.08</v>
      </c>
      <c r="D1946" s="2">
        <v>125.99</v>
      </c>
      <c r="E1946" s="2">
        <v>7.69</v>
      </c>
      <c r="F1946">
        <v>3393</v>
      </c>
      <c r="G1946" t="s">
        <v>2997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2998</v>
      </c>
      <c r="S1946">
        <v>99163</v>
      </c>
      <c r="T1946" s="1">
        <v>42123</v>
      </c>
      <c r="U1946" s="1">
        <v>42124</v>
      </c>
      <c r="V1946" s="2">
        <v>374.625</v>
      </c>
      <c r="W1946">
        <v>7</v>
      </c>
      <c r="X1946" s="2">
        <v>710.36</v>
      </c>
      <c r="Y1946">
        <v>87908</v>
      </c>
      <c r="Z1946">
        <f t="shared" si="30"/>
        <v>4972.5200000000004</v>
      </c>
    </row>
    <row r="1947" spans="1:26" x14ac:dyDescent="0.25">
      <c r="A1947">
        <v>19635</v>
      </c>
      <c r="B1947" t="s">
        <v>47</v>
      </c>
      <c r="C1947" s="2">
        <v>0.08</v>
      </c>
      <c r="D1947" s="2">
        <v>4.4800000000000004</v>
      </c>
      <c r="E1947" s="2">
        <v>2.5</v>
      </c>
      <c r="F1947">
        <v>3393</v>
      </c>
      <c r="G1947" t="s">
        <v>2997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1119</v>
      </c>
      <c r="N1947">
        <v>0.37</v>
      </c>
      <c r="O1947" t="s">
        <v>33</v>
      </c>
      <c r="P1947" t="s">
        <v>34</v>
      </c>
      <c r="Q1947" t="s">
        <v>35</v>
      </c>
      <c r="R1947" t="s">
        <v>2998</v>
      </c>
      <c r="S1947">
        <v>99163</v>
      </c>
      <c r="T1947" s="1">
        <v>42049</v>
      </c>
      <c r="U1947" s="1">
        <v>42050</v>
      </c>
      <c r="V1947" s="2">
        <v>-3.2448000000000001</v>
      </c>
      <c r="W1947">
        <v>19</v>
      </c>
      <c r="X1947" s="2">
        <v>80.2</v>
      </c>
      <c r="Y1947">
        <v>87909</v>
      </c>
      <c r="Z1947">
        <f t="shared" si="30"/>
        <v>1523.8</v>
      </c>
    </row>
    <row r="1948" spans="1:26" x14ac:dyDescent="0.25">
      <c r="A1948">
        <v>20624</v>
      </c>
      <c r="B1948" t="s">
        <v>106</v>
      </c>
      <c r="C1948" s="2">
        <v>0</v>
      </c>
      <c r="D1948" s="2">
        <v>1270.99</v>
      </c>
      <c r="E1948" s="2">
        <v>19.989999999999998</v>
      </c>
      <c r="F1948">
        <v>3397</v>
      </c>
      <c r="G1948" t="s">
        <v>2999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624</v>
      </c>
      <c r="N1948">
        <v>0.35</v>
      </c>
      <c r="O1948" t="s">
        <v>33</v>
      </c>
      <c r="P1948" t="s">
        <v>61</v>
      </c>
      <c r="Q1948" t="s">
        <v>175</v>
      </c>
      <c r="R1948" t="s">
        <v>1347</v>
      </c>
      <c r="S1948">
        <v>61832</v>
      </c>
      <c r="T1948" s="1">
        <v>42162</v>
      </c>
      <c r="U1948" s="1">
        <v>42164</v>
      </c>
      <c r="V1948" s="2">
        <v>6384.4389000000001</v>
      </c>
      <c r="W1948">
        <v>7</v>
      </c>
      <c r="X1948" s="2">
        <v>9252.81</v>
      </c>
      <c r="Y1948">
        <v>87535</v>
      </c>
      <c r="Z1948">
        <f t="shared" si="30"/>
        <v>64769.67</v>
      </c>
    </row>
    <row r="1949" spans="1:26" x14ac:dyDescent="0.25">
      <c r="A1949">
        <v>19842</v>
      </c>
      <c r="B1949" t="s">
        <v>25</v>
      </c>
      <c r="C1949" s="2">
        <v>0.01</v>
      </c>
      <c r="D1949" s="2">
        <v>10.9</v>
      </c>
      <c r="E1949" s="2">
        <v>7.46</v>
      </c>
      <c r="F1949">
        <v>3397</v>
      </c>
      <c r="G1949" t="s">
        <v>2999</v>
      </c>
      <c r="H1949" t="s">
        <v>49</v>
      </c>
      <c r="I1949" t="s">
        <v>58</v>
      </c>
      <c r="J1949" t="s">
        <v>29</v>
      </c>
      <c r="K1949" t="s">
        <v>139</v>
      </c>
      <c r="L1949" t="s">
        <v>59</v>
      </c>
      <c r="M1949" t="s">
        <v>3000</v>
      </c>
      <c r="N1949">
        <v>0.59</v>
      </c>
      <c r="O1949" t="s">
        <v>33</v>
      </c>
      <c r="P1949" t="s">
        <v>61</v>
      </c>
      <c r="Q1949" t="s">
        <v>175</v>
      </c>
      <c r="R1949" t="s">
        <v>1347</v>
      </c>
      <c r="S1949">
        <v>61832</v>
      </c>
      <c r="T1949" s="1">
        <v>42074</v>
      </c>
      <c r="U1949" s="1">
        <v>42075</v>
      </c>
      <c r="V1949" s="2">
        <v>-116.76</v>
      </c>
      <c r="W1949">
        <v>18</v>
      </c>
      <c r="X1949" s="2">
        <v>207.31</v>
      </c>
      <c r="Y1949">
        <v>87536</v>
      </c>
      <c r="Z1949">
        <f t="shared" si="30"/>
        <v>3731.58</v>
      </c>
    </row>
    <row r="1950" spans="1:26" x14ac:dyDescent="0.25">
      <c r="A1950">
        <v>19843</v>
      </c>
      <c r="B1950" t="s">
        <v>25</v>
      </c>
      <c r="C1950" s="2">
        <v>0.1</v>
      </c>
      <c r="D1950" s="2">
        <v>7.99</v>
      </c>
      <c r="E1950" s="2">
        <v>5.03</v>
      </c>
      <c r="F1950">
        <v>3397</v>
      </c>
      <c r="G1950" t="s">
        <v>2999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424</v>
      </c>
      <c r="N1950">
        <v>0.6</v>
      </c>
      <c r="O1950" t="s">
        <v>33</v>
      </c>
      <c r="P1950" t="s">
        <v>61</v>
      </c>
      <c r="Q1950" t="s">
        <v>175</v>
      </c>
      <c r="R1950" t="s">
        <v>1347</v>
      </c>
      <c r="S1950">
        <v>61832</v>
      </c>
      <c r="T1950" s="1">
        <v>42074</v>
      </c>
      <c r="U1950" s="1">
        <v>42075</v>
      </c>
      <c r="V1950" s="2">
        <v>-160.952</v>
      </c>
      <c r="W1950">
        <v>22</v>
      </c>
      <c r="X1950" s="2">
        <v>143.12</v>
      </c>
      <c r="Y1950">
        <v>87536</v>
      </c>
      <c r="Z1950">
        <f t="shared" si="30"/>
        <v>3148.6400000000003</v>
      </c>
    </row>
    <row r="1951" spans="1:26" x14ac:dyDescent="0.25">
      <c r="A1951">
        <v>26208</v>
      </c>
      <c r="B1951" t="s">
        <v>37</v>
      </c>
      <c r="C1951" s="2">
        <v>0.08</v>
      </c>
      <c r="D1951" s="2">
        <v>11.97</v>
      </c>
      <c r="E1951" s="2">
        <v>5.81</v>
      </c>
      <c r="F1951">
        <v>3399</v>
      </c>
      <c r="G1951" t="s">
        <v>3001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2990</v>
      </c>
      <c r="N1951">
        <v>0.6</v>
      </c>
      <c r="O1951" t="s">
        <v>33</v>
      </c>
      <c r="P1951" t="s">
        <v>61</v>
      </c>
      <c r="Q1951" t="s">
        <v>175</v>
      </c>
      <c r="R1951" t="s">
        <v>1509</v>
      </c>
      <c r="S1951">
        <v>60016</v>
      </c>
      <c r="T1951" s="1">
        <v>42092</v>
      </c>
      <c r="U1951" s="1">
        <v>42094</v>
      </c>
      <c r="V1951" s="2">
        <v>-41.87</v>
      </c>
      <c r="W1951">
        <v>5</v>
      </c>
      <c r="X1951" s="2">
        <v>59.98</v>
      </c>
      <c r="Y1951">
        <v>87534</v>
      </c>
      <c r="Z1951">
        <f t="shared" si="30"/>
        <v>299.89999999999998</v>
      </c>
    </row>
    <row r="1952" spans="1:26" x14ac:dyDescent="0.25">
      <c r="A1952">
        <v>24911</v>
      </c>
      <c r="B1952" t="s">
        <v>56</v>
      </c>
      <c r="C1952" s="2">
        <v>0.1</v>
      </c>
      <c r="D1952" s="2">
        <v>9.3800000000000008</v>
      </c>
      <c r="E1952" s="2">
        <v>4.93</v>
      </c>
      <c r="F1952">
        <v>3400</v>
      </c>
      <c r="G1952" t="s">
        <v>3002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3003</v>
      </c>
      <c r="N1952">
        <v>0.56999999999999995</v>
      </c>
      <c r="O1952" t="s">
        <v>33</v>
      </c>
      <c r="P1952" t="s">
        <v>53</v>
      </c>
      <c r="Q1952" t="s">
        <v>641</v>
      </c>
      <c r="R1952" t="s">
        <v>3004</v>
      </c>
      <c r="S1952">
        <v>26554</v>
      </c>
      <c r="T1952" s="1">
        <v>42098</v>
      </c>
      <c r="U1952" s="1">
        <v>42098</v>
      </c>
      <c r="V1952" s="2">
        <v>-24.7104</v>
      </c>
      <c r="W1952">
        <v>15</v>
      </c>
      <c r="X1952" s="2">
        <v>135.78</v>
      </c>
      <c r="Y1952">
        <v>87537</v>
      </c>
      <c r="Z1952">
        <f t="shared" si="30"/>
        <v>2036.7</v>
      </c>
    </row>
    <row r="1953" spans="1:26" x14ac:dyDescent="0.25">
      <c r="A1953">
        <v>25914</v>
      </c>
      <c r="B1953" t="s">
        <v>25</v>
      </c>
      <c r="C1953" s="2">
        <v>0.1</v>
      </c>
      <c r="D1953" s="2">
        <v>105.98</v>
      </c>
      <c r="E1953" s="2">
        <v>13.99</v>
      </c>
      <c r="F1953">
        <v>3403</v>
      </c>
      <c r="G1953" t="s">
        <v>3005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3006</v>
      </c>
      <c r="N1953">
        <v>0.65</v>
      </c>
      <c r="O1953" t="s">
        <v>33</v>
      </c>
      <c r="P1953" t="s">
        <v>34</v>
      </c>
      <c r="Q1953" t="s">
        <v>2208</v>
      </c>
      <c r="R1953" t="s">
        <v>3007</v>
      </c>
      <c r="S1953">
        <v>82001</v>
      </c>
      <c r="T1953" s="1">
        <v>42043</v>
      </c>
      <c r="U1953" s="1">
        <v>42046</v>
      </c>
      <c r="V1953" s="2">
        <v>349.48500000000001</v>
      </c>
      <c r="W1953">
        <v>5</v>
      </c>
      <c r="X1953" s="2">
        <v>506.5</v>
      </c>
      <c r="Y1953">
        <v>87530</v>
      </c>
      <c r="Z1953">
        <f t="shared" si="30"/>
        <v>2532.5</v>
      </c>
    </row>
    <row r="1954" spans="1:26" x14ac:dyDescent="0.25">
      <c r="X1954">
        <f ca="1">AVERAGE(X2:X1954)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192"/>
  <sheetViews>
    <sheetView topLeftCell="A60" zoomScale="77" zoomScaleNormal="77" workbookViewId="0">
      <selection activeCell="K65" sqref="K65"/>
    </sheetView>
  </sheetViews>
  <sheetFormatPr defaultRowHeight="15" x14ac:dyDescent="0.25"/>
  <cols>
    <col min="1" max="1" width="34" customWidth="1"/>
    <col min="2" max="2" width="12.140625" customWidth="1"/>
    <col min="3" max="3" width="16.28515625" customWidth="1"/>
    <col min="4" max="5" width="11.28515625" customWidth="1"/>
    <col min="6" max="6" width="20.7109375" customWidth="1"/>
    <col min="7" max="7" width="15" customWidth="1"/>
    <col min="8" max="8" width="10.140625" customWidth="1"/>
    <col min="9" max="9" width="6.5703125" customWidth="1"/>
    <col min="10" max="10" width="17.28515625" customWidth="1"/>
    <col min="11" max="11" width="15.5703125" customWidth="1"/>
    <col min="12" max="12" width="13.140625" customWidth="1"/>
    <col min="13" max="13" width="16.28515625" customWidth="1"/>
    <col min="14" max="14" width="14.5703125" customWidth="1"/>
    <col min="15" max="15" width="11.140625" customWidth="1"/>
    <col min="16" max="16" width="11.28515625" customWidth="1"/>
    <col min="17" max="17" width="6.7109375" customWidth="1"/>
    <col min="18" max="18" width="13.140625" customWidth="1"/>
    <col min="19" max="19" width="16.28515625" customWidth="1"/>
    <col min="20" max="20" width="18" bestFit="1" customWidth="1"/>
    <col min="21" max="21" width="17.28515625" customWidth="1"/>
    <col min="22" max="22" width="10" customWidth="1"/>
    <col min="23" max="23" width="14.28515625" customWidth="1"/>
    <col min="24" max="24" width="16.42578125" customWidth="1"/>
    <col min="25" max="25" width="29" bestFit="1" customWidth="1"/>
    <col min="26" max="26" width="10.140625" customWidth="1"/>
    <col min="27" max="27" width="8" customWidth="1"/>
    <col min="28" max="28" width="9" customWidth="1"/>
    <col min="29" max="29" width="18.7109375" customWidth="1"/>
    <col min="30" max="30" width="13.28515625" customWidth="1"/>
    <col min="31" max="31" width="27.5703125" customWidth="1"/>
    <col min="32" max="32" width="21.85546875" bestFit="1" customWidth="1"/>
    <col min="33" max="33" width="19.5703125" customWidth="1"/>
    <col min="34" max="34" width="20.7109375" customWidth="1"/>
    <col min="35" max="35" width="15" customWidth="1"/>
    <col min="36" max="36" width="15.5703125" customWidth="1"/>
    <col min="37" max="37" width="30.28515625" bestFit="1" customWidth="1"/>
    <col min="38" max="38" width="16.140625" bestFit="1" customWidth="1"/>
    <col min="39" max="39" width="11.28515625" bestFit="1" customWidth="1"/>
  </cols>
  <sheetData>
    <row r="4" spans="1:39" x14ac:dyDescent="0.25">
      <c r="A4" s="3" t="s">
        <v>3009</v>
      </c>
      <c r="B4" t="s">
        <v>3011</v>
      </c>
    </row>
    <row r="5" spans="1:39" x14ac:dyDescent="0.25">
      <c r="A5" s="4" t="s">
        <v>41</v>
      </c>
      <c r="B5" s="6">
        <v>660704.31000000006</v>
      </c>
    </row>
    <row r="6" spans="1:39" x14ac:dyDescent="0.25">
      <c r="A6" s="5" t="s">
        <v>187</v>
      </c>
      <c r="B6" s="6">
        <v>107796.09</v>
      </c>
    </row>
    <row r="7" spans="1:39" x14ac:dyDescent="0.25">
      <c r="A7" s="5" t="s">
        <v>42</v>
      </c>
      <c r="B7" s="6">
        <v>261072.73</v>
      </c>
    </row>
    <row r="8" spans="1:39" x14ac:dyDescent="0.25">
      <c r="A8" s="5" t="s">
        <v>50</v>
      </c>
      <c r="B8" s="6">
        <v>98070.91</v>
      </c>
      <c r="R8" s="3" t="s">
        <v>3011</v>
      </c>
      <c r="S8" s="3" t="s">
        <v>3012</v>
      </c>
    </row>
    <row r="9" spans="1:39" x14ac:dyDescent="0.25">
      <c r="A9" s="5" t="s">
        <v>150</v>
      </c>
      <c r="B9" s="6">
        <v>193764.58000000005</v>
      </c>
      <c r="L9" s="3" t="s">
        <v>3008</v>
      </c>
      <c r="M9" t="s">
        <v>3013</v>
      </c>
      <c r="S9" t="s">
        <v>41</v>
      </c>
      <c r="W9" t="s">
        <v>3014</v>
      </c>
      <c r="X9" t="s">
        <v>29</v>
      </c>
      <c r="AG9" t="s">
        <v>3015</v>
      </c>
      <c r="AH9" t="s">
        <v>77</v>
      </c>
      <c r="AL9" t="s">
        <v>3016</v>
      </c>
      <c r="AM9" t="s">
        <v>3010</v>
      </c>
    </row>
    <row r="10" spans="1:39" x14ac:dyDescent="0.25">
      <c r="A10" s="4" t="s">
        <v>29</v>
      </c>
      <c r="B10" s="6">
        <v>551368.61999999976</v>
      </c>
      <c r="R10" s="3" t="s">
        <v>3009</v>
      </c>
      <c r="S10" t="s">
        <v>187</v>
      </c>
      <c r="T10" t="s">
        <v>42</v>
      </c>
      <c r="U10" t="s">
        <v>50</v>
      </c>
      <c r="V10" t="s">
        <v>150</v>
      </c>
      <c r="X10" t="s">
        <v>252</v>
      </c>
      <c r="Y10" t="s">
        <v>109</v>
      </c>
      <c r="Z10" t="s">
        <v>69</v>
      </c>
      <c r="AA10" t="s">
        <v>133</v>
      </c>
      <c r="AB10" t="s">
        <v>93</v>
      </c>
      <c r="AC10" t="s">
        <v>30</v>
      </c>
      <c r="AD10" t="s">
        <v>66</v>
      </c>
      <c r="AE10" t="s">
        <v>171</v>
      </c>
      <c r="AF10" t="s">
        <v>139</v>
      </c>
      <c r="AH10" t="s">
        <v>177</v>
      </c>
      <c r="AI10" t="s">
        <v>580</v>
      </c>
      <c r="AJ10" t="s">
        <v>85</v>
      </c>
      <c r="AK10" t="s">
        <v>78</v>
      </c>
    </row>
    <row r="11" spans="1:39" x14ac:dyDescent="0.25">
      <c r="A11" s="5" t="s">
        <v>252</v>
      </c>
      <c r="B11" s="6">
        <v>82201.149999999965</v>
      </c>
      <c r="L11" s="3" t="s">
        <v>3011</v>
      </c>
      <c r="M11" s="3" t="s">
        <v>3012</v>
      </c>
      <c r="R11" s="4" t="s">
        <v>61</v>
      </c>
      <c r="S11" s="6">
        <v>35972.909999999996</v>
      </c>
      <c r="T11" s="6">
        <v>62480.869999999995</v>
      </c>
      <c r="U11" s="6">
        <v>20111.059999999998</v>
      </c>
      <c r="V11" s="6">
        <v>36729.380000000005</v>
      </c>
      <c r="W11" s="6">
        <v>155294.22</v>
      </c>
      <c r="X11" s="6">
        <v>22109.390000000007</v>
      </c>
      <c r="Y11" s="6">
        <v>27021.32</v>
      </c>
      <c r="Z11" s="6">
        <v>3038.6000000000004</v>
      </c>
      <c r="AA11" s="6">
        <v>1539.2300000000002</v>
      </c>
      <c r="AB11" s="6">
        <v>14866.09</v>
      </c>
      <c r="AC11" s="6">
        <v>3195.9899999999993</v>
      </c>
      <c r="AD11" s="6">
        <v>498.58</v>
      </c>
      <c r="AE11" s="6">
        <v>5034.3000000000011</v>
      </c>
      <c r="AF11" s="6">
        <v>37816.469999999994</v>
      </c>
      <c r="AG11" s="6">
        <v>115119.97</v>
      </c>
      <c r="AH11" s="6">
        <v>17039.97</v>
      </c>
      <c r="AI11" s="6">
        <v>31070.37</v>
      </c>
      <c r="AJ11" s="6">
        <v>72485.45</v>
      </c>
      <c r="AK11" s="6">
        <v>57274.720000000001</v>
      </c>
      <c r="AL11" s="6">
        <v>177870.51</v>
      </c>
      <c r="AM11" s="6">
        <v>448284.70000000007</v>
      </c>
    </row>
    <row r="12" spans="1:39" x14ac:dyDescent="0.25">
      <c r="A12" s="5" t="s">
        <v>109</v>
      </c>
      <c r="B12" s="6">
        <v>185928.13999999987</v>
      </c>
      <c r="L12" s="3" t="s">
        <v>3009</v>
      </c>
      <c r="M12" t="s">
        <v>41</v>
      </c>
      <c r="N12" t="s">
        <v>29</v>
      </c>
      <c r="O12" t="s">
        <v>77</v>
      </c>
      <c r="P12" t="s">
        <v>3010</v>
      </c>
      <c r="R12" s="4" t="s">
        <v>53</v>
      </c>
      <c r="S12" s="6">
        <v>31224.720000000001</v>
      </c>
      <c r="T12" s="6">
        <v>103124.49</v>
      </c>
      <c r="U12" s="6">
        <v>25846.09</v>
      </c>
      <c r="V12" s="6">
        <v>36136.469999999994</v>
      </c>
      <c r="W12" s="6">
        <v>196331.77000000002</v>
      </c>
      <c r="X12" s="6">
        <v>38173.03</v>
      </c>
      <c r="Y12" s="6">
        <v>96620.900000000009</v>
      </c>
      <c r="Z12" s="6">
        <v>3673.9399999999996</v>
      </c>
      <c r="AA12" s="6">
        <v>1175.8800000000001</v>
      </c>
      <c r="AB12" s="6">
        <v>18985.720000000005</v>
      </c>
      <c r="AC12" s="6">
        <v>8616.8400000000038</v>
      </c>
      <c r="AD12" s="6">
        <v>510.49000000000007</v>
      </c>
      <c r="AE12" s="6">
        <v>621.95999999999992</v>
      </c>
      <c r="AF12" s="6">
        <v>43405.650000000009</v>
      </c>
      <c r="AG12" s="6">
        <v>211784.40999999997</v>
      </c>
      <c r="AH12" s="6">
        <v>35562.94</v>
      </c>
      <c r="AI12" s="6">
        <v>38920.01</v>
      </c>
      <c r="AJ12" s="6">
        <v>69840</v>
      </c>
      <c r="AK12" s="6">
        <v>39732.359999999986</v>
      </c>
      <c r="AL12" s="6">
        <v>184055.31</v>
      </c>
      <c r="AM12" s="6">
        <v>592171.49000000011</v>
      </c>
    </row>
    <row r="13" spans="1:39" x14ac:dyDescent="0.25">
      <c r="A13" s="5" t="s">
        <v>69</v>
      </c>
      <c r="B13" s="6">
        <v>10479.769999999999</v>
      </c>
      <c r="L13" s="7">
        <v>42005</v>
      </c>
      <c r="M13" s="6">
        <v>723.54</v>
      </c>
      <c r="N13" s="6">
        <v>329.87</v>
      </c>
      <c r="O13" s="6">
        <v>7806.6500000000005</v>
      </c>
      <c r="P13" s="6">
        <v>8860.0600000000013</v>
      </c>
      <c r="R13" s="4" t="s">
        <v>135</v>
      </c>
      <c r="S13" s="6">
        <v>13093.150000000001</v>
      </c>
      <c r="T13" s="6">
        <v>39970.610000000008</v>
      </c>
      <c r="U13" s="6">
        <v>18583.899999999998</v>
      </c>
      <c r="V13" s="6">
        <v>41419.509999999995</v>
      </c>
      <c r="W13" s="6">
        <v>113067.17</v>
      </c>
      <c r="X13" s="6">
        <v>18375.390000000003</v>
      </c>
      <c r="Y13" s="6">
        <v>43702.17</v>
      </c>
      <c r="Z13" s="6">
        <v>2903.26</v>
      </c>
      <c r="AA13" s="6">
        <v>1309.1600000000001</v>
      </c>
      <c r="AB13" s="6">
        <v>11666.739999999998</v>
      </c>
      <c r="AC13" s="6">
        <v>6536.1499999999987</v>
      </c>
      <c r="AD13" s="6">
        <v>306.57</v>
      </c>
      <c r="AE13" s="6">
        <v>665.33999999999992</v>
      </c>
      <c r="AF13" s="6">
        <v>27101.56</v>
      </c>
      <c r="AG13" s="6">
        <v>112566.34</v>
      </c>
      <c r="AH13" s="6">
        <v>28010.850000000002</v>
      </c>
      <c r="AI13" s="6">
        <v>9905.9699999999993</v>
      </c>
      <c r="AJ13" s="6">
        <v>48510.400000000009</v>
      </c>
      <c r="AK13" s="6">
        <v>45044.39</v>
      </c>
      <c r="AL13" s="6">
        <v>131471.60999999999</v>
      </c>
      <c r="AM13" s="6">
        <v>357105.12</v>
      </c>
    </row>
    <row r="14" spans="1:39" x14ac:dyDescent="0.25">
      <c r="A14" s="5" t="s">
        <v>133</v>
      </c>
      <c r="B14" s="6">
        <v>4914.8199999999988</v>
      </c>
      <c r="L14" s="7">
        <v>42006</v>
      </c>
      <c r="M14" s="6">
        <v>13033.740000000002</v>
      </c>
      <c r="N14" s="6">
        <v>7378.4300000000012</v>
      </c>
      <c r="O14" s="6">
        <v>3907.75</v>
      </c>
      <c r="P14" s="6">
        <v>24319.920000000002</v>
      </c>
      <c r="R14" s="4" t="s">
        <v>34</v>
      </c>
      <c r="S14" s="6">
        <v>27505.31</v>
      </c>
      <c r="T14" s="6">
        <v>55496.759999999995</v>
      </c>
      <c r="U14" s="6">
        <v>33529.86</v>
      </c>
      <c r="V14" s="6">
        <v>79479.22</v>
      </c>
      <c r="W14" s="6">
        <v>196011.15</v>
      </c>
      <c r="X14" s="6">
        <v>3543.34</v>
      </c>
      <c r="Y14" s="6">
        <v>18583.749999999996</v>
      </c>
      <c r="Z14" s="6">
        <v>863.97</v>
      </c>
      <c r="AA14" s="6">
        <v>890.55000000000007</v>
      </c>
      <c r="AB14" s="6">
        <v>10295.369999999999</v>
      </c>
      <c r="AC14" s="6">
        <v>7722.6300000000019</v>
      </c>
      <c r="AD14" s="6">
        <v>473.78999999999996</v>
      </c>
      <c r="AE14" s="6">
        <v>430.58000000000004</v>
      </c>
      <c r="AF14" s="6">
        <v>69093.919999999998</v>
      </c>
      <c r="AG14" s="6">
        <v>111897.9</v>
      </c>
      <c r="AH14" s="6">
        <v>15647.539999999997</v>
      </c>
      <c r="AI14" s="6">
        <v>19173.13</v>
      </c>
      <c r="AJ14" s="6">
        <v>127333.83</v>
      </c>
      <c r="AK14" s="6">
        <v>56713.02</v>
      </c>
      <c r="AL14" s="6">
        <v>218867.52</v>
      </c>
      <c r="AM14" s="6">
        <v>526776.56999999995</v>
      </c>
    </row>
    <row r="15" spans="1:39" x14ac:dyDescent="0.25">
      <c r="A15" s="5" t="s">
        <v>93</v>
      </c>
      <c r="B15" s="6">
        <v>55813.920000000042</v>
      </c>
      <c r="L15" s="7">
        <v>42007</v>
      </c>
      <c r="M15" s="6">
        <v>1676.7199999999998</v>
      </c>
      <c r="N15" s="6">
        <v>969.14</v>
      </c>
      <c r="O15" s="6">
        <v>7488.5599999999995</v>
      </c>
      <c r="P15" s="6">
        <v>10134.419999999998</v>
      </c>
      <c r="R15" s="4" t="s">
        <v>3010</v>
      </c>
      <c r="S15" s="6">
        <v>107796.09</v>
      </c>
      <c r="T15" s="6">
        <v>261072.72999999998</v>
      </c>
      <c r="U15" s="6">
        <v>98070.909999999989</v>
      </c>
      <c r="V15" s="6">
        <v>193764.58000000002</v>
      </c>
      <c r="W15" s="6">
        <v>660704.30999999994</v>
      </c>
      <c r="X15" s="6">
        <v>82201.150000000009</v>
      </c>
      <c r="Y15" s="6">
        <v>185928.14</v>
      </c>
      <c r="Z15" s="6">
        <v>10479.769999999999</v>
      </c>
      <c r="AA15" s="6">
        <v>4914.8200000000006</v>
      </c>
      <c r="AB15" s="6">
        <v>55813.919999999998</v>
      </c>
      <c r="AC15" s="6">
        <v>26071.610000000004</v>
      </c>
      <c r="AD15" s="6">
        <v>1789.43</v>
      </c>
      <c r="AE15" s="6">
        <v>6752.1800000000012</v>
      </c>
      <c r="AF15" s="6">
        <v>177417.59999999998</v>
      </c>
      <c r="AG15" s="6">
        <v>551368.62</v>
      </c>
      <c r="AH15" s="6">
        <v>96261.3</v>
      </c>
      <c r="AI15" s="6">
        <v>99069.48000000001</v>
      </c>
      <c r="AJ15" s="6">
        <v>318169.68000000005</v>
      </c>
      <c r="AK15" s="6">
        <v>198764.48999999996</v>
      </c>
      <c r="AL15" s="6">
        <v>712264.95</v>
      </c>
      <c r="AM15" s="6">
        <v>1924337.88</v>
      </c>
    </row>
    <row r="16" spans="1:39" x14ac:dyDescent="0.25">
      <c r="A16" s="5" t="s">
        <v>30</v>
      </c>
      <c r="B16" s="6">
        <v>26071.61</v>
      </c>
      <c r="L16" s="7">
        <v>42008</v>
      </c>
      <c r="M16" s="6">
        <v>1549.18</v>
      </c>
      <c r="N16" s="6">
        <v>3114.4</v>
      </c>
      <c r="O16" s="6">
        <v>807</v>
      </c>
      <c r="P16" s="6">
        <v>5470.58</v>
      </c>
    </row>
    <row r="17" spans="1:16" x14ac:dyDescent="0.25">
      <c r="A17" s="5" t="s">
        <v>66</v>
      </c>
      <c r="B17" s="6">
        <v>1789.43</v>
      </c>
      <c r="L17" s="7">
        <v>42009</v>
      </c>
      <c r="M17" s="6">
        <v>3454.0599999999995</v>
      </c>
      <c r="N17" s="6">
        <v>14015.17</v>
      </c>
      <c r="O17" s="6">
        <v>2691.2799999999997</v>
      </c>
      <c r="P17" s="6">
        <v>20160.509999999998</v>
      </c>
    </row>
    <row r="18" spans="1:16" x14ac:dyDescent="0.25">
      <c r="A18" s="5" t="s">
        <v>171</v>
      </c>
      <c r="B18" s="6">
        <v>6752.1800000000021</v>
      </c>
      <c r="L18" s="7">
        <v>42010</v>
      </c>
      <c r="M18" s="6">
        <v>8576.52</v>
      </c>
      <c r="N18" s="6">
        <v>2188.5</v>
      </c>
      <c r="O18" s="6">
        <v>358.39</v>
      </c>
      <c r="P18" s="6">
        <v>11123.41</v>
      </c>
    </row>
    <row r="19" spans="1:16" x14ac:dyDescent="0.25">
      <c r="A19" s="5" t="s">
        <v>139</v>
      </c>
      <c r="B19" s="6">
        <v>177417.59999999992</v>
      </c>
      <c r="L19" s="7">
        <v>42011</v>
      </c>
      <c r="M19" s="6">
        <v>2008.45</v>
      </c>
      <c r="N19" s="6">
        <v>471.01</v>
      </c>
      <c r="O19" s="6">
        <v>14072.359999999999</v>
      </c>
      <c r="P19" s="6">
        <v>16551.82</v>
      </c>
    </row>
    <row r="20" spans="1:16" x14ac:dyDescent="0.25">
      <c r="A20" s="4" t="s">
        <v>77</v>
      </c>
      <c r="B20" s="6">
        <v>712264.95000000007</v>
      </c>
      <c r="L20" s="7">
        <v>42012</v>
      </c>
      <c r="M20" s="6">
        <v>25.26</v>
      </c>
      <c r="N20" s="6">
        <v>5363.579999999999</v>
      </c>
      <c r="O20" s="6"/>
      <c r="P20" s="6">
        <v>5388.8399999999992</v>
      </c>
    </row>
    <row r="21" spans="1:16" x14ac:dyDescent="0.25">
      <c r="A21" s="5" t="s">
        <v>177</v>
      </c>
      <c r="B21" s="6">
        <v>96261.300000000032</v>
      </c>
      <c r="L21" s="7">
        <v>42013</v>
      </c>
      <c r="M21" s="6"/>
      <c r="N21" s="6">
        <v>5485.97</v>
      </c>
      <c r="O21" s="6">
        <v>8440.86</v>
      </c>
      <c r="P21" s="6">
        <v>13926.830000000002</v>
      </c>
    </row>
    <row r="22" spans="1:16" x14ac:dyDescent="0.25">
      <c r="A22" s="5" t="s">
        <v>580</v>
      </c>
      <c r="B22" s="6">
        <v>99069.479999999981</v>
      </c>
      <c r="L22" s="7">
        <v>42014</v>
      </c>
      <c r="M22" s="6">
        <v>800.41</v>
      </c>
      <c r="N22" s="6">
        <v>278.83999999999997</v>
      </c>
      <c r="O22" s="6">
        <v>10441.120000000001</v>
      </c>
      <c r="P22" s="6">
        <v>11520.37</v>
      </c>
    </row>
    <row r="23" spans="1:16" x14ac:dyDescent="0.25">
      <c r="A23" s="5" t="s">
        <v>85</v>
      </c>
      <c r="B23" s="6">
        <v>318169.67999999993</v>
      </c>
      <c r="L23" s="7">
        <v>42015</v>
      </c>
      <c r="M23" s="6">
        <v>249.08999999999997</v>
      </c>
      <c r="N23" s="6">
        <v>133.28</v>
      </c>
      <c r="O23" s="6">
        <v>2972.75</v>
      </c>
      <c r="P23" s="6">
        <v>3355.12</v>
      </c>
    </row>
    <row r="24" spans="1:16" x14ac:dyDescent="0.25">
      <c r="A24" s="5" t="s">
        <v>78</v>
      </c>
      <c r="B24" s="6">
        <v>198764.49000000008</v>
      </c>
      <c r="L24" s="7">
        <v>42016</v>
      </c>
      <c r="M24" s="6">
        <v>8681.43</v>
      </c>
      <c r="N24" s="6">
        <v>587.62</v>
      </c>
      <c r="O24" s="6">
        <v>5613.62</v>
      </c>
      <c r="P24" s="6">
        <v>14882.670000000002</v>
      </c>
    </row>
    <row r="25" spans="1:16" x14ac:dyDescent="0.25">
      <c r="A25" s="4" t="s">
        <v>3010</v>
      </c>
      <c r="B25" s="6">
        <v>1924337.88</v>
      </c>
      <c r="L25" s="7">
        <v>42017</v>
      </c>
      <c r="M25" s="6">
        <v>9.23</v>
      </c>
      <c r="N25" s="6">
        <v>262.56</v>
      </c>
      <c r="O25" s="6">
        <v>1500.25</v>
      </c>
      <c r="P25" s="6">
        <v>1772.04</v>
      </c>
    </row>
    <row r="26" spans="1:16" x14ac:dyDescent="0.25">
      <c r="L26" s="7">
        <v>42018</v>
      </c>
      <c r="M26" s="6">
        <v>2104.8200000000002</v>
      </c>
      <c r="N26" s="6">
        <v>2532.4399999999996</v>
      </c>
      <c r="O26" s="6">
        <v>562.92999999999995</v>
      </c>
      <c r="P26" s="6">
        <v>5200.1900000000005</v>
      </c>
    </row>
    <row r="27" spans="1:16" x14ac:dyDescent="0.25">
      <c r="L27" s="7">
        <v>42019</v>
      </c>
      <c r="M27" s="6">
        <v>48.25</v>
      </c>
      <c r="N27" s="6">
        <v>798.53</v>
      </c>
      <c r="O27" s="6">
        <v>3983.17</v>
      </c>
      <c r="P27" s="6">
        <v>4829.95</v>
      </c>
    </row>
    <row r="28" spans="1:16" x14ac:dyDescent="0.25">
      <c r="L28" s="7">
        <v>42020</v>
      </c>
      <c r="M28" s="6">
        <v>1515.3600000000001</v>
      </c>
      <c r="N28" s="6">
        <v>741.93000000000006</v>
      </c>
      <c r="O28" s="6">
        <v>1706.8400000000001</v>
      </c>
      <c r="P28" s="6">
        <v>3964.13</v>
      </c>
    </row>
    <row r="29" spans="1:16" x14ac:dyDescent="0.25">
      <c r="L29" s="7">
        <v>42021</v>
      </c>
      <c r="M29" s="6">
        <v>26.01</v>
      </c>
      <c r="N29" s="6">
        <v>3940.6100000000006</v>
      </c>
      <c r="O29" s="6">
        <v>2701.07</v>
      </c>
      <c r="P29" s="6">
        <v>6667.6900000000005</v>
      </c>
    </row>
    <row r="30" spans="1:16" x14ac:dyDescent="0.25">
      <c r="L30" s="7">
        <v>42022</v>
      </c>
      <c r="M30" s="6">
        <v>2130.04</v>
      </c>
      <c r="N30" s="6">
        <v>774.54</v>
      </c>
      <c r="O30" s="6">
        <v>82.8</v>
      </c>
      <c r="P30" s="6">
        <v>2987.38</v>
      </c>
    </row>
    <row r="31" spans="1:16" x14ac:dyDescent="0.25">
      <c r="L31" s="7">
        <v>42023</v>
      </c>
      <c r="M31" s="6"/>
      <c r="N31" s="6">
        <v>1037.3499999999999</v>
      </c>
      <c r="O31" s="6">
        <v>615.54</v>
      </c>
      <c r="P31" s="6">
        <v>1652.8899999999999</v>
      </c>
    </row>
    <row r="32" spans="1:16" x14ac:dyDescent="0.25">
      <c r="L32" s="7">
        <v>42024</v>
      </c>
      <c r="M32" s="6"/>
      <c r="N32" s="6">
        <v>3431.5300000000007</v>
      </c>
      <c r="O32" s="6">
        <v>2677.48</v>
      </c>
      <c r="P32" s="6">
        <v>6109.01</v>
      </c>
    </row>
    <row r="33" spans="12:16" x14ac:dyDescent="0.25">
      <c r="L33" s="7">
        <v>42025</v>
      </c>
      <c r="M33" s="6">
        <v>4090.6900000000005</v>
      </c>
      <c r="N33" s="6">
        <v>3026.31</v>
      </c>
      <c r="O33" s="6">
        <v>5164.51</v>
      </c>
      <c r="P33" s="6">
        <v>12281.51</v>
      </c>
    </row>
    <row r="34" spans="12:16" x14ac:dyDescent="0.25">
      <c r="L34" s="7">
        <v>42026</v>
      </c>
      <c r="M34" s="6">
        <v>10534.09</v>
      </c>
      <c r="N34" s="6">
        <v>568.04</v>
      </c>
      <c r="O34" s="6">
        <v>2411.5100000000002</v>
      </c>
      <c r="P34" s="6">
        <v>13513.640000000001</v>
      </c>
    </row>
    <row r="35" spans="12:16" x14ac:dyDescent="0.25">
      <c r="L35" s="7">
        <v>42027</v>
      </c>
      <c r="M35" s="6"/>
      <c r="N35" s="6">
        <v>381.68</v>
      </c>
      <c r="O35" s="6">
        <v>384.22</v>
      </c>
      <c r="P35" s="6">
        <v>765.90000000000009</v>
      </c>
    </row>
    <row r="36" spans="12:16" x14ac:dyDescent="0.25">
      <c r="L36" s="7">
        <v>42028</v>
      </c>
      <c r="M36" s="6">
        <v>8428.89</v>
      </c>
      <c r="N36" s="6">
        <v>1848.87</v>
      </c>
      <c r="O36" s="6">
        <v>6527.7099999999991</v>
      </c>
      <c r="P36" s="6">
        <v>16805.469999999998</v>
      </c>
    </row>
    <row r="37" spans="12:16" x14ac:dyDescent="0.25">
      <c r="L37" s="7">
        <v>42029</v>
      </c>
      <c r="M37" s="6">
        <v>2.77</v>
      </c>
      <c r="N37" s="6">
        <v>33.82</v>
      </c>
      <c r="O37" s="6">
        <v>408.66</v>
      </c>
      <c r="P37" s="6">
        <v>445.25</v>
      </c>
    </row>
    <row r="38" spans="12:16" x14ac:dyDescent="0.25">
      <c r="L38" s="7">
        <v>42030</v>
      </c>
      <c r="M38" s="6">
        <v>1899.7299999999998</v>
      </c>
      <c r="N38" s="6">
        <v>1260.6499999999999</v>
      </c>
      <c r="O38" s="6">
        <v>3875.3499999999995</v>
      </c>
      <c r="P38" s="6">
        <v>7035.73</v>
      </c>
    </row>
    <row r="39" spans="12:16" x14ac:dyDescent="0.25">
      <c r="L39" s="7">
        <v>42031</v>
      </c>
      <c r="M39" s="6">
        <v>10.23</v>
      </c>
      <c r="N39" s="6">
        <v>1693.24</v>
      </c>
      <c r="O39" s="6">
        <v>2332.92</v>
      </c>
      <c r="P39" s="6">
        <v>4036.3900000000003</v>
      </c>
    </row>
    <row r="40" spans="12:16" x14ac:dyDescent="0.25">
      <c r="L40" s="7">
        <v>42032</v>
      </c>
      <c r="M40" s="6">
        <v>1794.88</v>
      </c>
      <c r="N40" s="6">
        <v>1555.2199999999998</v>
      </c>
      <c r="O40" s="6">
        <v>3267.55</v>
      </c>
      <c r="P40" s="6">
        <v>6617.65</v>
      </c>
    </row>
    <row r="41" spans="12:16" x14ac:dyDescent="0.25">
      <c r="L41" s="7">
        <v>42033</v>
      </c>
      <c r="M41" s="6">
        <v>6760.53</v>
      </c>
      <c r="N41" s="6">
        <v>4375.2299999999996</v>
      </c>
      <c r="O41" s="6">
        <v>530.85</v>
      </c>
      <c r="P41" s="6">
        <v>11666.609999999999</v>
      </c>
    </row>
    <row r="42" spans="12:16" x14ac:dyDescent="0.25">
      <c r="L42" s="7">
        <v>42034</v>
      </c>
      <c r="M42" s="6">
        <v>620.34999999999991</v>
      </c>
      <c r="N42" s="6">
        <v>172.96</v>
      </c>
      <c r="O42" s="6">
        <v>4482.92</v>
      </c>
      <c r="P42" s="6">
        <v>5276.23</v>
      </c>
    </row>
    <row r="43" spans="12:16" x14ac:dyDescent="0.25">
      <c r="L43" s="7">
        <v>42035</v>
      </c>
      <c r="M43" s="6">
        <v>6812.92</v>
      </c>
      <c r="N43" s="6">
        <v>242.39999999999998</v>
      </c>
      <c r="O43" s="6">
        <v>10389.39</v>
      </c>
      <c r="P43" s="6">
        <v>17444.71</v>
      </c>
    </row>
    <row r="44" spans="12:16" x14ac:dyDescent="0.25">
      <c r="L44" s="7">
        <v>42036</v>
      </c>
      <c r="M44" s="6">
        <v>4935.22</v>
      </c>
      <c r="N44" s="6">
        <v>379.16999999999996</v>
      </c>
      <c r="O44" s="6">
        <v>2214.6400000000003</v>
      </c>
      <c r="P44" s="6">
        <v>7529.0300000000007</v>
      </c>
    </row>
    <row r="45" spans="12:16" x14ac:dyDescent="0.25">
      <c r="L45" s="7">
        <v>42037</v>
      </c>
      <c r="M45" s="6">
        <v>8870.93</v>
      </c>
      <c r="N45" s="6">
        <v>387.66</v>
      </c>
      <c r="O45" s="6">
        <v>11432.43</v>
      </c>
      <c r="P45" s="6">
        <v>20691.02</v>
      </c>
    </row>
    <row r="46" spans="12:16" x14ac:dyDescent="0.25">
      <c r="L46" s="7">
        <v>42038</v>
      </c>
      <c r="M46" s="6">
        <v>2084.16</v>
      </c>
      <c r="N46" s="6"/>
      <c r="O46" s="6">
        <v>1401.55</v>
      </c>
      <c r="P46" s="6">
        <v>3485.71</v>
      </c>
    </row>
    <row r="47" spans="12:16" x14ac:dyDescent="0.25">
      <c r="L47" s="7">
        <v>42039</v>
      </c>
      <c r="M47" s="6">
        <v>1727.1200000000001</v>
      </c>
      <c r="N47" s="6">
        <v>1025.44</v>
      </c>
      <c r="O47" s="6">
        <v>6141.35</v>
      </c>
      <c r="P47" s="6">
        <v>8893.91</v>
      </c>
    </row>
    <row r="48" spans="12:16" x14ac:dyDescent="0.25">
      <c r="L48" s="7">
        <v>42040</v>
      </c>
      <c r="M48" s="6">
        <v>7990.28</v>
      </c>
      <c r="N48" s="6">
        <v>3869.66</v>
      </c>
      <c r="O48" s="6">
        <v>6046.21</v>
      </c>
      <c r="P48" s="6">
        <v>17906.149999999998</v>
      </c>
    </row>
    <row r="49" spans="12:16" x14ac:dyDescent="0.25">
      <c r="L49" s="7">
        <v>42041</v>
      </c>
      <c r="M49" s="6">
        <v>3840</v>
      </c>
      <c r="N49" s="6">
        <v>707.79</v>
      </c>
      <c r="O49" s="6">
        <v>4601.4799999999996</v>
      </c>
      <c r="P49" s="6">
        <v>9149.27</v>
      </c>
    </row>
    <row r="50" spans="12:16" x14ac:dyDescent="0.25">
      <c r="L50" s="7">
        <v>42042</v>
      </c>
      <c r="M50" s="6"/>
      <c r="N50" s="6">
        <v>2879.23</v>
      </c>
      <c r="O50" s="6">
        <v>1841.06</v>
      </c>
      <c r="P50" s="6">
        <v>4720.29</v>
      </c>
    </row>
    <row r="51" spans="12:16" x14ac:dyDescent="0.25">
      <c r="L51" s="7">
        <v>42043</v>
      </c>
      <c r="M51" s="6">
        <v>506.5</v>
      </c>
      <c r="N51" s="6"/>
      <c r="O51" s="6">
        <v>897.54</v>
      </c>
      <c r="P51" s="6">
        <v>1404.04</v>
      </c>
    </row>
    <row r="52" spans="12:16" x14ac:dyDescent="0.25">
      <c r="L52" s="7">
        <v>42044</v>
      </c>
      <c r="M52" s="6"/>
      <c r="N52" s="6">
        <v>178.74</v>
      </c>
      <c r="O52" s="6">
        <v>391.4</v>
      </c>
      <c r="P52" s="6">
        <v>570.14</v>
      </c>
    </row>
    <row r="53" spans="12:16" x14ac:dyDescent="0.25">
      <c r="L53" s="7">
        <v>42045</v>
      </c>
      <c r="M53" s="6">
        <v>6005.95</v>
      </c>
      <c r="N53" s="6">
        <v>2182.29</v>
      </c>
      <c r="O53" s="6">
        <v>4972.34</v>
      </c>
      <c r="P53" s="6">
        <v>13160.58</v>
      </c>
    </row>
    <row r="54" spans="12:16" x14ac:dyDescent="0.25">
      <c r="L54" s="7">
        <v>42046</v>
      </c>
      <c r="M54" s="6">
        <v>15697.84</v>
      </c>
      <c r="N54" s="6">
        <v>152.26999999999998</v>
      </c>
      <c r="O54" s="6">
        <v>8006.8200000000006</v>
      </c>
      <c r="P54" s="6">
        <v>23856.93</v>
      </c>
    </row>
    <row r="55" spans="12:16" x14ac:dyDescent="0.25">
      <c r="L55" s="7">
        <v>42047</v>
      </c>
      <c r="M55" s="6">
        <v>251.06</v>
      </c>
      <c r="N55" s="6">
        <v>1106.4100000000001</v>
      </c>
      <c r="O55" s="6">
        <v>1876.4299999999998</v>
      </c>
      <c r="P55" s="6">
        <v>3233.8999999999996</v>
      </c>
    </row>
    <row r="56" spans="12:16" x14ac:dyDescent="0.25">
      <c r="L56" s="7">
        <v>42048</v>
      </c>
      <c r="M56" s="6">
        <v>13053.94</v>
      </c>
      <c r="N56" s="6">
        <v>132.20999999999998</v>
      </c>
      <c r="O56" s="6">
        <v>904.25</v>
      </c>
      <c r="P56" s="6">
        <v>14090.4</v>
      </c>
    </row>
    <row r="57" spans="12:16" x14ac:dyDescent="0.25">
      <c r="L57" s="7">
        <v>42049</v>
      </c>
      <c r="M57" s="6">
        <v>12448.470000000001</v>
      </c>
      <c r="N57" s="6">
        <v>1105.81</v>
      </c>
      <c r="O57" s="6">
        <v>8847.2000000000007</v>
      </c>
      <c r="P57" s="6">
        <v>22401.480000000003</v>
      </c>
    </row>
    <row r="58" spans="12:16" x14ac:dyDescent="0.25">
      <c r="L58" s="7">
        <v>42050</v>
      </c>
      <c r="M58" s="6">
        <v>14656.359999999999</v>
      </c>
      <c r="N58" s="6">
        <v>1113.23</v>
      </c>
      <c r="O58" s="6">
        <v>763.58999999999992</v>
      </c>
      <c r="P58" s="6">
        <v>16533.179999999997</v>
      </c>
    </row>
    <row r="59" spans="12:16" x14ac:dyDescent="0.25">
      <c r="L59" s="7">
        <v>42051</v>
      </c>
      <c r="M59" s="6">
        <v>2152.37</v>
      </c>
      <c r="N59" s="6">
        <v>1191.71</v>
      </c>
      <c r="O59" s="6">
        <v>12776.49</v>
      </c>
      <c r="P59" s="6">
        <v>16120.57</v>
      </c>
    </row>
    <row r="60" spans="12:16" x14ac:dyDescent="0.25">
      <c r="L60" s="7">
        <v>42052</v>
      </c>
      <c r="M60" s="6">
        <v>182.33</v>
      </c>
      <c r="N60" s="6">
        <v>894.06</v>
      </c>
      <c r="O60" s="6"/>
      <c r="P60" s="6">
        <v>1076.3899999999999</v>
      </c>
    </row>
    <row r="61" spans="12:16" x14ac:dyDescent="0.25">
      <c r="L61" s="7">
        <v>42053</v>
      </c>
      <c r="M61" s="6">
        <v>15118.839999999998</v>
      </c>
      <c r="N61" s="6">
        <v>847.74</v>
      </c>
      <c r="O61" s="6">
        <v>12297.75</v>
      </c>
      <c r="P61" s="6">
        <v>28264.329999999998</v>
      </c>
    </row>
    <row r="62" spans="12:16" x14ac:dyDescent="0.25">
      <c r="L62" s="7">
        <v>42054</v>
      </c>
      <c r="M62" s="6"/>
      <c r="N62" s="6">
        <v>730.2</v>
      </c>
      <c r="O62" s="6">
        <v>1946.0300000000002</v>
      </c>
      <c r="P62" s="6">
        <v>2676.2300000000005</v>
      </c>
    </row>
    <row r="63" spans="12:16" x14ac:dyDescent="0.25">
      <c r="L63" s="7">
        <v>42055</v>
      </c>
      <c r="M63" s="6">
        <v>681.18000000000006</v>
      </c>
      <c r="N63" s="6">
        <v>5297.06</v>
      </c>
      <c r="O63" s="6"/>
      <c r="P63" s="6">
        <v>5978.2400000000007</v>
      </c>
    </row>
    <row r="64" spans="12:16" x14ac:dyDescent="0.25">
      <c r="L64" s="7">
        <v>42056</v>
      </c>
      <c r="M64" s="6">
        <v>1608.11</v>
      </c>
      <c r="N64" s="6">
        <v>129.72</v>
      </c>
      <c r="O64" s="6">
        <v>55026.709999999992</v>
      </c>
      <c r="P64" s="6">
        <v>56764.539999999994</v>
      </c>
    </row>
    <row r="65" spans="11:16" x14ac:dyDescent="0.25">
      <c r="K65" t="s">
        <v>3017</v>
      </c>
      <c r="L65" s="7">
        <v>42057</v>
      </c>
      <c r="M65" s="6">
        <v>4719.8600000000006</v>
      </c>
      <c r="N65" s="6">
        <v>1935.48</v>
      </c>
      <c r="O65" s="6">
        <v>4809.4299999999994</v>
      </c>
      <c r="P65" s="6">
        <v>11464.77</v>
      </c>
    </row>
    <row r="66" spans="11:16" x14ac:dyDescent="0.25">
      <c r="L66" s="7">
        <v>42058</v>
      </c>
      <c r="M66" s="6">
        <v>3009.5699999999997</v>
      </c>
      <c r="N66" s="6">
        <v>441.39</v>
      </c>
      <c r="O66" s="6">
        <v>3361.6800000000003</v>
      </c>
      <c r="P66" s="6">
        <v>6812.6399999999994</v>
      </c>
    </row>
    <row r="67" spans="11:16" x14ac:dyDescent="0.25">
      <c r="L67" s="7">
        <v>42059</v>
      </c>
      <c r="M67" s="6">
        <v>3965.47</v>
      </c>
      <c r="N67" s="6">
        <v>911.58999999999992</v>
      </c>
      <c r="O67" s="6">
        <v>882.93</v>
      </c>
      <c r="P67" s="6">
        <v>5759.99</v>
      </c>
    </row>
    <row r="68" spans="11:16" x14ac:dyDescent="0.25">
      <c r="L68" s="7">
        <v>42060</v>
      </c>
      <c r="M68" s="6">
        <v>593</v>
      </c>
      <c r="N68" s="6">
        <v>10150.640000000001</v>
      </c>
      <c r="O68" s="6">
        <v>8.49</v>
      </c>
      <c r="P68" s="6">
        <v>10752.130000000001</v>
      </c>
    </row>
    <row r="69" spans="11:16" x14ac:dyDescent="0.25">
      <c r="L69" s="7">
        <v>42061</v>
      </c>
      <c r="M69" s="6">
        <v>255.83</v>
      </c>
      <c r="N69" s="6">
        <v>1448.37</v>
      </c>
      <c r="O69" s="6">
        <v>3721.2999999999997</v>
      </c>
      <c r="P69" s="6">
        <v>5425.5</v>
      </c>
    </row>
    <row r="70" spans="11:16" x14ac:dyDescent="0.25">
      <c r="L70" s="7">
        <v>42062</v>
      </c>
      <c r="M70" s="6">
        <v>411.64</v>
      </c>
      <c r="N70" s="6">
        <v>1778.4899999999998</v>
      </c>
      <c r="O70" s="6">
        <v>1347.37</v>
      </c>
      <c r="P70" s="6">
        <v>3537.4999999999995</v>
      </c>
    </row>
    <row r="71" spans="11:16" x14ac:dyDescent="0.25">
      <c r="L71" s="7">
        <v>42063</v>
      </c>
      <c r="M71" s="6">
        <v>929.09000000000015</v>
      </c>
      <c r="N71" s="6">
        <v>1280.3499999999999</v>
      </c>
      <c r="O71" s="6">
        <v>1633.17</v>
      </c>
      <c r="P71" s="6">
        <v>3842.61</v>
      </c>
    </row>
    <row r="72" spans="11:16" x14ac:dyDescent="0.25">
      <c r="L72" s="7">
        <v>42064</v>
      </c>
      <c r="M72" s="6">
        <v>2143.8300000000004</v>
      </c>
      <c r="N72" s="6">
        <v>624.78</v>
      </c>
      <c r="O72" s="6">
        <v>11370.36</v>
      </c>
      <c r="P72" s="6">
        <v>14138.970000000001</v>
      </c>
    </row>
    <row r="73" spans="11:16" x14ac:dyDescent="0.25">
      <c r="L73" s="7">
        <v>42065</v>
      </c>
      <c r="M73" s="6">
        <v>5285.5599999999995</v>
      </c>
      <c r="N73" s="6">
        <v>4</v>
      </c>
      <c r="O73" s="6">
        <v>1118.3899999999999</v>
      </c>
      <c r="P73" s="6">
        <v>6407.9499999999989</v>
      </c>
    </row>
    <row r="74" spans="11:16" x14ac:dyDescent="0.25">
      <c r="L74" s="7">
        <v>42066</v>
      </c>
      <c r="M74" s="6">
        <v>19.670000000000002</v>
      </c>
      <c r="N74" s="6">
        <v>243.11</v>
      </c>
      <c r="O74" s="6"/>
      <c r="P74" s="6">
        <v>262.78000000000003</v>
      </c>
    </row>
    <row r="75" spans="11:16" x14ac:dyDescent="0.25">
      <c r="L75" s="7">
        <v>42067</v>
      </c>
      <c r="M75" s="6">
        <v>1282.6100000000001</v>
      </c>
      <c r="N75" s="6">
        <v>6668.81</v>
      </c>
      <c r="O75" s="6">
        <v>6787.2900000000009</v>
      </c>
      <c r="P75" s="6">
        <v>14738.710000000001</v>
      </c>
    </row>
    <row r="76" spans="11:16" x14ac:dyDescent="0.25">
      <c r="L76" s="7">
        <v>42068</v>
      </c>
      <c r="M76" s="6">
        <v>4696.9400000000005</v>
      </c>
      <c r="N76" s="6">
        <v>571.20000000000005</v>
      </c>
      <c r="O76" s="6">
        <v>3883.55</v>
      </c>
      <c r="P76" s="6">
        <v>9151.69</v>
      </c>
    </row>
    <row r="77" spans="11:16" x14ac:dyDescent="0.25">
      <c r="L77" s="7">
        <v>42069</v>
      </c>
      <c r="M77" s="6">
        <v>5199.92</v>
      </c>
      <c r="N77" s="6">
        <v>937.31000000000006</v>
      </c>
      <c r="O77" s="6"/>
      <c r="P77" s="6">
        <v>6137.2300000000005</v>
      </c>
    </row>
    <row r="78" spans="11:16" x14ac:dyDescent="0.25">
      <c r="L78" s="7">
        <v>42070</v>
      </c>
      <c r="M78" s="6"/>
      <c r="N78" s="6">
        <v>356.5</v>
      </c>
      <c r="O78" s="6">
        <v>2354.54</v>
      </c>
      <c r="P78" s="6">
        <v>2711.04</v>
      </c>
    </row>
    <row r="79" spans="11:16" x14ac:dyDescent="0.25">
      <c r="L79" s="7">
        <v>42071</v>
      </c>
      <c r="M79" s="6">
        <v>1708.88</v>
      </c>
      <c r="N79" s="6">
        <v>912.24</v>
      </c>
      <c r="O79" s="6">
        <v>2752.3999999999996</v>
      </c>
      <c r="P79" s="6">
        <v>5373.5199999999995</v>
      </c>
    </row>
    <row r="80" spans="11:16" x14ac:dyDescent="0.25">
      <c r="L80" s="7">
        <v>42072</v>
      </c>
      <c r="M80" s="6">
        <v>220.92</v>
      </c>
      <c r="N80" s="6">
        <v>73.290000000000006</v>
      </c>
      <c r="O80" s="6">
        <v>2961.32</v>
      </c>
      <c r="P80" s="6">
        <v>3255.53</v>
      </c>
    </row>
    <row r="81" spans="12:16" x14ac:dyDescent="0.25">
      <c r="L81" s="7">
        <v>42073</v>
      </c>
      <c r="M81" s="6"/>
      <c r="N81" s="6">
        <v>295.77</v>
      </c>
      <c r="O81" s="6">
        <v>7126.02</v>
      </c>
      <c r="P81" s="6">
        <v>7421.7900000000009</v>
      </c>
    </row>
    <row r="82" spans="12:16" x14ac:dyDescent="0.25">
      <c r="L82" s="7">
        <v>42074</v>
      </c>
      <c r="M82" s="6">
        <v>171.72</v>
      </c>
      <c r="N82" s="6">
        <v>1820.7800000000002</v>
      </c>
      <c r="O82" s="6">
        <v>626.87</v>
      </c>
      <c r="P82" s="6">
        <v>2619.3700000000003</v>
      </c>
    </row>
    <row r="83" spans="12:16" x14ac:dyDescent="0.25">
      <c r="L83" s="7">
        <v>42075</v>
      </c>
      <c r="M83" s="6">
        <v>193.59</v>
      </c>
      <c r="N83" s="6">
        <v>660.32999999999993</v>
      </c>
      <c r="O83" s="6">
        <v>5825.74</v>
      </c>
      <c r="P83" s="6">
        <v>6679.66</v>
      </c>
    </row>
    <row r="84" spans="12:16" x14ac:dyDescent="0.25">
      <c r="L84" s="7">
        <v>42076</v>
      </c>
      <c r="M84" s="6"/>
      <c r="N84" s="6">
        <v>5224.9500000000007</v>
      </c>
      <c r="O84" s="6">
        <v>1423.54</v>
      </c>
      <c r="P84" s="6">
        <v>6648.4900000000007</v>
      </c>
    </row>
    <row r="85" spans="12:16" x14ac:dyDescent="0.25">
      <c r="L85" s="7">
        <v>42077</v>
      </c>
      <c r="M85" s="6">
        <v>22917.510000000002</v>
      </c>
      <c r="N85" s="6">
        <v>421.00999999999993</v>
      </c>
      <c r="O85" s="6">
        <v>2444.5700000000002</v>
      </c>
      <c r="P85" s="6">
        <v>25783.09</v>
      </c>
    </row>
    <row r="86" spans="12:16" x14ac:dyDescent="0.25">
      <c r="L86" s="7">
        <v>42078</v>
      </c>
      <c r="M86" s="6">
        <v>2630.34</v>
      </c>
      <c r="N86" s="6">
        <v>146.77999999999997</v>
      </c>
      <c r="O86" s="6">
        <v>166.7</v>
      </c>
      <c r="P86" s="6">
        <v>2943.8199999999997</v>
      </c>
    </row>
    <row r="87" spans="12:16" x14ac:dyDescent="0.25">
      <c r="L87" s="7">
        <v>42079</v>
      </c>
      <c r="M87" s="6">
        <v>729.97</v>
      </c>
      <c r="N87" s="6">
        <v>10118.099999999999</v>
      </c>
      <c r="O87" s="6">
        <v>5880.46</v>
      </c>
      <c r="P87" s="6">
        <v>16728.53</v>
      </c>
    </row>
    <row r="88" spans="12:16" x14ac:dyDescent="0.25">
      <c r="L88" s="7">
        <v>42080</v>
      </c>
      <c r="M88" s="6">
        <v>282.2</v>
      </c>
      <c r="N88" s="6">
        <v>267.72000000000003</v>
      </c>
      <c r="O88" s="6">
        <v>4694.6000000000004</v>
      </c>
      <c r="P88" s="6">
        <v>5244.52</v>
      </c>
    </row>
    <row r="89" spans="12:16" x14ac:dyDescent="0.25">
      <c r="L89" s="7">
        <v>42081</v>
      </c>
      <c r="M89" s="6">
        <v>14306.390000000001</v>
      </c>
      <c r="N89" s="6">
        <v>2440.4499999999998</v>
      </c>
      <c r="O89" s="6">
        <v>93.81</v>
      </c>
      <c r="P89" s="6">
        <v>16840.650000000001</v>
      </c>
    </row>
    <row r="90" spans="12:16" x14ac:dyDescent="0.25">
      <c r="L90" s="7">
        <v>42082</v>
      </c>
      <c r="M90" s="6"/>
      <c r="N90" s="6">
        <v>894.36</v>
      </c>
      <c r="O90" s="6">
        <v>4508.12</v>
      </c>
      <c r="P90" s="6">
        <v>5402.48</v>
      </c>
    </row>
    <row r="91" spans="12:16" x14ac:dyDescent="0.25">
      <c r="L91" s="7">
        <v>42083</v>
      </c>
      <c r="M91" s="6">
        <v>6226.8600000000006</v>
      </c>
      <c r="N91" s="6">
        <v>4158.0200000000004</v>
      </c>
      <c r="O91" s="6">
        <v>6290.7</v>
      </c>
      <c r="P91" s="6">
        <v>16675.580000000002</v>
      </c>
    </row>
    <row r="92" spans="12:16" x14ac:dyDescent="0.25">
      <c r="L92" s="7">
        <v>42084</v>
      </c>
      <c r="M92" s="6"/>
      <c r="N92" s="6">
        <v>4657.87</v>
      </c>
      <c r="O92" s="6">
        <v>21199.43</v>
      </c>
      <c r="P92" s="6">
        <v>25857.3</v>
      </c>
    </row>
    <row r="93" spans="12:16" x14ac:dyDescent="0.25">
      <c r="L93" s="7">
        <v>42085</v>
      </c>
      <c r="M93" s="6">
        <v>4703.9399999999996</v>
      </c>
      <c r="N93" s="6">
        <v>1278.93</v>
      </c>
      <c r="O93" s="6">
        <v>3420.69</v>
      </c>
      <c r="P93" s="6">
        <v>9403.56</v>
      </c>
    </row>
    <row r="94" spans="12:16" x14ac:dyDescent="0.25">
      <c r="L94" s="7">
        <v>42086</v>
      </c>
      <c r="M94" s="6"/>
      <c r="N94" s="6">
        <v>3524.94</v>
      </c>
      <c r="O94" s="6">
        <v>326.02999999999997</v>
      </c>
      <c r="P94" s="6">
        <v>3850.9700000000003</v>
      </c>
    </row>
    <row r="95" spans="12:16" x14ac:dyDescent="0.25">
      <c r="L95" s="7">
        <v>42087</v>
      </c>
      <c r="M95" s="6">
        <v>4606.2100000000009</v>
      </c>
      <c r="N95" s="6">
        <v>2773.1800000000003</v>
      </c>
      <c r="O95" s="6">
        <v>70.06</v>
      </c>
      <c r="P95" s="6">
        <v>7449.4500000000016</v>
      </c>
    </row>
    <row r="96" spans="12:16" x14ac:dyDescent="0.25">
      <c r="L96" s="7">
        <v>42088</v>
      </c>
      <c r="M96" s="6">
        <v>4417.7</v>
      </c>
      <c r="N96" s="6">
        <v>2615.4899999999998</v>
      </c>
      <c r="O96" s="6">
        <v>2652.88</v>
      </c>
      <c r="P96" s="6">
        <v>9686.07</v>
      </c>
    </row>
    <row r="97" spans="12:16" x14ac:dyDescent="0.25">
      <c r="L97" s="7">
        <v>42089</v>
      </c>
      <c r="M97" s="6">
        <v>2761.94</v>
      </c>
      <c r="N97" s="6">
        <v>1657.1699999999998</v>
      </c>
      <c r="O97" s="6">
        <v>818.49</v>
      </c>
      <c r="P97" s="6">
        <v>5237.5999999999995</v>
      </c>
    </row>
    <row r="98" spans="12:16" x14ac:dyDescent="0.25">
      <c r="L98" s="7">
        <v>42090</v>
      </c>
      <c r="M98" s="6">
        <v>3681.7000000000003</v>
      </c>
      <c r="N98" s="6">
        <v>1219.9500000000003</v>
      </c>
      <c r="O98" s="6">
        <v>10566.84</v>
      </c>
      <c r="P98" s="6">
        <v>15468.490000000002</v>
      </c>
    </row>
    <row r="99" spans="12:16" x14ac:dyDescent="0.25">
      <c r="L99" s="7">
        <v>42091</v>
      </c>
      <c r="M99" s="6">
        <v>130.74</v>
      </c>
      <c r="N99" s="6">
        <v>598.6</v>
      </c>
      <c r="O99" s="6">
        <v>2054.59</v>
      </c>
      <c r="P99" s="6">
        <v>2783.9300000000003</v>
      </c>
    </row>
    <row r="100" spans="12:16" x14ac:dyDescent="0.25">
      <c r="L100" s="7">
        <v>42092</v>
      </c>
      <c r="M100" s="6">
        <v>123.74</v>
      </c>
      <c r="N100" s="6">
        <v>427.34000000000003</v>
      </c>
      <c r="O100" s="6">
        <v>965.41</v>
      </c>
      <c r="P100" s="6">
        <v>1516.49</v>
      </c>
    </row>
    <row r="101" spans="12:16" x14ac:dyDescent="0.25">
      <c r="L101" s="7">
        <v>42093</v>
      </c>
      <c r="M101" s="6"/>
      <c r="N101" s="6">
        <v>12418.079999999998</v>
      </c>
      <c r="O101" s="6">
        <v>2757.6200000000003</v>
      </c>
      <c r="P101" s="6">
        <v>15175.699999999999</v>
      </c>
    </row>
    <row r="102" spans="12:16" x14ac:dyDescent="0.25">
      <c r="L102" s="7">
        <v>42094</v>
      </c>
      <c r="M102" s="6"/>
      <c r="N102" s="6">
        <v>8.65</v>
      </c>
      <c r="O102" s="6">
        <v>93.06</v>
      </c>
      <c r="P102" s="6">
        <v>101.71000000000001</v>
      </c>
    </row>
    <row r="103" spans="12:16" x14ac:dyDescent="0.25">
      <c r="L103" s="7">
        <v>42095</v>
      </c>
      <c r="M103" s="6">
        <v>125.9</v>
      </c>
      <c r="N103" s="6">
        <v>4535.03</v>
      </c>
      <c r="O103" s="6">
        <v>542.59</v>
      </c>
      <c r="P103" s="6">
        <v>5203.5199999999995</v>
      </c>
    </row>
    <row r="104" spans="12:16" x14ac:dyDescent="0.25">
      <c r="L104" s="7">
        <v>42096</v>
      </c>
      <c r="M104" s="6">
        <v>4229.92</v>
      </c>
      <c r="N104" s="6">
        <v>16339.369999999999</v>
      </c>
      <c r="O104" s="6">
        <v>4698.21</v>
      </c>
      <c r="P104" s="6">
        <v>25267.5</v>
      </c>
    </row>
    <row r="105" spans="12:16" x14ac:dyDescent="0.25">
      <c r="L105" s="7">
        <v>42098</v>
      </c>
      <c r="M105" s="6">
        <v>989.51</v>
      </c>
      <c r="N105" s="6">
        <v>61068.82</v>
      </c>
      <c r="O105" s="6">
        <v>5209.4399999999996</v>
      </c>
      <c r="P105" s="6">
        <v>67267.77</v>
      </c>
    </row>
    <row r="106" spans="12:16" x14ac:dyDescent="0.25">
      <c r="L106" s="7">
        <v>42099</v>
      </c>
      <c r="M106" s="6">
        <v>2427.23</v>
      </c>
      <c r="N106" s="6">
        <v>3406.3</v>
      </c>
      <c r="O106" s="6">
        <v>4942.1399999999994</v>
      </c>
      <c r="P106" s="6">
        <v>10775.67</v>
      </c>
    </row>
    <row r="107" spans="12:16" x14ac:dyDescent="0.25">
      <c r="L107" s="7">
        <v>42100</v>
      </c>
      <c r="M107" s="6">
        <v>14239.130000000001</v>
      </c>
      <c r="N107" s="6">
        <v>1016.27</v>
      </c>
      <c r="O107" s="6">
        <v>1634.8200000000002</v>
      </c>
      <c r="P107" s="6">
        <v>16890.22</v>
      </c>
    </row>
    <row r="108" spans="12:16" x14ac:dyDescent="0.25">
      <c r="L108" s="7">
        <v>42101</v>
      </c>
      <c r="M108" s="6">
        <v>2984.37</v>
      </c>
      <c r="N108" s="6">
        <v>2807.79</v>
      </c>
      <c r="O108" s="6">
        <v>7563.6900000000005</v>
      </c>
      <c r="P108" s="6">
        <v>13355.85</v>
      </c>
    </row>
    <row r="109" spans="12:16" x14ac:dyDescent="0.25">
      <c r="L109" s="7">
        <v>42102</v>
      </c>
      <c r="M109" s="6">
        <v>1492.52</v>
      </c>
      <c r="N109" s="6">
        <v>1650.0100000000002</v>
      </c>
      <c r="O109" s="6">
        <v>494.49</v>
      </c>
      <c r="P109" s="6">
        <v>3637.0200000000004</v>
      </c>
    </row>
    <row r="110" spans="12:16" x14ac:dyDescent="0.25">
      <c r="L110" s="7">
        <v>42103</v>
      </c>
      <c r="M110" s="6">
        <v>8409.8700000000008</v>
      </c>
      <c r="N110" s="6">
        <v>3371.17</v>
      </c>
      <c r="O110" s="6">
        <v>10235.73</v>
      </c>
      <c r="P110" s="6">
        <v>22016.77</v>
      </c>
    </row>
    <row r="111" spans="12:16" x14ac:dyDescent="0.25">
      <c r="L111" s="7">
        <v>42104</v>
      </c>
      <c r="M111" s="6">
        <v>26.66</v>
      </c>
      <c r="N111" s="6">
        <v>12336.589999999998</v>
      </c>
      <c r="O111" s="6">
        <v>1272.8800000000001</v>
      </c>
      <c r="P111" s="6">
        <v>13636.129999999997</v>
      </c>
    </row>
    <row r="112" spans="12:16" x14ac:dyDescent="0.25">
      <c r="L112" s="7">
        <v>42105</v>
      </c>
      <c r="M112" s="6">
        <v>574.70000000000005</v>
      </c>
      <c r="N112" s="6">
        <v>380.24</v>
      </c>
      <c r="O112" s="6"/>
      <c r="P112" s="6">
        <v>954.94</v>
      </c>
    </row>
    <row r="113" spans="12:16" x14ac:dyDescent="0.25">
      <c r="L113" s="7">
        <v>42106</v>
      </c>
      <c r="M113" s="6"/>
      <c r="N113" s="6">
        <v>246.14</v>
      </c>
      <c r="O113" s="6">
        <v>243.86</v>
      </c>
      <c r="P113" s="6">
        <v>490</v>
      </c>
    </row>
    <row r="114" spans="12:16" x14ac:dyDescent="0.25">
      <c r="L114" s="7">
        <v>42107</v>
      </c>
      <c r="M114" s="6">
        <v>115.34</v>
      </c>
      <c r="N114" s="6">
        <v>18.079999999999998</v>
      </c>
      <c r="O114" s="6">
        <v>3185.5099999999998</v>
      </c>
      <c r="P114" s="6">
        <v>3318.93</v>
      </c>
    </row>
    <row r="115" spans="12:16" x14ac:dyDescent="0.25">
      <c r="L115" s="7">
        <v>42108</v>
      </c>
      <c r="M115" s="6">
        <v>1566.4</v>
      </c>
      <c r="N115" s="6"/>
      <c r="O115" s="6">
        <v>243.32</v>
      </c>
      <c r="P115" s="6">
        <v>1809.72</v>
      </c>
    </row>
    <row r="116" spans="12:16" x14ac:dyDescent="0.25">
      <c r="L116" s="7">
        <v>42109</v>
      </c>
      <c r="M116" s="6">
        <v>1731.9</v>
      </c>
      <c r="N116" s="6">
        <v>2229.9700000000003</v>
      </c>
      <c r="O116" s="6">
        <v>2591.38</v>
      </c>
      <c r="P116" s="6">
        <v>6553.25</v>
      </c>
    </row>
    <row r="117" spans="12:16" x14ac:dyDescent="0.25">
      <c r="L117" s="7">
        <v>42110</v>
      </c>
      <c r="M117" s="6"/>
      <c r="N117" s="6">
        <v>29.92</v>
      </c>
      <c r="O117" s="6">
        <v>5856.7100000000009</v>
      </c>
      <c r="P117" s="6">
        <v>5886.630000000001</v>
      </c>
    </row>
    <row r="118" spans="12:16" x14ac:dyDescent="0.25">
      <c r="L118" s="7">
        <v>42111</v>
      </c>
      <c r="M118" s="6">
        <v>56.24</v>
      </c>
      <c r="N118" s="6">
        <v>5984.89</v>
      </c>
      <c r="O118" s="6">
        <v>7232.16</v>
      </c>
      <c r="P118" s="6">
        <v>13273.29</v>
      </c>
    </row>
    <row r="119" spans="12:16" x14ac:dyDescent="0.25">
      <c r="L119" s="7">
        <v>42112</v>
      </c>
      <c r="M119" s="6">
        <v>2464.0100000000002</v>
      </c>
      <c r="N119" s="6">
        <v>5983.6500000000005</v>
      </c>
      <c r="O119" s="6">
        <v>2423.4699999999998</v>
      </c>
      <c r="P119" s="6">
        <v>10871.13</v>
      </c>
    </row>
    <row r="120" spans="12:16" x14ac:dyDescent="0.25">
      <c r="L120" s="7">
        <v>42113</v>
      </c>
      <c r="M120" s="6">
        <v>1884.3600000000001</v>
      </c>
      <c r="N120" s="6">
        <v>667.20999999999992</v>
      </c>
      <c r="O120" s="6">
        <v>5266.73</v>
      </c>
      <c r="P120" s="6">
        <v>7818.2999999999993</v>
      </c>
    </row>
    <row r="121" spans="12:16" x14ac:dyDescent="0.25">
      <c r="L121" s="7">
        <v>42114</v>
      </c>
      <c r="M121" s="6">
        <v>14326.560000000001</v>
      </c>
      <c r="N121" s="6">
        <v>5799.47</v>
      </c>
      <c r="O121" s="6">
        <v>2610.88</v>
      </c>
      <c r="P121" s="6">
        <v>22736.910000000003</v>
      </c>
    </row>
    <row r="122" spans="12:16" x14ac:dyDescent="0.25">
      <c r="L122" s="7">
        <v>42115</v>
      </c>
      <c r="M122" s="6">
        <v>9174.2800000000007</v>
      </c>
      <c r="N122" s="6">
        <v>13777.660000000003</v>
      </c>
      <c r="O122" s="6">
        <v>461.24</v>
      </c>
      <c r="P122" s="6">
        <v>23413.180000000004</v>
      </c>
    </row>
    <row r="123" spans="12:16" x14ac:dyDescent="0.25">
      <c r="L123" s="7">
        <v>42116</v>
      </c>
      <c r="M123" s="6"/>
      <c r="N123" s="6">
        <v>1744.73</v>
      </c>
      <c r="O123" s="6">
        <v>821.17</v>
      </c>
      <c r="P123" s="6">
        <v>2565.9</v>
      </c>
    </row>
    <row r="124" spans="12:16" x14ac:dyDescent="0.25">
      <c r="L124" s="7">
        <v>42117</v>
      </c>
      <c r="M124" s="6">
        <v>3974.84</v>
      </c>
      <c r="N124" s="6">
        <v>670.28000000000009</v>
      </c>
      <c r="O124" s="6">
        <v>5976.09</v>
      </c>
      <c r="P124" s="6">
        <v>10621.21</v>
      </c>
    </row>
    <row r="125" spans="12:16" x14ac:dyDescent="0.25">
      <c r="L125" s="7">
        <v>42118</v>
      </c>
      <c r="M125" s="6"/>
      <c r="N125" s="6">
        <v>1785.01</v>
      </c>
      <c r="O125" s="6">
        <v>367.52</v>
      </c>
      <c r="P125" s="6">
        <v>2152.5299999999997</v>
      </c>
    </row>
    <row r="126" spans="12:16" x14ac:dyDescent="0.25">
      <c r="L126" s="7">
        <v>42119</v>
      </c>
      <c r="M126" s="6">
        <v>37621.130000000005</v>
      </c>
      <c r="N126" s="6">
        <v>147.07</v>
      </c>
      <c r="O126" s="6"/>
      <c r="P126" s="6">
        <v>37768.200000000004</v>
      </c>
    </row>
    <row r="127" spans="12:16" x14ac:dyDescent="0.25">
      <c r="L127" s="7">
        <v>42120</v>
      </c>
      <c r="M127" s="6">
        <v>928.92</v>
      </c>
      <c r="N127" s="6">
        <v>11425.439999999999</v>
      </c>
      <c r="O127" s="6"/>
      <c r="P127" s="6">
        <v>12354.359999999999</v>
      </c>
    </row>
    <row r="128" spans="12:16" x14ac:dyDescent="0.25">
      <c r="L128" s="7">
        <v>42121</v>
      </c>
      <c r="M128" s="6"/>
      <c r="N128" s="6">
        <v>1086.0500000000002</v>
      </c>
      <c r="O128" s="6">
        <v>4210.58</v>
      </c>
      <c r="P128" s="6">
        <v>5296.63</v>
      </c>
    </row>
    <row r="129" spans="12:16" x14ac:dyDescent="0.25">
      <c r="L129" s="7">
        <v>42122</v>
      </c>
      <c r="M129" s="6">
        <v>6541.61</v>
      </c>
      <c r="N129" s="6">
        <v>20705.850000000002</v>
      </c>
      <c r="O129" s="6">
        <v>4071.54</v>
      </c>
      <c r="P129" s="6">
        <v>31319.000000000004</v>
      </c>
    </row>
    <row r="130" spans="12:16" x14ac:dyDescent="0.25">
      <c r="L130" s="7">
        <v>42123</v>
      </c>
      <c r="M130" s="6">
        <v>1377.46</v>
      </c>
      <c r="N130" s="6">
        <v>1344.62</v>
      </c>
      <c r="O130" s="6">
        <v>839.51</v>
      </c>
      <c r="P130" s="6">
        <v>3561.59</v>
      </c>
    </row>
    <row r="131" spans="12:16" x14ac:dyDescent="0.25">
      <c r="L131" s="7">
        <v>42124</v>
      </c>
      <c r="M131" s="6">
        <v>283.44</v>
      </c>
      <c r="N131" s="6">
        <v>1034.52</v>
      </c>
      <c r="O131" s="6">
        <v>7697.84</v>
      </c>
      <c r="P131" s="6">
        <v>9015.7999999999993</v>
      </c>
    </row>
    <row r="132" spans="12:16" x14ac:dyDescent="0.25">
      <c r="L132" s="7">
        <v>42125</v>
      </c>
      <c r="M132" s="6">
        <v>248.32</v>
      </c>
      <c r="N132" s="6">
        <v>1453.28</v>
      </c>
      <c r="O132" s="6"/>
      <c r="P132" s="6">
        <v>1701.6</v>
      </c>
    </row>
    <row r="133" spans="12:16" x14ac:dyDescent="0.25">
      <c r="L133" s="7">
        <v>42126</v>
      </c>
      <c r="M133" s="6">
        <v>10892.189999999999</v>
      </c>
      <c r="N133" s="6">
        <v>879.61000000000013</v>
      </c>
      <c r="O133" s="6">
        <v>758.97</v>
      </c>
      <c r="P133" s="6">
        <v>12530.769999999999</v>
      </c>
    </row>
    <row r="134" spans="12:16" x14ac:dyDescent="0.25">
      <c r="L134" s="7">
        <v>42127</v>
      </c>
      <c r="M134" s="6">
        <v>17772.88</v>
      </c>
      <c r="N134" s="6">
        <v>932.55000000000007</v>
      </c>
      <c r="O134" s="6">
        <v>8692.14</v>
      </c>
      <c r="P134" s="6">
        <v>27397.57</v>
      </c>
    </row>
    <row r="135" spans="12:16" x14ac:dyDescent="0.25">
      <c r="L135" s="7">
        <v>42128</v>
      </c>
      <c r="M135" s="6">
        <v>6904.26</v>
      </c>
      <c r="N135" s="6">
        <v>2444.27</v>
      </c>
      <c r="O135" s="6">
        <v>1852.01</v>
      </c>
      <c r="P135" s="6">
        <v>11200.54</v>
      </c>
    </row>
    <row r="136" spans="12:16" x14ac:dyDescent="0.25">
      <c r="L136" s="7">
        <v>42129</v>
      </c>
      <c r="M136" s="6">
        <v>9133.09</v>
      </c>
      <c r="N136" s="6">
        <v>15728.97</v>
      </c>
      <c r="O136" s="6">
        <v>274.07</v>
      </c>
      <c r="P136" s="6">
        <v>25136.129999999997</v>
      </c>
    </row>
    <row r="137" spans="12:16" x14ac:dyDescent="0.25">
      <c r="L137" s="7">
        <v>42130</v>
      </c>
      <c r="M137" s="6">
        <v>471.21</v>
      </c>
      <c r="N137" s="6">
        <v>477.87</v>
      </c>
      <c r="O137" s="6">
        <v>42.99</v>
      </c>
      <c r="P137" s="6">
        <v>992.06999999999994</v>
      </c>
    </row>
    <row r="138" spans="12:16" x14ac:dyDescent="0.25">
      <c r="L138" s="7">
        <v>42131</v>
      </c>
      <c r="M138" s="6"/>
      <c r="N138" s="6">
        <v>269.88</v>
      </c>
      <c r="O138" s="6">
        <v>3382.61</v>
      </c>
      <c r="P138" s="6">
        <v>3652.4900000000002</v>
      </c>
    </row>
    <row r="139" spans="12:16" x14ac:dyDescent="0.25">
      <c r="L139" s="7">
        <v>42132</v>
      </c>
      <c r="M139" s="6">
        <v>5620.29</v>
      </c>
      <c r="N139" s="6">
        <v>1009.76</v>
      </c>
      <c r="O139" s="6">
        <v>1961.73</v>
      </c>
      <c r="P139" s="6">
        <v>8591.7800000000007</v>
      </c>
    </row>
    <row r="140" spans="12:16" x14ac:dyDescent="0.25">
      <c r="L140" s="7">
        <v>42133</v>
      </c>
      <c r="M140" s="6"/>
      <c r="N140" s="6">
        <v>397.35</v>
      </c>
      <c r="O140" s="6">
        <v>511.74</v>
      </c>
      <c r="P140" s="6">
        <v>909.09</v>
      </c>
    </row>
    <row r="141" spans="12:16" x14ac:dyDescent="0.25">
      <c r="L141" s="7">
        <v>42134</v>
      </c>
      <c r="M141" s="6"/>
      <c r="N141" s="6">
        <v>3371.4500000000003</v>
      </c>
      <c r="O141" s="6">
        <v>1586.54</v>
      </c>
      <c r="P141" s="6">
        <v>4957.99</v>
      </c>
    </row>
    <row r="142" spans="12:16" x14ac:dyDescent="0.25">
      <c r="L142" s="7">
        <v>42135</v>
      </c>
      <c r="M142" s="6">
        <v>10309.31</v>
      </c>
      <c r="N142" s="6">
        <v>1279.03</v>
      </c>
      <c r="O142" s="6"/>
      <c r="P142" s="6">
        <v>11588.34</v>
      </c>
    </row>
    <row r="143" spans="12:16" x14ac:dyDescent="0.25">
      <c r="L143" s="7">
        <v>42136</v>
      </c>
      <c r="M143" s="6">
        <v>1530.89</v>
      </c>
      <c r="N143" s="6">
        <v>4942.9699999999993</v>
      </c>
      <c r="O143" s="6">
        <v>69.75</v>
      </c>
      <c r="P143" s="6">
        <v>6543.61</v>
      </c>
    </row>
    <row r="144" spans="12:16" x14ac:dyDescent="0.25">
      <c r="L144" s="7">
        <v>42137</v>
      </c>
      <c r="M144" s="6">
        <v>700.41</v>
      </c>
      <c r="N144" s="6">
        <v>1042.2399999999998</v>
      </c>
      <c r="O144" s="6">
        <v>887.29</v>
      </c>
      <c r="P144" s="6">
        <v>2629.9399999999996</v>
      </c>
    </row>
    <row r="145" spans="12:16" x14ac:dyDescent="0.25">
      <c r="L145" s="7">
        <v>42138</v>
      </c>
      <c r="M145" s="6"/>
      <c r="N145" s="6">
        <v>1268.93</v>
      </c>
      <c r="O145" s="6">
        <v>6667.0199999999995</v>
      </c>
      <c r="P145" s="6">
        <v>7935.95</v>
      </c>
    </row>
    <row r="146" spans="12:16" x14ac:dyDescent="0.25">
      <c r="L146" s="7">
        <v>42139</v>
      </c>
      <c r="M146" s="6">
        <v>2332.46</v>
      </c>
      <c r="N146" s="6">
        <v>2710.23</v>
      </c>
      <c r="O146" s="6">
        <v>1646.3000000000002</v>
      </c>
      <c r="P146" s="6">
        <v>6688.9900000000007</v>
      </c>
    </row>
    <row r="147" spans="12:16" x14ac:dyDescent="0.25">
      <c r="L147" s="7">
        <v>42140</v>
      </c>
      <c r="M147" s="6"/>
      <c r="N147" s="6">
        <v>5732.04</v>
      </c>
      <c r="O147" s="6">
        <v>5103.2700000000004</v>
      </c>
      <c r="P147" s="6">
        <v>10835.310000000001</v>
      </c>
    </row>
    <row r="148" spans="12:16" x14ac:dyDescent="0.25">
      <c r="L148" s="7">
        <v>42141</v>
      </c>
      <c r="M148" s="6"/>
      <c r="N148" s="6">
        <v>7586.33</v>
      </c>
      <c r="O148" s="6">
        <v>344.57</v>
      </c>
      <c r="P148" s="6">
        <v>7930.9</v>
      </c>
    </row>
    <row r="149" spans="12:16" x14ac:dyDescent="0.25">
      <c r="L149" s="7">
        <v>42142</v>
      </c>
      <c r="M149" s="6"/>
      <c r="N149" s="6">
        <v>255.51</v>
      </c>
      <c r="O149" s="6">
        <v>1661.29</v>
      </c>
      <c r="P149" s="6">
        <v>1916.8</v>
      </c>
    </row>
    <row r="150" spans="12:16" x14ac:dyDescent="0.25">
      <c r="L150" s="7">
        <v>42143</v>
      </c>
      <c r="M150" s="6">
        <v>4285.5600000000004</v>
      </c>
      <c r="N150" s="6">
        <v>3159.4700000000003</v>
      </c>
      <c r="O150" s="6"/>
      <c r="P150" s="6">
        <v>7445.0300000000007</v>
      </c>
    </row>
    <row r="151" spans="12:16" x14ac:dyDescent="0.25">
      <c r="L151" s="7">
        <v>42144</v>
      </c>
      <c r="M151" s="6">
        <v>11204.41</v>
      </c>
      <c r="N151" s="6">
        <v>2223.44</v>
      </c>
      <c r="O151" s="6">
        <v>10633.48</v>
      </c>
      <c r="P151" s="6">
        <v>24061.33</v>
      </c>
    </row>
    <row r="152" spans="12:16" x14ac:dyDescent="0.25">
      <c r="L152" s="7">
        <v>42145</v>
      </c>
      <c r="M152" s="6">
        <v>1488.51</v>
      </c>
      <c r="N152" s="6">
        <v>2138.4499999999998</v>
      </c>
      <c r="O152" s="6">
        <v>2958.44</v>
      </c>
      <c r="P152" s="6">
        <v>6585.4</v>
      </c>
    </row>
    <row r="153" spans="12:16" x14ac:dyDescent="0.25">
      <c r="L153" s="7">
        <v>42146</v>
      </c>
      <c r="M153" s="6">
        <v>2259.9899999999998</v>
      </c>
      <c r="N153" s="6">
        <v>1304.8600000000001</v>
      </c>
      <c r="O153" s="6">
        <v>10099.59</v>
      </c>
      <c r="P153" s="6">
        <v>13664.44</v>
      </c>
    </row>
    <row r="154" spans="12:16" x14ac:dyDescent="0.25">
      <c r="L154" s="7">
        <v>42147</v>
      </c>
      <c r="M154" s="6">
        <v>7284.3499999999995</v>
      </c>
      <c r="N154" s="6">
        <v>3546.21</v>
      </c>
      <c r="O154" s="6">
        <v>9886.2099999999991</v>
      </c>
      <c r="P154" s="6">
        <v>20716.769999999997</v>
      </c>
    </row>
    <row r="155" spans="12:16" x14ac:dyDescent="0.25">
      <c r="L155" s="7">
        <v>42148</v>
      </c>
      <c r="M155" s="6">
        <v>9467.43</v>
      </c>
      <c r="N155" s="6">
        <v>527.85</v>
      </c>
      <c r="O155" s="6">
        <v>1567.65</v>
      </c>
      <c r="P155" s="6">
        <v>11562.93</v>
      </c>
    </row>
    <row r="156" spans="12:16" x14ac:dyDescent="0.25">
      <c r="L156" s="7">
        <v>42149</v>
      </c>
      <c r="M156" s="6">
        <v>355.92</v>
      </c>
      <c r="N156" s="6">
        <v>2181.8399999999997</v>
      </c>
      <c r="O156" s="6">
        <v>10030.459999999999</v>
      </c>
      <c r="P156" s="6">
        <v>12568.22</v>
      </c>
    </row>
    <row r="157" spans="12:16" x14ac:dyDescent="0.25">
      <c r="L157" s="7">
        <v>42150</v>
      </c>
      <c r="M157" s="6">
        <v>5419.41</v>
      </c>
      <c r="N157" s="6">
        <v>2566.6</v>
      </c>
      <c r="O157" s="6">
        <v>873.18</v>
      </c>
      <c r="P157" s="6">
        <v>8859.19</v>
      </c>
    </row>
    <row r="158" spans="12:16" x14ac:dyDescent="0.25">
      <c r="L158" s="7">
        <v>42151</v>
      </c>
      <c r="M158" s="6">
        <v>267.2</v>
      </c>
      <c r="N158" s="6">
        <v>486.13</v>
      </c>
      <c r="O158" s="6">
        <v>318.21999999999997</v>
      </c>
      <c r="P158" s="6">
        <v>1071.55</v>
      </c>
    </row>
    <row r="159" spans="12:16" x14ac:dyDescent="0.25">
      <c r="L159" s="7">
        <v>42152</v>
      </c>
      <c r="M159" s="6">
        <v>1425.71</v>
      </c>
      <c r="N159" s="6">
        <v>2409.4499999999998</v>
      </c>
      <c r="O159" s="6">
        <v>1543.55</v>
      </c>
      <c r="P159" s="6">
        <v>5378.71</v>
      </c>
    </row>
    <row r="160" spans="12:16" x14ac:dyDescent="0.25">
      <c r="L160" s="7">
        <v>42153</v>
      </c>
      <c r="M160" s="6">
        <v>261.33999999999997</v>
      </c>
      <c r="N160" s="6">
        <v>35945.560000000005</v>
      </c>
      <c r="O160" s="6">
        <v>528.9</v>
      </c>
      <c r="P160" s="6">
        <v>36735.800000000003</v>
      </c>
    </row>
    <row r="161" spans="12:16" x14ac:dyDescent="0.25">
      <c r="L161" s="7">
        <v>42154</v>
      </c>
      <c r="M161" s="6">
        <v>2716.4300000000003</v>
      </c>
      <c r="N161" s="6">
        <v>2066.4</v>
      </c>
      <c r="O161" s="6"/>
      <c r="P161" s="6">
        <v>4782.83</v>
      </c>
    </row>
    <row r="162" spans="12:16" x14ac:dyDescent="0.25">
      <c r="L162" s="7">
        <v>42156</v>
      </c>
      <c r="M162" s="6">
        <v>2095.17</v>
      </c>
      <c r="N162" s="6">
        <v>4220.0599999999995</v>
      </c>
      <c r="O162" s="6">
        <v>614.58999999999992</v>
      </c>
      <c r="P162" s="6">
        <v>6929.82</v>
      </c>
    </row>
    <row r="163" spans="12:16" x14ac:dyDescent="0.25">
      <c r="L163" s="7">
        <v>42157</v>
      </c>
      <c r="M163" s="6">
        <v>2693.6000000000004</v>
      </c>
      <c r="N163" s="6">
        <v>1020.7900000000001</v>
      </c>
      <c r="O163" s="6">
        <v>1076.3</v>
      </c>
      <c r="P163" s="6">
        <v>4790.6900000000005</v>
      </c>
    </row>
    <row r="164" spans="12:16" x14ac:dyDescent="0.25">
      <c r="L164" s="7">
        <v>42158</v>
      </c>
      <c r="M164" s="6">
        <v>5909.12</v>
      </c>
      <c r="N164" s="6">
        <v>3205.3599999999997</v>
      </c>
      <c r="O164" s="6">
        <v>981.65</v>
      </c>
      <c r="P164" s="6">
        <v>10096.129999999999</v>
      </c>
    </row>
    <row r="165" spans="12:16" x14ac:dyDescent="0.25">
      <c r="L165" s="7">
        <v>42159</v>
      </c>
      <c r="M165" s="6">
        <v>905.4</v>
      </c>
      <c r="N165" s="6">
        <v>651.09999999999991</v>
      </c>
      <c r="O165" s="6">
        <v>2622.07</v>
      </c>
      <c r="P165" s="6">
        <v>4178.57</v>
      </c>
    </row>
    <row r="166" spans="12:16" x14ac:dyDescent="0.25">
      <c r="L166" s="7">
        <v>42160</v>
      </c>
      <c r="M166" s="6">
        <v>1486.93</v>
      </c>
      <c r="N166" s="6">
        <v>11135.9</v>
      </c>
      <c r="O166" s="6">
        <v>17483.060000000001</v>
      </c>
      <c r="P166" s="6">
        <v>30105.89</v>
      </c>
    </row>
    <row r="167" spans="12:16" x14ac:dyDescent="0.25">
      <c r="L167" s="7">
        <v>42161</v>
      </c>
      <c r="M167" s="6">
        <v>11272.77</v>
      </c>
      <c r="N167" s="6">
        <v>1264.0000000000002</v>
      </c>
      <c r="O167" s="6">
        <v>10584.249999999998</v>
      </c>
      <c r="P167" s="6">
        <v>23121.019999999997</v>
      </c>
    </row>
    <row r="168" spans="12:16" x14ac:dyDescent="0.25">
      <c r="L168" s="7">
        <v>42162</v>
      </c>
      <c r="M168" s="6">
        <v>926.3</v>
      </c>
      <c r="N168" s="6">
        <v>12737.939999999999</v>
      </c>
      <c r="O168" s="6">
        <v>2596.5699999999997</v>
      </c>
      <c r="P168" s="6">
        <v>16260.809999999998</v>
      </c>
    </row>
    <row r="169" spans="12:16" x14ac:dyDescent="0.25">
      <c r="L169" s="7">
        <v>42163</v>
      </c>
      <c r="M169" s="6"/>
      <c r="N169" s="6">
        <v>3860.4400000000005</v>
      </c>
      <c r="O169" s="6">
        <v>1277.49</v>
      </c>
      <c r="P169" s="6">
        <v>5137.93</v>
      </c>
    </row>
    <row r="170" spans="12:16" x14ac:dyDescent="0.25">
      <c r="L170" s="7">
        <v>42164</v>
      </c>
      <c r="M170" s="6">
        <v>8.83</v>
      </c>
      <c r="N170" s="6">
        <v>461.41</v>
      </c>
      <c r="O170" s="6">
        <v>758.83</v>
      </c>
      <c r="P170" s="6">
        <v>1229.0700000000002</v>
      </c>
    </row>
    <row r="171" spans="12:16" x14ac:dyDescent="0.25">
      <c r="L171" s="7">
        <v>42165</v>
      </c>
      <c r="M171" s="6">
        <v>1332.82</v>
      </c>
      <c r="N171" s="6">
        <v>450.46</v>
      </c>
      <c r="O171" s="6">
        <v>24.44</v>
      </c>
      <c r="P171" s="6">
        <v>1807.72</v>
      </c>
    </row>
    <row r="172" spans="12:16" x14ac:dyDescent="0.25">
      <c r="L172" s="7">
        <v>42166</v>
      </c>
      <c r="M172" s="6">
        <v>791.28</v>
      </c>
      <c r="N172" s="6">
        <v>14119.029999999999</v>
      </c>
      <c r="O172" s="6">
        <v>4318.42</v>
      </c>
      <c r="P172" s="6">
        <v>19228.73</v>
      </c>
    </row>
    <row r="173" spans="12:16" x14ac:dyDescent="0.25">
      <c r="L173" s="7">
        <v>42167</v>
      </c>
      <c r="M173" s="6">
        <v>15857.57</v>
      </c>
      <c r="N173" s="6">
        <v>1806.78</v>
      </c>
      <c r="O173" s="6">
        <v>9024.74</v>
      </c>
      <c r="P173" s="6">
        <v>26689.089999999997</v>
      </c>
    </row>
    <row r="174" spans="12:16" x14ac:dyDescent="0.25">
      <c r="L174" s="7">
        <v>42168</v>
      </c>
      <c r="M174" s="6">
        <v>6362.85</v>
      </c>
      <c r="N174" s="6">
        <v>1791.81</v>
      </c>
      <c r="O174" s="6">
        <v>2129.9699999999998</v>
      </c>
      <c r="P174" s="6">
        <v>10284.629999999999</v>
      </c>
    </row>
    <row r="175" spans="12:16" x14ac:dyDescent="0.25">
      <c r="L175" s="7">
        <v>42169</v>
      </c>
      <c r="M175" s="6">
        <v>22133.66</v>
      </c>
      <c r="N175" s="6">
        <v>4585.5700000000006</v>
      </c>
      <c r="O175" s="6"/>
      <c r="P175" s="6">
        <v>26719.23</v>
      </c>
    </row>
    <row r="176" spans="12:16" x14ac:dyDescent="0.25">
      <c r="L176" s="7">
        <v>42170</v>
      </c>
      <c r="M176" s="6">
        <v>2329.9499999999998</v>
      </c>
      <c r="N176" s="6">
        <v>284.48</v>
      </c>
      <c r="O176" s="6">
        <v>397.17</v>
      </c>
      <c r="P176" s="6">
        <v>3011.6</v>
      </c>
    </row>
    <row r="177" spans="12:16" x14ac:dyDescent="0.25">
      <c r="L177" s="7">
        <v>42171</v>
      </c>
      <c r="M177" s="6">
        <v>2140.5100000000002</v>
      </c>
      <c r="N177" s="6">
        <v>75.36</v>
      </c>
      <c r="O177" s="6">
        <v>1004.02</v>
      </c>
      <c r="P177" s="6">
        <v>3219.8900000000003</v>
      </c>
    </row>
    <row r="178" spans="12:16" x14ac:dyDescent="0.25">
      <c r="L178" s="7">
        <v>42172</v>
      </c>
      <c r="M178" s="6">
        <v>3099.6299999999997</v>
      </c>
      <c r="N178" s="6">
        <v>868.90000000000009</v>
      </c>
      <c r="O178" s="6"/>
      <c r="P178" s="6">
        <v>3968.5299999999997</v>
      </c>
    </row>
    <row r="179" spans="12:16" x14ac:dyDescent="0.25">
      <c r="L179" s="7">
        <v>42173</v>
      </c>
      <c r="M179" s="6">
        <v>8641.64</v>
      </c>
      <c r="N179" s="6">
        <v>502.23</v>
      </c>
      <c r="O179" s="6">
        <v>1041.49</v>
      </c>
      <c r="P179" s="6">
        <v>10185.359999999999</v>
      </c>
    </row>
    <row r="180" spans="12:16" x14ac:dyDescent="0.25">
      <c r="L180" s="7">
        <v>42174</v>
      </c>
      <c r="M180" s="6">
        <v>10967.52</v>
      </c>
      <c r="N180" s="6">
        <v>228.83</v>
      </c>
      <c r="O180" s="6">
        <v>1488.33</v>
      </c>
      <c r="P180" s="6">
        <v>12684.68</v>
      </c>
    </row>
    <row r="181" spans="12:16" x14ac:dyDescent="0.25">
      <c r="L181" s="7">
        <v>42175</v>
      </c>
      <c r="M181" s="6">
        <v>2653.02</v>
      </c>
      <c r="N181" s="6">
        <v>1772.8000000000004</v>
      </c>
      <c r="O181" s="6">
        <v>44602.400000000001</v>
      </c>
      <c r="P181" s="6">
        <v>49028.22</v>
      </c>
    </row>
    <row r="182" spans="12:16" x14ac:dyDescent="0.25">
      <c r="L182" s="7">
        <v>42176</v>
      </c>
      <c r="M182" s="6">
        <v>770.27</v>
      </c>
      <c r="N182" s="6">
        <v>1306.74</v>
      </c>
      <c r="O182" s="6">
        <v>290.98</v>
      </c>
      <c r="P182" s="6">
        <v>2367.9900000000002</v>
      </c>
    </row>
    <row r="183" spans="12:16" x14ac:dyDescent="0.25">
      <c r="L183" s="7">
        <v>42177</v>
      </c>
      <c r="M183" s="6">
        <v>3631.55</v>
      </c>
      <c r="N183" s="6">
        <v>6416.01</v>
      </c>
      <c r="O183" s="6">
        <v>3603.39</v>
      </c>
      <c r="P183" s="6">
        <v>13650.95</v>
      </c>
    </row>
    <row r="184" spans="12:16" x14ac:dyDescent="0.25">
      <c r="L184" s="7">
        <v>42178</v>
      </c>
      <c r="M184" s="6">
        <v>3261.3900000000003</v>
      </c>
      <c r="N184" s="6">
        <v>111.19</v>
      </c>
      <c r="O184" s="6">
        <v>11824.26</v>
      </c>
      <c r="P184" s="6">
        <v>15196.84</v>
      </c>
    </row>
    <row r="185" spans="12:16" x14ac:dyDescent="0.25">
      <c r="L185" s="7">
        <v>42179</v>
      </c>
      <c r="M185" s="6">
        <v>66.900000000000006</v>
      </c>
      <c r="N185" s="6">
        <v>405.27</v>
      </c>
      <c r="O185" s="6">
        <v>100.11</v>
      </c>
      <c r="P185" s="6">
        <v>572.28</v>
      </c>
    </row>
    <row r="186" spans="12:16" x14ac:dyDescent="0.25">
      <c r="L186" s="7">
        <v>42180</v>
      </c>
      <c r="M186" s="6">
        <v>5287.87</v>
      </c>
      <c r="N186" s="6">
        <v>3642.05</v>
      </c>
      <c r="O186" s="6">
        <v>1838.85</v>
      </c>
      <c r="P186" s="6">
        <v>10768.77</v>
      </c>
    </row>
    <row r="187" spans="12:16" x14ac:dyDescent="0.25">
      <c r="L187" s="7">
        <v>42181</v>
      </c>
      <c r="M187" s="6">
        <v>7238.61</v>
      </c>
      <c r="N187" s="6"/>
      <c r="O187" s="6">
        <v>650.25</v>
      </c>
      <c r="P187" s="6">
        <v>7888.86</v>
      </c>
    </row>
    <row r="188" spans="12:16" x14ac:dyDescent="0.25">
      <c r="L188" s="7">
        <v>42182</v>
      </c>
      <c r="M188" s="6"/>
      <c r="N188" s="6">
        <v>171.82</v>
      </c>
      <c r="O188" s="6">
        <v>166.59</v>
      </c>
      <c r="P188" s="6">
        <v>338.40999999999997</v>
      </c>
    </row>
    <row r="189" spans="12:16" x14ac:dyDescent="0.25">
      <c r="L189" s="7">
        <v>42183</v>
      </c>
      <c r="M189" s="6">
        <v>1700.38</v>
      </c>
      <c r="N189" s="6">
        <v>1274.25</v>
      </c>
      <c r="O189" s="6">
        <v>5015.46</v>
      </c>
      <c r="P189" s="6">
        <v>7990.09</v>
      </c>
    </row>
    <row r="190" spans="12:16" x14ac:dyDescent="0.25">
      <c r="L190" s="7">
        <v>42184</v>
      </c>
      <c r="M190" s="6">
        <v>108.99</v>
      </c>
      <c r="N190" s="6">
        <v>224.04999999999998</v>
      </c>
      <c r="O190" s="6">
        <v>3302.87</v>
      </c>
      <c r="P190" s="6">
        <v>3635.91</v>
      </c>
    </row>
    <row r="191" spans="12:16" x14ac:dyDescent="0.25">
      <c r="L191" s="7">
        <v>42185</v>
      </c>
      <c r="M191" s="6">
        <v>5426.72</v>
      </c>
      <c r="N191" s="6">
        <v>1573.1699999999996</v>
      </c>
      <c r="O191" s="6">
        <v>17281.2</v>
      </c>
      <c r="P191" s="6">
        <v>24281.09</v>
      </c>
    </row>
    <row r="192" spans="12:16" x14ac:dyDescent="0.25">
      <c r="L192" s="7" t="s">
        <v>3010</v>
      </c>
      <c r="M192" s="6">
        <v>660704.31000000017</v>
      </c>
      <c r="N192" s="6">
        <v>551368.62</v>
      </c>
      <c r="O192" s="6">
        <v>712264.9499999996</v>
      </c>
      <c r="P192" s="6">
        <v>1924337.88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14" sqref="P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SuperStoreUS-2015(Orders)</vt:lpstr>
      <vt:lpstr>Dashboard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chandra pathak</dc:creator>
  <cp:lastModifiedBy>kartik chandra pathak</cp:lastModifiedBy>
  <dcterms:created xsi:type="dcterms:W3CDTF">2026-01-05T10:39:09Z</dcterms:created>
  <dcterms:modified xsi:type="dcterms:W3CDTF">2026-01-05T11:39:08Z</dcterms:modified>
</cp:coreProperties>
</file>