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8375" windowHeight="8010" activeTab="1"/>
  </bookViews>
  <sheets>
    <sheet name="Sheet1" sheetId="15" r:id="rId1"/>
    <sheet name="Sheet2" sheetId="16" r:id="rId2"/>
    <sheet name="SaleData" sheetId="14" r:id="rId3"/>
  </sheets>
  <definedNames>
    <definedName name="_xlnm._FilterDatabase" localSheetId="2" hidden="1">SaleData!$A$1:$H$44</definedName>
  </definedNames>
  <calcPr calcId="152511"/>
  <pivotCaches>
    <pivotCache cacheId="0" r:id="rId4"/>
    <pivotCache cacheId="1" r:id="rId5"/>
  </pivotCaches>
</workbook>
</file>

<file path=xl/calcChain.xml><?xml version="1.0" encoding="utf-8"?>
<calcChain xmlns="http://schemas.openxmlformats.org/spreadsheetml/2006/main">
  <c r="H20" i="14" l="1"/>
  <c r="H19" i="14"/>
  <c r="H18" i="14"/>
  <c r="H17" i="14"/>
  <c r="H44" i="14"/>
  <c r="H43" i="14"/>
  <c r="H42" i="14"/>
  <c r="H41" i="14"/>
  <c r="H16" i="14"/>
  <c r="H15" i="14"/>
  <c r="H14" i="14"/>
  <c r="H13" i="14"/>
  <c r="H12" i="14"/>
  <c r="H11" i="14"/>
  <c r="H10" i="14"/>
  <c r="H40" i="14"/>
  <c r="H39" i="14"/>
  <c r="H9" i="14"/>
  <c r="H8" i="14"/>
  <c r="H7" i="14"/>
  <c r="H6" i="14"/>
  <c r="H5" i="14"/>
  <c r="H28" i="14"/>
  <c r="H27" i="14"/>
  <c r="H26" i="14"/>
  <c r="H4" i="14"/>
  <c r="H3" i="14"/>
  <c r="H2" i="14"/>
  <c r="H38" i="14"/>
  <c r="H37" i="14"/>
  <c r="H25" i="14"/>
  <c r="H24" i="14"/>
  <c r="H23" i="14"/>
  <c r="H22" i="14"/>
  <c r="H21" i="14"/>
  <c r="H36" i="14"/>
  <c r="H35" i="14"/>
  <c r="H34" i="14"/>
  <c r="H33" i="14"/>
  <c r="H32" i="14"/>
  <c r="H31" i="14"/>
  <c r="H30" i="14"/>
  <c r="H29" i="14"/>
</calcChain>
</file>

<file path=xl/sharedStrings.xml><?xml version="1.0" encoding="utf-8"?>
<sst xmlns="http://schemas.openxmlformats.org/spreadsheetml/2006/main" count="232" uniqueCount="38">
  <si>
    <t>Region</t>
  </si>
  <si>
    <t>Item</t>
  </si>
  <si>
    <t>Units</t>
  </si>
  <si>
    <t>Desk</t>
  </si>
  <si>
    <t>OrderDate</t>
  </si>
  <si>
    <t>Central</t>
  </si>
  <si>
    <t>West</t>
  </si>
  <si>
    <t>East</t>
  </si>
  <si>
    <t>SalesMan</t>
  </si>
  <si>
    <t>Television</t>
  </si>
  <si>
    <t>Cell Phone</t>
  </si>
  <si>
    <t>Video Games</t>
  </si>
  <si>
    <t>Unit_price</t>
  </si>
  <si>
    <t>Home Theater</t>
  </si>
  <si>
    <t>Steven</t>
  </si>
  <si>
    <t>David</t>
  </si>
  <si>
    <t>Diana</t>
  </si>
  <si>
    <t>Luis</t>
  </si>
  <si>
    <t>Alexander</t>
  </si>
  <si>
    <t>Shelli</t>
  </si>
  <si>
    <t>Sigal</t>
  </si>
  <si>
    <t>Karen</t>
  </si>
  <si>
    <t>John</t>
  </si>
  <si>
    <t>Stephen</t>
  </si>
  <si>
    <t>Michael</t>
  </si>
  <si>
    <t>Manager</t>
  </si>
  <si>
    <t>Martha</t>
  </si>
  <si>
    <t>Timothy</t>
  </si>
  <si>
    <t>Douglas</t>
  </si>
  <si>
    <t>Hermann</t>
  </si>
  <si>
    <t>Sale_amt</t>
  </si>
  <si>
    <t>(All)</t>
  </si>
  <si>
    <t>Column Labels</t>
  </si>
  <si>
    <t>Grand Total</t>
  </si>
  <si>
    <t>Row Labels</t>
  </si>
  <si>
    <t>Sum of Units</t>
  </si>
  <si>
    <t>Sum of Sale_amt</t>
  </si>
  <si>
    <t>Sum of 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</si>
</sst>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m/d/yy;@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horizontal="left" inden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0" fillId="0" borderId="0" xfId="0"/>
    <xf numFmtId="164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3" fontId="4" fillId="0" borderId="0" xfId="1" applyNumberFormat="1" applyFont="1" applyBorder="1" applyAlignment="1">
      <alignment horizontal="left" vertical="center"/>
    </xf>
    <xf numFmtId="0" fontId="0" fillId="0" borderId="0" xfId="0" applyFont="1"/>
    <xf numFmtId="0" fontId="5" fillId="2" borderId="1" xfId="0" applyFont="1" applyFill="1" applyBorder="1" applyAlignment="1">
      <alignment vertical="top" wrapText="1"/>
    </xf>
    <xf numFmtId="0" fontId="0" fillId="0" borderId="0" xfId="0" applyFont="1" applyFill="1"/>
    <xf numFmtId="0" fontId="5" fillId="0" borderId="0" xfId="0" applyFont="1" applyFill="1" applyBorder="1" applyAlignment="1">
      <alignment vertical="top" wrapText="1"/>
    </xf>
    <xf numFmtId="0" fontId="6" fillId="0" borderId="0" xfId="0" applyFont="1"/>
    <xf numFmtId="0" fontId="6" fillId="2" borderId="1" xfId="0" applyFont="1" applyFill="1" applyBorder="1" applyAlignment="1">
      <alignment vertical="top" wrapText="1"/>
    </xf>
    <xf numFmtId="43" fontId="0" fillId="0" borderId="0" xfId="0" applyNumberFormat="1"/>
    <xf numFmtId="0" fontId="6" fillId="0" borderId="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2" borderId="0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6" fillId="0" borderId="1" xfId="0" applyFont="1" applyBorder="1"/>
  </cellXfs>
  <cellStyles count="5">
    <cellStyle name="Comma" xfId="1" builtinId="3"/>
    <cellStyle name="Ctx_Hyperlink" xfId="2"/>
    <cellStyle name="Hyperlink 2" xfId="4"/>
    <cellStyle name="Normal" xfId="0" builtinId="0" customBuiltin="1"/>
    <cellStyle name="Normal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[SaleData project of kartik.xlsx]Sheet1!PivotTable1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Which</a:t>
            </a:r>
            <a:r>
              <a:rPr lang="en-US" baseline="0"/>
              <a:t> region what product is sold most </a:t>
            </a:r>
          </a:p>
          <a:p>
            <a:pPr>
              <a:defRPr/>
            </a:pPr>
            <a:r>
              <a:rPr lang="en-US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10929177602799654"/>
          <c:y val="2.7777777777777801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Cell Phone</c:v>
                </c:pt>
              </c:strCache>
            </c:strRef>
          </c:tx>
          <c:invertIfNegative val="0"/>
          <c:cat>
            <c:strRef>
              <c:f>Sheet1!$A$5:$A$8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27</c:v>
                </c:pt>
                <c:pt idx="1">
                  <c:v>175</c:v>
                </c:pt>
                <c:pt idx="2">
                  <c:v>76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Desk</c:v>
                </c:pt>
              </c:strCache>
            </c:strRef>
          </c:tx>
          <c:invertIfNegative val="0"/>
          <c:cat>
            <c:strRef>
              <c:f>Sheet1!$A$5:$A$8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7</c:v>
                </c:pt>
                <c:pt idx="2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Home Theater</c:v>
                </c:pt>
              </c:strCache>
            </c:strRef>
          </c:tx>
          <c:invertIfNegative val="0"/>
          <c:cat>
            <c:strRef>
              <c:f>Sheet1!$A$5:$A$8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3"/>
                <c:pt idx="0">
                  <c:v>424</c:v>
                </c:pt>
                <c:pt idx="1">
                  <c:v>234</c:v>
                </c:pt>
                <c:pt idx="2">
                  <c:v>64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Television</c:v>
                </c:pt>
              </c:strCache>
            </c:strRef>
          </c:tx>
          <c:invertIfNegative val="0"/>
          <c:cat>
            <c:strRef>
              <c:f>Sheet1!$A$5:$A$8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Sheet1!$E$5:$E$8</c:f>
              <c:numCache>
                <c:formatCode>General</c:formatCode>
                <c:ptCount val="3"/>
                <c:pt idx="0">
                  <c:v>498</c:v>
                </c:pt>
                <c:pt idx="1">
                  <c:v>130</c:v>
                </c:pt>
                <c:pt idx="2">
                  <c:v>88</c:v>
                </c:pt>
              </c:numCache>
            </c:numRef>
          </c:val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Video Games</c:v>
                </c:pt>
              </c:strCache>
            </c:strRef>
          </c:tx>
          <c:invertIfNegative val="0"/>
          <c:cat>
            <c:strRef>
              <c:f>Sheet1!$A$5:$A$8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Sheet1!$F$5:$F$8</c:f>
              <c:numCache>
                <c:formatCode>General</c:formatCode>
                <c:ptCount val="3"/>
                <c:pt idx="0">
                  <c:v>243</c:v>
                </c:pt>
                <c:pt idx="1">
                  <c:v>152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4575056"/>
        <c:axId val="284574272"/>
      </c:barChart>
      <c:catAx>
        <c:axId val="2845750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4574272"/>
        <c:crosses val="autoZero"/>
        <c:auto val="1"/>
        <c:lblAlgn val="ctr"/>
        <c:lblOffset val="100"/>
        <c:noMultiLvlLbl val="0"/>
      </c:catAx>
      <c:valAx>
        <c:axId val="284574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4575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[SaleData project of kartik.xlsx]Sheet1!PivotTable3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Managers</a:t>
            </a:r>
            <a:r>
              <a:rPr lang="en-US" baseline="0"/>
              <a:t> who sold most product in their region</a:t>
            </a:r>
            <a:endParaRPr lang="en-US"/>
          </a:p>
        </c:rich>
      </c:tx>
      <c:layout>
        <c:manualLayout>
          <c:xMode val="edge"/>
          <c:yMode val="edge"/>
          <c:x val="0.12773246521374237"/>
          <c:y val="1.0723863608217026E-2"/>
        </c:manualLayout>
      </c:layout>
      <c:overlay val="1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3877848602258104E-2"/>
          <c:y val="0.15943522572804891"/>
          <c:w val="0.73822667999833369"/>
          <c:h val="0.737204818371450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Sheet1!$B$12:$B$13</c:f>
              <c:strCache>
                <c:ptCount val="1"/>
                <c:pt idx="0">
                  <c:v>Central</c:v>
                </c:pt>
              </c:strCache>
            </c:strRef>
          </c:tx>
          <c:invertIfNegative val="0"/>
          <c:cat>
            <c:strRef>
              <c:f>Sheet1!$A$14:$A$18</c:f>
              <c:strCache>
                <c:ptCount val="4"/>
                <c:pt idx="0">
                  <c:v>Douglas</c:v>
                </c:pt>
                <c:pt idx="1">
                  <c:v>Hermann</c:v>
                </c:pt>
                <c:pt idx="2">
                  <c:v>Martha</c:v>
                </c:pt>
                <c:pt idx="3">
                  <c:v>Timothy</c:v>
                </c:pt>
              </c:strCache>
            </c:strRef>
          </c:cat>
          <c:val>
            <c:numRef>
              <c:f>Sheet1!$B$14:$B$18</c:f>
              <c:numCache>
                <c:formatCode>General</c:formatCode>
                <c:ptCount val="4"/>
                <c:pt idx="0">
                  <c:v>156</c:v>
                </c:pt>
                <c:pt idx="1">
                  <c:v>647</c:v>
                </c:pt>
                <c:pt idx="2">
                  <c:v>183</c:v>
                </c:pt>
                <c:pt idx="3">
                  <c:v>213</c:v>
                </c:pt>
              </c:numCache>
            </c:numRef>
          </c:val>
        </c:ser>
        <c:ser>
          <c:idx val="1"/>
          <c:order val="1"/>
          <c:tx>
            <c:strRef>
              <c:f>Sheet1!$C$12:$C$13</c:f>
              <c:strCache>
                <c:ptCount val="1"/>
                <c:pt idx="0">
                  <c:v>East</c:v>
                </c:pt>
              </c:strCache>
            </c:strRef>
          </c:tx>
          <c:invertIfNegative val="0"/>
          <c:cat>
            <c:strRef>
              <c:f>Sheet1!$A$14:$A$18</c:f>
              <c:strCache>
                <c:ptCount val="4"/>
                <c:pt idx="0">
                  <c:v>Douglas</c:v>
                </c:pt>
                <c:pt idx="1">
                  <c:v>Hermann</c:v>
                </c:pt>
                <c:pt idx="2">
                  <c:v>Martha</c:v>
                </c:pt>
                <c:pt idx="3">
                  <c:v>Timothy</c:v>
                </c:pt>
              </c:strCache>
            </c:strRef>
          </c:cat>
          <c:val>
            <c:numRef>
              <c:f>Sheet1!$C$14:$C$18</c:f>
              <c:numCache>
                <c:formatCode>General</c:formatCode>
                <c:ptCount val="4"/>
                <c:pt idx="0">
                  <c:v>170</c:v>
                </c:pt>
                <c:pt idx="2">
                  <c:v>521</c:v>
                </c:pt>
              </c:numCache>
            </c:numRef>
          </c:val>
        </c:ser>
        <c:ser>
          <c:idx val="2"/>
          <c:order val="2"/>
          <c:tx>
            <c:strRef>
              <c:f>Sheet1!$D$12:$D$13</c:f>
              <c:strCache>
                <c:ptCount val="1"/>
                <c:pt idx="0">
                  <c:v>West</c:v>
                </c:pt>
              </c:strCache>
            </c:strRef>
          </c:tx>
          <c:invertIfNegative val="0"/>
          <c:cat>
            <c:strRef>
              <c:f>Sheet1!$A$14:$A$18</c:f>
              <c:strCache>
                <c:ptCount val="4"/>
                <c:pt idx="0">
                  <c:v>Douglas</c:v>
                </c:pt>
                <c:pt idx="1">
                  <c:v>Hermann</c:v>
                </c:pt>
                <c:pt idx="2">
                  <c:v>Martha</c:v>
                </c:pt>
                <c:pt idx="3">
                  <c:v>Timothy</c:v>
                </c:pt>
              </c:strCache>
            </c:strRef>
          </c:cat>
          <c:val>
            <c:numRef>
              <c:f>Sheet1!$D$14:$D$18</c:f>
              <c:numCache>
                <c:formatCode>General</c:formatCode>
                <c:ptCount val="4"/>
                <c:pt idx="0">
                  <c:v>89</c:v>
                </c:pt>
                <c:pt idx="3">
                  <c:v>142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4572312"/>
        <c:axId val="284571920"/>
      </c:barChart>
      <c:catAx>
        <c:axId val="284572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4571920"/>
        <c:crosses val="autoZero"/>
        <c:auto val="1"/>
        <c:lblAlgn val="ctr"/>
        <c:lblOffset val="100"/>
        <c:noMultiLvlLbl val="0"/>
      </c:catAx>
      <c:valAx>
        <c:axId val="284571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4572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[SaleData project of kartik.xlsx]Sheet1!PivotTable4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Which</a:t>
            </a:r>
            <a:r>
              <a:rPr lang="en-US" baseline="0"/>
              <a:t>  product generated most revenue according to their region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Sheet1!$B$20:$B$21</c:f>
              <c:strCache>
                <c:ptCount val="1"/>
                <c:pt idx="0">
                  <c:v>Cell Phone</c:v>
                </c:pt>
              </c:strCache>
            </c:strRef>
          </c:tx>
          <c:invertIfNegative val="0"/>
          <c:cat>
            <c:strRef>
              <c:f>Sheet1!$A$22:$A$25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Sheet1!$B$22:$B$25</c:f>
              <c:numCache>
                <c:formatCode>General</c:formatCode>
                <c:ptCount val="3"/>
                <c:pt idx="0">
                  <c:v>6075</c:v>
                </c:pt>
                <c:pt idx="1">
                  <c:v>39375</c:v>
                </c:pt>
                <c:pt idx="2">
                  <c:v>17100</c:v>
                </c:pt>
              </c:numCache>
            </c:numRef>
          </c:val>
        </c:ser>
        <c:ser>
          <c:idx val="1"/>
          <c:order val="1"/>
          <c:tx>
            <c:strRef>
              <c:f>Sheet1!$C$20:$C$21</c:f>
              <c:strCache>
                <c:ptCount val="1"/>
                <c:pt idx="0">
                  <c:v>Desk</c:v>
                </c:pt>
              </c:strCache>
            </c:strRef>
          </c:tx>
          <c:invertIfNegative val="0"/>
          <c:cat>
            <c:strRef>
              <c:f>Sheet1!$A$22:$A$25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Sheet1!$C$22:$C$25</c:f>
              <c:numCache>
                <c:formatCode>General</c:formatCode>
                <c:ptCount val="3"/>
                <c:pt idx="0">
                  <c:v>875</c:v>
                </c:pt>
                <c:pt idx="2">
                  <c:v>375</c:v>
                </c:pt>
              </c:numCache>
            </c:numRef>
          </c:val>
        </c:ser>
        <c:ser>
          <c:idx val="2"/>
          <c:order val="2"/>
          <c:tx>
            <c:strRef>
              <c:f>Sheet1!$D$20:$D$21</c:f>
              <c:strCache>
                <c:ptCount val="1"/>
                <c:pt idx="0">
                  <c:v>Home Theater</c:v>
                </c:pt>
              </c:strCache>
            </c:strRef>
          </c:tx>
          <c:invertIfNegative val="0"/>
          <c:cat>
            <c:strRef>
              <c:f>Sheet1!$A$22:$A$25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Sheet1!$D$22:$D$25</c:f>
              <c:numCache>
                <c:formatCode>General</c:formatCode>
                <c:ptCount val="3"/>
                <c:pt idx="0">
                  <c:v>212000</c:v>
                </c:pt>
                <c:pt idx="1">
                  <c:v>117000</c:v>
                </c:pt>
                <c:pt idx="2">
                  <c:v>32000</c:v>
                </c:pt>
              </c:numCache>
            </c:numRef>
          </c:val>
        </c:ser>
        <c:ser>
          <c:idx val="3"/>
          <c:order val="3"/>
          <c:tx>
            <c:strRef>
              <c:f>Sheet1!$E$20:$E$21</c:f>
              <c:strCache>
                <c:ptCount val="1"/>
                <c:pt idx="0">
                  <c:v>Television</c:v>
                </c:pt>
              </c:strCache>
            </c:strRef>
          </c:tx>
          <c:invertIfNegative val="0"/>
          <c:cat>
            <c:strRef>
              <c:f>Sheet1!$A$22:$A$25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Sheet1!$E$22:$E$25</c:f>
              <c:numCache>
                <c:formatCode>General</c:formatCode>
                <c:ptCount val="3"/>
                <c:pt idx="0">
                  <c:v>596604</c:v>
                </c:pt>
                <c:pt idx="1">
                  <c:v>155740</c:v>
                </c:pt>
                <c:pt idx="2">
                  <c:v>105424</c:v>
                </c:pt>
              </c:numCache>
            </c:numRef>
          </c:val>
        </c:ser>
        <c:ser>
          <c:idx val="4"/>
          <c:order val="4"/>
          <c:tx>
            <c:strRef>
              <c:f>Sheet1!$F$20:$F$21</c:f>
              <c:strCache>
                <c:ptCount val="1"/>
                <c:pt idx="0">
                  <c:v>Video Games</c:v>
                </c:pt>
              </c:strCache>
            </c:strRef>
          </c:tx>
          <c:invertIfNegative val="0"/>
          <c:cat>
            <c:strRef>
              <c:f>Sheet1!$A$22:$A$25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Sheet1!$F$22:$F$25</c:f>
              <c:numCache>
                <c:formatCode>General</c:formatCode>
                <c:ptCount val="3"/>
                <c:pt idx="0">
                  <c:v>14215.5</c:v>
                </c:pt>
                <c:pt idx="1">
                  <c:v>8892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84573488"/>
        <c:axId val="284574664"/>
      </c:barChart>
      <c:catAx>
        <c:axId val="284573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84574664"/>
        <c:crosses val="autoZero"/>
        <c:auto val="1"/>
        <c:lblAlgn val="ctr"/>
        <c:lblOffset val="100"/>
        <c:noMultiLvlLbl val="0"/>
      </c:catAx>
      <c:valAx>
        <c:axId val="2845746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8457348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[SaleData project of kartik.xlsx]Sheet2!PivotTable8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Unit_price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3"/>
                <c:pt idx="0">
                  <c:v>15491</c:v>
                </c:pt>
                <c:pt idx="1">
                  <c:v>5746.5</c:v>
                </c:pt>
                <c:pt idx="2">
                  <c:v>3746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552272"/>
        <c:axId val="285546392"/>
      </c:barChart>
      <c:catAx>
        <c:axId val="28555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46392"/>
        <c:crosses val="autoZero"/>
        <c:auto val="1"/>
        <c:lblAlgn val="ctr"/>
        <c:lblOffset val="100"/>
        <c:noMultiLvlLbl val="0"/>
      </c:catAx>
      <c:valAx>
        <c:axId val="28554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Unit_price by Manager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Douglas</c:v>
              </c:pt>
              <c:pt idx="1">
                <c:v>Hermann</c:v>
              </c:pt>
              <c:pt idx="2">
                <c:v>Martha</c:v>
              </c:pt>
              <c:pt idx="3">
                <c:v>Timothy</c:v>
              </c:pt>
            </c:strLit>
          </c:cat>
          <c:val>
            <c:numLit>
              <c:formatCode>General</c:formatCode>
              <c:ptCount val="4"/>
              <c:pt idx="0">
                <c:v>4304.5</c:v>
              </c:pt>
              <c:pt idx="1">
                <c:v>5953</c:v>
              </c:pt>
              <c:pt idx="2">
                <c:v>9057</c:v>
              </c:pt>
              <c:pt idx="3">
                <c:v>5669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553448"/>
        <c:axId val="285553056"/>
      </c:barChart>
      <c:catAx>
        <c:axId val="28555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53056"/>
        <c:crosses val="autoZero"/>
        <c:auto val="1"/>
        <c:lblAlgn val="ctr"/>
        <c:lblOffset val="100"/>
        <c:noMultiLvlLbl val="0"/>
      </c:catAx>
      <c:valAx>
        <c:axId val="2855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53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Sale_amt by Item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Cell Phone</c:v>
              </c:pt>
              <c:pt idx="1">
                <c:v>Desk</c:v>
              </c:pt>
              <c:pt idx="2">
                <c:v>Home Theater</c:v>
              </c:pt>
              <c:pt idx="3">
                <c:v>Television</c:v>
              </c:pt>
              <c:pt idx="4">
                <c:v>Video Games</c:v>
              </c:pt>
            </c:strLit>
          </c:cat>
          <c:val>
            <c:numLit>
              <c:formatCode>General</c:formatCode>
              <c:ptCount val="5"/>
              <c:pt idx="0">
                <c:v>62550</c:v>
              </c:pt>
              <c:pt idx="1">
                <c:v>1250</c:v>
              </c:pt>
              <c:pt idx="2">
                <c:v>361000</c:v>
              </c:pt>
              <c:pt idx="3">
                <c:v>857768</c:v>
              </c:pt>
              <c:pt idx="4">
                <c:v>23107.5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551880"/>
        <c:axId val="285548744"/>
      </c:barChart>
      <c:catAx>
        <c:axId val="28555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48744"/>
        <c:crosses val="autoZero"/>
        <c:auto val="1"/>
        <c:lblAlgn val="ctr"/>
        <c:lblOffset val="100"/>
        <c:noMultiLvlLbl val="0"/>
      </c:catAx>
      <c:valAx>
        <c:axId val="28554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51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SaleData!$G$1</c:f>
              <c:strCache>
                <c:ptCount val="1"/>
                <c:pt idx="0">
                  <c:v>Unit_price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SaleData!$F$2:$F$44</c:f>
              <c:numCache>
                <c:formatCode>General</c:formatCode>
                <c:ptCount val="43"/>
                <c:pt idx="0">
                  <c:v>87</c:v>
                </c:pt>
                <c:pt idx="1">
                  <c:v>67</c:v>
                </c:pt>
                <c:pt idx="2">
                  <c:v>2</c:v>
                </c:pt>
                <c:pt idx="3">
                  <c:v>94</c:v>
                </c:pt>
                <c:pt idx="4">
                  <c:v>11</c:v>
                </c:pt>
                <c:pt idx="5">
                  <c:v>50</c:v>
                </c:pt>
                <c:pt idx="6">
                  <c:v>90</c:v>
                </c:pt>
                <c:pt idx="7">
                  <c:v>36</c:v>
                </c:pt>
                <c:pt idx="8">
                  <c:v>42</c:v>
                </c:pt>
                <c:pt idx="9">
                  <c:v>5</c:v>
                </c:pt>
                <c:pt idx="10">
                  <c:v>96</c:v>
                </c:pt>
                <c:pt idx="11">
                  <c:v>50</c:v>
                </c:pt>
                <c:pt idx="12">
                  <c:v>55</c:v>
                </c:pt>
                <c:pt idx="13">
                  <c:v>28</c:v>
                </c:pt>
                <c:pt idx="14">
                  <c:v>90</c:v>
                </c:pt>
                <c:pt idx="15">
                  <c:v>28</c:v>
                </c:pt>
                <c:pt idx="16">
                  <c:v>14</c:v>
                </c:pt>
                <c:pt idx="17">
                  <c:v>66</c:v>
                </c:pt>
                <c:pt idx="18">
                  <c:v>75</c:v>
                </c:pt>
                <c:pt idx="19">
                  <c:v>7</c:v>
                </c:pt>
                <c:pt idx="20">
                  <c:v>80</c:v>
                </c:pt>
                <c:pt idx="21">
                  <c:v>53</c:v>
                </c:pt>
                <c:pt idx="22">
                  <c:v>46</c:v>
                </c:pt>
                <c:pt idx="23">
                  <c:v>27</c:v>
                </c:pt>
                <c:pt idx="24">
                  <c:v>74</c:v>
                </c:pt>
                <c:pt idx="25">
                  <c:v>15</c:v>
                </c:pt>
                <c:pt idx="26">
                  <c:v>81</c:v>
                </c:pt>
                <c:pt idx="27">
                  <c:v>62</c:v>
                </c:pt>
                <c:pt idx="28">
                  <c:v>4</c:v>
                </c:pt>
                <c:pt idx="29">
                  <c:v>64</c:v>
                </c:pt>
                <c:pt idx="30">
                  <c:v>16</c:v>
                </c:pt>
                <c:pt idx="31">
                  <c:v>35</c:v>
                </c:pt>
                <c:pt idx="32">
                  <c:v>60</c:v>
                </c:pt>
                <c:pt idx="33">
                  <c:v>60</c:v>
                </c:pt>
                <c:pt idx="34">
                  <c:v>95</c:v>
                </c:pt>
                <c:pt idx="35">
                  <c:v>96</c:v>
                </c:pt>
                <c:pt idx="36">
                  <c:v>29</c:v>
                </c:pt>
                <c:pt idx="37">
                  <c:v>57</c:v>
                </c:pt>
                <c:pt idx="38">
                  <c:v>32</c:v>
                </c:pt>
                <c:pt idx="39">
                  <c:v>76</c:v>
                </c:pt>
                <c:pt idx="40">
                  <c:v>3</c:v>
                </c:pt>
                <c:pt idx="41">
                  <c:v>7</c:v>
                </c:pt>
                <c:pt idx="42">
                  <c:v>56</c:v>
                </c:pt>
              </c:numCache>
            </c:numRef>
          </c:xVal>
          <c:yVal>
            <c:numRef>
              <c:f>SaleData!$G$2:$G$44</c:f>
              <c:numCache>
                <c:formatCode>_(* #,##0.00_);_(* \(#,##0.00\);_(* "-"??_);_(@_)</c:formatCode>
                <c:ptCount val="43"/>
                <c:pt idx="0">
                  <c:v>500</c:v>
                </c:pt>
                <c:pt idx="1">
                  <c:v>1198</c:v>
                </c:pt>
                <c:pt idx="2">
                  <c:v>125</c:v>
                </c:pt>
                <c:pt idx="3">
                  <c:v>500</c:v>
                </c:pt>
                <c:pt idx="4">
                  <c:v>500</c:v>
                </c:pt>
                <c:pt idx="5">
                  <c:v>58.5</c:v>
                </c:pt>
                <c:pt idx="6">
                  <c:v>1198</c:v>
                </c:pt>
                <c:pt idx="7">
                  <c:v>1198</c:v>
                </c:pt>
                <c:pt idx="8">
                  <c:v>58.5</c:v>
                </c:pt>
                <c:pt idx="9">
                  <c:v>125</c:v>
                </c:pt>
                <c:pt idx="10">
                  <c:v>58.5</c:v>
                </c:pt>
                <c:pt idx="11">
                  <c:v>500</c:v>
                </c:pt>
                <c:pt idx="12">
                  <c:v>58.5</c:v>
                </c:pt>
                <c:pt idx="13">
                  <c:v>500</c:v>
                </c:pt>
                <c:pt idx="14">
                  <c:v>1198</c:v>
                </c:pt>
                <c:pt idx="15">
                  <c:v>500</c:v>
                </c:pt>
                <c:pt idx="16">
                  <c:v>1198</c:v>
                </c:pt>
                <c:pt idx="17">
                  <c:v>1198</c:v>
                </c:pt>
                <c:pt idx="18">
                  <c:v>1198</c:v>
                </c:pt>
                <c:pt idx="19">
                  <c:v>1198</c:v>
                </c:pt>
                <c:pt idx="20">
                  <c:v>500</c:v>
                </c:pt>
                <c:pt idx="21">
                  <c:v>1198</c:v>
                </c:pt>
                <c:pt idx="22">
                  <c:v>500</c:v>
                </c:pt>
                <c:pt idx="23">
                  <c:v>225</c:v>
                </c:pt>
                <c:pt idx="24">
                  <c:v>58.5</c:v>
                </c:pt>
                <c:pt idx="25">
                  <c:v>225</c:v>
                </c:pt>
                <c:pt idx="26">
                  <c:v>500</c:v>
                </c:pt>
                <c:pt idx="27">
                  <c:v>58.5</c:v>
                </c:pt>
                <c:pt idx="28">
                  <c:v>500</c:v>
                </c:pt>
                <c:pt idx="29">
                  <c:v>225</c:v>
                </c:pt>
                <c:pt idx="30">
                  <c:v>58.5</c:v>
                </c:pt>
                <c:pt idx="31">
                  <c:v>1198</c:v>
                </c:pt>
                <c:pt idx="32">
                  <c:v>500</c:v>
                </c:pt>
                <c:pt idx="33">
                  <c:v>500</c:v>
                </c:pt>
                <c:pt idx="34">
                  <c:v>1198</c:v>
                </c:pt>
                <c:pt idx="35">
                  <c:v>225</c:v>
                </c:pt>
                <c:pt idx="36">
                  <c:v>500</c:v>
                </c:pt>
                <c:pt idx="37">
                  <c:v>500</c:v>
                </c:pt>
                <c:pt idx="38">
                  <c:v>1198</c:v>
                </c:pt>
                <c:pt idx="39">
                  <c:v>225</c:v>
                </c:pt>
                <c:pt idx="40">
                  <c:v>125</c:v>
                </c:pt>
                <c:pt idx="41">
                  <c:v>500</c:v>
                </c:pt>
                <c:pt idx="42">
                  <c:v>1198</c:v>
                </c:pt>
              </c:numCache>
            </c:numRef>
          </c:yVal>
          <c:bubbleSize>
            <c:numRef>
              <c:f>SaleData!$H$2:$H$44</c:f>
              <c:numCache>
                <c:formatCode>_(* #,##0.00_);_(* \(#,##0.00\);_(* "-"??_);_(@_)</c:formatCode>
                <c:ptCount val="43"/>
                <c:pt idx="0">
                  <c:v>43500</c:v>
                </c:pt>
                <c:pt idx="1">
                  <c:v>80266</c:v>
                </c:pt>
                <c:pt idx="2">
                  <c:v>250</c:v>
                </c:pt>
                <c:pt idx="3">
                  <c:v>47000</c:v>
                </c:pt>
                <c:pt idx="4">
                  <c:v>5500</c:v>
                </c:pt>
                <c:pt idx="5">
                  <c:v>2925</c:v>
                </c:pt>
                <c:pt idx="6">
                  <c:v>107820</c:v>
                </c:pt>
                <c:pt idx="7">
                  <c:v>43128</c:v>
                </c:pt>
                <c:pt idx="8">
                  <c:v>2457</c:v>
                </c:pt>
                <c:pt idx="9">
                  <c:v>625</c:v>
                </c:pt>
                <c:pt idx="10">
                  <c:v>5616</c:v>
                </c:pt>
                <c:pt idx="11">
                  <c:v>25000</c:v>
                </c:pt>
                <c:pt idx="12">
                  <c:v>3217.5</c:v>
                </c:pt>
                <c:pt idx="13">
                  <c:v>14000</c:v>
                </c:pt>
                <c:pt idx="14">
                  <c:v>107820</c:v>
                </c:pt>
                <c:pt idx="15">
                  <c:v>14000</c:v>
                </c:pt>
                <c:pt idx="16">
                  <c:v>16772</c:v>
                </c:pt>
                <c:pt idx="17">
                  <c:v>79068</c:v>
                </c:pt>
                <c:pt idx="18">
                  <c:v>89850</c:v>
                </c:pt>
                <c:pt idx="19">
                  <c:v>8386</c:v>
                </c:pt>
                <c:pt idx="20">
                  <c:v>40000</c:v>
                </c:pt>
                <c:pt idx="21">
                  <c:v>63494</c:v>
                </c:pt>
                <c:pt idx="22">
                  <c:v>23000</c:v>
                </c:pt>
                <c:pt idx="23">
                  <c:v>6075</c:v>
                </c:pt>
                <c:pt idx="24">
                  <c:v>4329</c:v>
                </c:pt>
                <c:pt idx="25">
                  <c:v>3375</c:v>
                </c:pt>
                <c:pt idx="26">
                  <c:v>40500</c:v>
                </c:pt>
                <c:pt idx="27">
                  <c:v>3627</c:v>
                </c:pt>
                <c:pt idx="28">
                  <c:v>2000</c:v>
                </c:pt>
                <c:pt idx="29">
                  <c:v>14400</c:v>
                </c:pt>
                <c:pt idx="30">
                  <c:v>936</c:v>
                </c:pt>
                <c:pt idx="31">
                  <c:v>41930</c:v>
                </c:pt>
                <c:pt idx="32">
                  <c:v>30000</c:v>
                </c:pt>
                <c:pt idx="33">
                  <c:v>30000</c:v>
                </c:pt>
                <c:pt idx="34">
                  <c:v>113810</c:v>
                </c:pt>
                <c:pt idx="35">
                  <c:v>21600</c:v>
                </c:pt>
                <c:pt idx="36">
                  <c:v>14500</c:v>
                </c:pt>
                <c:pt idx="37">
                  <c:v>28500</c:v>
                </c:pt>
                <c:pt idx="38">
                  <c:v>38336</c:v>
                </c:pt>
                <c:pt idx="39">
                  <c:v>17100</c:v>
                </c:pt>
                <c:pt idx="40">
                  <c:v>375</c:v>
                </c:pt>
                <c:pt idx="41">
                  <c:v>3500</c:v>
                </c:pt>
                <c:pt idx="42">
                  <c:v>67088</c:v>
                </c:pt>
              </c:numCache>
            </c:numRef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85553840"/>
        <c:axId val="285547960"/>
      </c:bubbleChart>
      <c:valAx>
        <c:axId val="28555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47960"/>
        <c:crosses val="autoZero"/>
        <c:crossBetween val="midCat"/>
      </c:valAx>
      <c:valAx>
        <c:axId val="28554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5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1</xdr:row>
      <xdr:rowOff>57149</xdr:rowOff>
    </xdr:from>
    <xdr:to>
      <xdr:col>15</xdr:col>
      <xdr:colOff>0</xdr:colOff>
      <xdr:row>18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247650</xdr:colOff>
      <xdr:row>1</xdr:row>
      <xdr:rowOff>1</xdr:rowOff>
    </xdr:from>
    <xdr:to>
      <xdr:col>23</xdr:col>
      <xdr:colOff>47625</xdr:colOff>
      <xdr:row>19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171450</xdr:colOff>
      <xdr:row>20</xdr:row>
      <xdr:rowOff>57149</xdr:rowOff>
    </xdr:from>
    <xdr:to>
      <xdr:col>15</xdr:col>
      <xdr:colOff>323850</xdr:colOff>
      <xdr:row>36</xdr:row>
      <xdr:rowOff>9524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7</xdr:row>
      <xdr:rowOff>33337</xdr:rowOff>
    </xdr:from>
    <xdr:to>
      <xdr:col>6</xdr:col>
      <xdr:colOff>561975</xdr:colOff>
      <xdr:row>21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200025</xdr:colOff>
      <xdr:row>7</xdr:row>
      <xdr:rowOff>42862</xdr:rowOff>
    </xdr:from>
    <xdr:to>
      <xdr:col>14</xdr:col>
      <xdr:colOff>504825</xdr:colOff>
      <xdr:row>21</xdr:row>
      <xdr:rowOff>119062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209550</xdr:colOff>
      <xdr:row>22</xdr:row>
      <xdr:rowOff>166687</xdr:rowOff>
    </xdr:from>
    <xdr:to>
      <xdr:col>6</xdr:col>
      <xdr:colOff>581025</xdr:colOff>
      <xdr:row>37</xdr:row>
      <xdr:rowOff>52387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342900</xdr:colOff>
      <xdr:row>23</xdr:row>
      <xdr:rowOff>90487</xdr:rowOff>
    </xdr:from>
    <xdr:to>
      <xdr:col>15</xdr:col>
      <xdr:colOff>38100</xdr:colOff>
      <xdr:row>37</xdr:row>
      <xdr:rowOff>166687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5663.298395138889" createdVersion="3" refreshedVersion="3" minRefreshableVersion="3" recordCount="43">
  <cacheSource type="worksheet">
    <worksheetSource ref="A1:H44" sheet="SaleData"/>
  </cacheSource>
  <cacheFields count="8">
    <cacheField name="OrderDate" numFmtId="164">
      <sharedItems containsSemiMixedTypes="0" containsNonDate="0" containsDate="1" containsString="0" minDate="2018-01-06T00:00:00" maxDate="2019-12-22T00:00:00"/>
    </cacheField>
    <cacheField name="Region" numFmtId="0">
      <sharedItems count="3">
        <s v="East"/>
        <s v="Central"/>
        <s v="West"/>
      </sharedItems>
    </cacheField>
    <cacheField name="Manager" numFmtId="0">
      <sharedItems count="4">
        <s v="Martha"/>
        <s v="Timothy"/>
        <s v="Douglas"/>
        <s v="Hermann"/>
      </sharedItems>
    </cacheField>
    <cacheField name="SalesMan" numFmtId="0">
      <sharedItems count="11">
        <s v="Alexander"/>
        <s v="David"/>
        <s v="Diana"/>
        <s v="John"/>
        <s v="Karen"/>
        <s v="Luis"/>
        <s v="Michael"/>
        <s v="Shelli"/>
        <s v="Sigal"/>
        <s v="Stephen"/>
        <s v="Steven"/>
      </sharedItems>
    </cacheField>
    <cacheField name="Item" numFmtId="0">
      <sharedItems count="5">
        <s v="Video Games"/>
        <s v="Home Theater"/>
        <s v="Cell Phone"/>
        <s v="Television"/>
        <s v="Desk"/>
      </sharedItems>
    </cacheField>
    <cacheField name="Units" numFmtId="0">
      <sharedItems containsSemiMixedTypes="0" containsString="0" containsNumber="1" containsInteger="1" minValue="2" maxValue="96" count="37">
        <n v="62"/>
        <n v="4"/>
        <n v="64"/>
        <n v="16"/>
        <n v="35"/>
        <n v="60"/>
        <n v="95"/>
        <n v="7"/>
        <n v="80"/>
        <n v="53"/>
        <n v="46"/>
        <n v="27"/>
        <n v="96"/>
        <n v="29"/>
        <n v="87"/>
        <n v="67"/>
        <n v="2"/>
        <n v="74"/>
        <n v="15"/>
        <n v="81"/>
        <n v="94"/>
        <n v="11"/>
        <n v="50"/>
        <n v="90"/>
        <n v="36"/>
        <n v="57"/>
        <n v="32"/>
        <n v="42"/>
        <n v="5"/>
        <n v="55"/>
        <n v="28"/>
        <n v="76"/>
        <n v="3"/>
        <n v="56"/>
        <n v="14"/>
        <n v="66"/>
        <n v="75"/>
      </sharedItems>
    </cacheField>
    <cacheField name="Unit_price" numFmtId="43">
      <sharedItems containsSemiMixedTypes="0" containsString="0" containsNumber="1" minValue="58.5" maxValue="1198" count="5">
        <n v="58.5"/>
        <n v="500"/>
        <n v="225"/>
        <n v="1198"/>
        <n v="125"/>
      </sharedItems>
    </cacheField>
    <cacheField name="Sale_amt" numFmtId="43">
      <sharedItems containsSemiMixedTypes="0" containsString="0" containsNumber="1" minValue="250" maxValue="113810" count="40">
        <n v="3627"/>
        <n v="2000"/>
        <n v="14400"/>
        <n v="936"/>
        <n v="41930"/>
        <n v="30000"/>
        <n v="113810"/>
        <n v="8386"/>
        <n v="40000"/>
        <n v="63494"/>
        <n v="23000"/>
        <n v="6075"/>
        <n v="21600"/>
        <n v="14500"/>
        <n v="43500"/>
        <n v="80266"/>
        <n v="250"/>
        <n v="4329"/>
        <n v="3375"/>
        <n v="40500"/>
        <n v="47000"/>
        <n v="5500"/>
        <n v="2925"/>
        <n v="107820"/>
        <n v="43128"/>
        <n v="28500"/>
        <n v="38336"/>
        <n v="2457"/>
        <n v="625"/>
        <n v="5616"/>
        <n v="25000"/>
        <n v="3217.5"/>
        <n v="14000"/>
        <n v="17100"/>
        <n v="375"/>
        <n v="3500"/>
        <n v="67088"/>
        <n v="16772"/>
        <n v="79068"/>
        <n v="898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5712.277416203702" createdVersion="5" refreshedVersion="5" minRefreshableVersion="3" recordCount="43">
  <cacheSource type="worksheet">
    <worksheetSource ref="A1:H44" sheet="SaleData"/>
  </cacheSource>
  <cacheFields count="8">
    <cacheField name="OrderDate" numFmtId="164">
      <sharedItems containsSemiMixedTypes="0" containsNonDate="0" containsDate="1" containsString="0" minDate="2018-01-06T00:00:00" maxDate="2019-12-22T00:00:00"/>
    </cacheField>
    <cacheField name="Region" numFmtId="0">
      <sharedItems count="3">
        <s v="Central"/>
        <s v="East"/>
        <s v="West"/>
      </sharedItems>
    </cacheField>
    <cacheField name="Manager" numFmtId="0">
      <sharedItems/>
    </cacheField>
    <cacheField name="SalesMan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43">
      <sharedItems containsSemiMixedTypes="0" containsString="0" containsNumber="1" minValue="58.5" maxValue="1198"/>
    </cacheField>
    <cacheField name="Sale_amt" numFmtId="43">
      <sharedItems containsSemiMixedTypes="0" containsString="0" containsNumber="1" minValue="250" maxValue="1138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d v="2019-07-04T00:00:00"/>
    <x v="0"/>
    <x v="0"/>
    <x v="0"/>
    <x v="0"/>
    <x v="0"/>
    <x v="0"/>
    <x v="0"/>
  </r>
  <r>
    <d v="2019-02-18T00:00:00"/>
    <x v="0"/>
    <x v="0"/>
    <x v="0"/>
    <x v="1"/>
    <x v="1"/>
    <x v="1"/>
    <x v="1"/>
  </r>
  <r>
    <d v="2018-10-22T00:00:00"/>
    <x v="0"/>
    <x v="0"/>
    <x v="0"/>
    <x v="2"/>
    <x v="2"/>
    <x v="2"/>
    <x v="2"/>
  </r>
  <r>
    <d v="2018-09-18T00:00:00"/>
    <x v="0"/>
    <x v="0"/>
    <x v="0"/>
    <x v="0"/>
    <x v="3"/>
    <x v="0"/>
    <x v="3"/>
  </r>
  <r>
    <d v="2018-08-15T00:00:00"/>
    <x v="0"/>
    <x v="0"/>
    <x v="0"/>
    <x v="3"/>
    <x v="4"/>
    <x v="3"/>
    <x v="4"/>
  </r>
  <r>
    <d v="2018-06-08T00:00:00"/>
    <x v="0"/>
    <x v="0"/>
    <x v="0"/>
    <x v="1"/>
    <x v="5"/>
    <x v="1"/>
    <x v="5"/>
  </r>
  <r>
    <d v="2018-04-01T00:00:00"/>
    <x v="0"/>
    <x v="0"/>
    <x v="0"/>
    <x v="1"/>
    <x v="5"/>
    <x v="1"/>
    <x v="5"/>
  </r>
  <r>
    <d v="2018-01-06T00:00:00"/>
    <x v="0"/>
    <x v="0"/>
    <x v="0"/>
    <x v="3"/>
    <x v="6"/>
    <x v="3"/>
    <x v="6"/>
  </r>
  <r>
    <d v="2019-09-10T00:00:00"/>
    <x v="1"/>
    <x v="1"/>
    <x v="1"/>
    <x v="3"/>
    <x v="7"/>
    <x v="3"/>
    <x v="7"/>
  </r>
  <r>
    <d v="2019-05-31T00:00:00"/>
    <x v="1"/>
    <x v="1"/>
    <x v="1"/>
    <x v="1"/>
    <x v="8"/>
    <x v="1"/>
    <x v="8"/>
  </r>
  <r>
    <d v="2019-05-14T00:00:00"/>
    <x v="1"/>
    <x v="1"/>
    <x v="1"/>
    <x v="3"/>
    <x v="9"/>
    <x v="3"/>
    <x v="9"/>
  </r>
  <r>
    <d v="2019-01-15T00:00:00"/>
    <x v="1"/>
    <x v="1"/>
    <x v="1"/>
    <x v="1"/>
    <x v="10"/>
    <x v="1"/>
    <x v="10"/>
  </r>
  <r>
    <d v="2018-02-26T00:00:00"/>
    <x v="1"/>
    <x v="1"/>
    <x v="1"/>
    <x v="2"/>
    <x v="11"/>
    <x v="2"/>
    <x v="11"/>
  </r>
  <r>
    <d v="2019-04-27T00:00:00"/>
    <x v="0"/>
    <x v="0"/>
    <x v="2"/>
    <x v="2"/>
    <x v="12"/>
    <x v="2"/>
    <x v="12"/>
  </r>
  <r>
    <d v="2018-07-12T00:00:00"/>
    <x v="0"/>
    <x v="0"/>
    <x v="2"/>
    <x v="1"/>
    <x v="13"/>
    <x v="1"/>
    <x v="13"/>
  </r>
  <r>
    <d v="2019-02-01T00:00:00"/>
    <x v="1"/>
    <x v="2"/>
    <x v="3"/>
    <x v="1"/>
    <x v="14"/>
    <x v="1"/>
    <x v="14"/>
  </r>
  <r>
    <d v="2018-12-12T00:00:00"/>
    <x v="1"/>
    <x v="2"/>
    <x v="3"/>
    <x v="3"/>
    <x v="15"/>
    <x v="3"/>
    <x v="15"/>
  </r>
  <r>
    <d v="2018-09-01T00:00:00"/>
    <x v="1"/>
    <x v="2"/>
    <x v="3"/>
    <x v="4"/>
    <x v="16"/>
    <x v="4"/>
    <x v="16"/>
  </r>
  <r>
    <d v="2018-12-29T00:00:00"/>
    <x v="0"/>
    <x v="2"/>
    <x v="4"/>
    <x v="0"/>
    <x v="17"/>
    <x v="0"/>
    <x v="17"/>
  </r>
  <r>
    <d v="2018-11-08T00:00:00"/>
    <x v="0"/>
    <x v="2"/>
    <x v="4"/>
    <x v="2"/>
    <x v="18"/>
    <x v="2"/>
    <x v="18"/>
  </r>
  <r>
    <d v="2018-07-29T00:00:00"/>
    <x v="0"/>
    <x v="2"/>
    <x v="4"/>
    <x v="1"/>
    <x v="19"/>
    <x v="1"/>
    <x v="19"/>
  </r>
  <r>
    <d v="2019-12-04T00:00:00"/>
    <x v="1"/>
    <x v="3"/>
    <x v="5"/>
    <x v="1"/>
    <x v="20"/>
    <x v="1"/>
    <x v="20"/>
  </r>
  <r>
    <d v="2019-11-17T00:00:00"/>
    <x v="1"/>
    <x v="3"/>
    <x v="5"/>
    <x v="1"/>
    <x v="21"/>
    <x v="1"/>
    <x v="21"/>
  </r>
  <r>
    <d v="2019-03-24T00:00:00"/>
    <x v="1"/>
    <x v="3"/>
    <x v="5"/>
    <x v="0"/>
    <x v="22"/>
    <x v="0"/>
    <x v="22"/>
  </r>
  <r>
    <d v="2018-05-05T00:00:00"/>
    <x v="1"/>
    <x v="3"/>
    <x v="5"/>
    <x v="3"/>
    <x v="23"/>
    <x v="3"/>
    <x v="23"/>
  </r>
  <r>
    <d v="2018-02-09T00:00:00"/>
    <x v="1"/>
    <x v="3"/>
    <x v="5"/>
    <x v="3"/>
    <x v="24"/>
    <x v="3"/>
    <x v="24"/>
  </r>
  <r>
    <d v="2019-10-14T00:00:00"/>
    <x v="2"/>
    <x v="2"/>
    <x v="6"/>
    <x v="1"/>
    <x v="25"/>
    <x v="1"/>
    <x v="25"/>
  </r>
  <r>
    <d v="2018-05-22T00:00:00"/>
    <x v="2"/>
    <x v="2"/>
    <x v="6"/>
    <x v="3"/>
    <x v="26"/>
    <x v="3"/>
    <x v="26"/>
  </r>
  <r>
    <d v="2019-08-07T00:00:00"/>
    <x v="1"/>
    <x v="3"/>
    <x v="7"/>
    <x v="0"/>
    <x v="27"/>
    <x v="0"/>
    <x v="27"/>
  </r>
  <r>
    <d v="2019-06-17T00:00:00"/>
    <x v="1"/>
    <x v="3"/>
    <x v="7"/>
    <x v="4"/>
    <x v="28"/>
    <x v="4"/>
    <x v="28"/>
  </r>
  <r>
    <d v="2018-11-25T00:00:00"/>
    <x v="1"/>
    <x v="3"/>
    <x v="7"/>
    <x v="0"/>
    <x v="12"/>
    <x v="0"/>
    <x v="29"/>
  </r>
  <r>
    <d v="2018-01-23T00:00:00"/>
    <x v="1"/>
    <x v="3"/>
    <x v="7"/>
    <x v="1"/>
    <x v="22"/>
    <x v="1"/>
    <x v="30"/>
  </r>
  <r>
    <d v="2019-07-21T00:00:00"/>
    <x v="1"/>
    <x v="3"/>
    <x v="8"/>
    <x v="0"/>
    <x v="29"/>
    <x v="0"/>
    <x v="31"/>
  </r>
  <r>
    <d v="2018-10-05T00:00:00"/>
    <x v="1"/>
    <x v="3"/>
    <x v="8"/>
    <x v="1"/>
    <x v="30"/>
    <x v="1"/>
    <x v="32"/>
  </r>
  <r>
    <d v="2018-06-25T00:00:00"/>
    <x v="1"/>
    <x v="3"/>
    <x v="8"/>
    <x v="3"/>
    <x v="23"/>
    <x v="3"/>
    <x v="23"/>
  </r>
  <r>
    <d v="2019-09-27T00:00:00"/>
    <x v="2"/>
    <x v="1"/>
    <x v="9"/>
    <x v="2"/>
    <x v="31"/>
    <x v="2"/>
    <x v="33"/>
  </r>
  <r>
    <d v="2019-08-24T00:00:00"/>
    <x v="2"/>
    <x v="1"/>
    <x v="9"/>
    <x v="4"/>
    <x v="32"/>
    <x v="4"/>
    <x v="34"/>
  </r>
  <r>
    <d v="2019-03-07T00:00:00"/>
    <x v="2"/>
    <x v="1"/>
    <x v="9"/>
    <x v="1"/>
    <x v="7"/>
    <x v="1"/>
    <x v="35"/>
  </r>
  <r>
    <d v="2018-03-15T00:00:00"/>
    <x v="2"/>
    <x v="1"/>
    <x v="9"/>
    <x v="3"/>
    <x v="33"/>
    <x v="3"/>
    <x v="36"/>
  </r>
  <r>
    <d v="2019-12-21T00:00:00"/>
    <x v="1"/>
    <x v="0"/>
    <x v="10"/>
    <x v="1"/>
    <x v="30"/>
    <x v="1"/>
    <x v="32"/>
  </r>
  <r>
    <d v="2019-10-31T00:00:00"/>
    <x v="1"/>
    <x v="0"/>
    <x v="10"/>
    <x v="3"/>
    <x v="34"/>
    <x v="3"/>
    <x v="37"/>
  </r>
  <r>
    <d v="2019-04-10T00:00:00"/>
    <x v="1"/>
    <x v="0"/>
    <x v="10"/>
    <x v="3"/>
    <x v="35"/>
    <x v="3"/>
    <x v="38"/>
  </r>
  <r>
    <d v="2018-04-18T00:00:00"/>
    <x v="1"/>
    <x v="0"/>
    <x v="10"/>
    <x v="3"/>
    <x v="36"/>
    <x v="3"/>
    <x v="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3">
  <r>
    <d v="2019-02-01T00:00:00"/>
    <x v="0"/>
    <s v="Douglas"/>
    <s v="John"/>
    <s v="Home Theater"/>
    <n v="87"/>
    <n v="500"/>
    <n v="43500"/>
  </r>
  <r>
    <d v="2018-12-12T00:00:00"/>
    <x v="0"/>
    <s v="Douglas"/>
    <s v="John"/>
    <s v="Television"/>
    <n v="67"/>
    <n v="1198"/>
    <n v="80266"/>
  </r>
  <r>
    <d v="2018-09-01T00:00:00"/>
    <x v="0"/>
    <s v="Douglas"/>
    <s v="John"/>
    <s v="Desk"/>
    <n v="2"/>
    <n v="125"/>
    <n v="250"/>
  </r>
  <r>
    <d v="2019-12-04T00:00:00"/>
    <x v="0"/>
    <s v="Hermann"/>
    <s v="Luis"/>
    <s v="Home Theater"/>
    <n v="94"/>
    <n v="500"/>
    <n v="47000"/>
  </r>
  <r>
    <d v="2019-11-17T00:00:00"/>
    <x v="0"/>
    <s v="Hermann"/>
    <s v="Luis"/>
    <s v="Home Theater"/>
    <n v="11"/>
    <n v="500"/>
    <n v="5500"/>
  </r>
  <r>
    <d v="2019-03-24T00:00:00"/>
    <x v="0"/>
    <s v="Hermann"/>
    <s v="Luis"/>
    <s v="Video Games"/>
    <n v="50"/>
    <n v="58.5"/>
    <n v="2925"/>
  </r>
  <r>
    <d v="2018-05-05T00:00:00"/>
    <x v="0"/>
    <s v="Hermann"/>
    <s v="Luis"/>
    <s v="Television"/>
    <n v="90"/>
    <n v="1198"/>
    <n v="107820"/>
  </r>
  <r>
    <d v="2018-02-09T00:00:00"/>
    <x v="0"/>
    <s v="Hermann"/>
    <s v="Luis"/>
    <s v="Television"/>
    <n v="36"/>
    <n v="1198"/>
    <n v="43128"/>
  </r>
  <r>
    <d v="2019-08-07T00:00:00"/>
    <x v="0"/>
    <s v="Hermann"/>
    <s v="Shelli"/>
    <s v="Video Games"/>
    <n v="42"/>
    <n v="58.5"/>
    <n v="2457"/>
  </r>
  <r>
    <d v="2019-06-17T00:00:00"/>
    <x v="0"/>
    <s v="Hermann"/>
    <s v="Shelli"/>
    <s v="Desk"/>
    <n v="5"/>
    <n v="125"/>
    <n v="625"/>
  </r>
  <r>
    <d v="2018-11-25T00:00:00"/>
    <x v="0"/>
    <s v="Hermann"/>
    <s v="Shelli"/>
    <s v="Video Games"/>
    <n v="96"/>
    <n v="58.5"/>
    <n v="5616"/>
  </r>
  <r>
    <d v="2018-01-23T00:00:00"/>
    <x v="0"/>
    <s v="Hermann"/>
    <s v="Shelli"/>
    <s v="Home Theater"/>
    <n v="50"/>
    <n v="500"/>
    <n v="25000"/>
  </r>
  <r>
    <d v="2019-07-21T00:00:00"/>
    <x v="0"/>
    <s v="Hermann"/>
    <s v="Sigal"/>
    <s v="Video Games"/>
    <n v="55"/>
    <n v="58.5"/>
    <n v="3217.5"/>
  </r>
  <r>
    <d v="2018-10-05T00:00:00"/>
    <x v="0"/>
    <s v="Hermann"/>
    <s v="Sigal"/>
    <s v="Home Theater"/>
    <n v="28"/>
    <n v="500"/>
    <n v="14000"/>
  </r>
  <r>
    <d v="2018-06-25T00:00:00"/>
    <x v="0"/>
    <s v="Hermann"/>
    <s v="Sigal"/>
    <s v="Television"/>
    <n v="90"/>
    <n v="1198"/>
    <n v="107820"/>
  </r>
  <r>
    <d v="2019-12-21T00:00:00"/>
    <x v="0"/>
    <s v="Martha"/>
    <s v="Steven"/>
    <s v="Home Theater"/>
    <n v="28"/>
    <n v="500"/>
    <n v="14000"/>
  </r>
  <r>
    <d v="2019-10-31T00:00:00"/>
    <x v="0"/>
    <s v="Martha"/>
    <s v="Steven"/>
    <s v="Television"/>
    <n v="14"/>
    <n v="1198"/>
    <n v="16772"/>
  </r>
  <r>
    <d v="2019-04-10T00:00:00"/>
    <x v="0"/>
    <s v="Martha"/>
    <s v="Steven"/>
    <s v="Television"/>
    <n v="66"/>
    <n v="1198"/>
    <n v="79068"/>
  </r>
  <r>
    <d v="2018-04-18T00:00:00"/>
    <x v="0"/>
    <s v="Martha"/>
    <s v="Steven"/>
    <s v="Television"/>
    <n v="75"/>
    <n v="1198"/>
    <n v="89850"/>
  </r>
  <r>
    <d v="2019-09-10T00:00:00"/>
    <x v="0"/>
    <s v="Timothy"/>
    <s v="David"/>
    <s v="Television"/>
    <n v="7"/>
    <n v="1198"/>
    <n v="8386"/>
  </r>
  <r>
    <d v="2019-05-31T00:00:00"/>
    <x v="0"/>
    <s v="Timothy"/>
    <s v="David"/>
    <s v="Home Theater"/>
    <n v="80"/>
    <n v="500"/>
    <n v="40000"/>
  </r>
  <r>
    <d v="2019-05-14T00:00:00"/>
    <x v="0"/>
    <s v="Timothy"/>
    <s v="David"/>
    <s v="Television"/>
    <n v="53"/>
    <n v="1198"/>
    <n v="63494"/>
  </r>
  <r>
    <d v="2019-01-15T00:00:00"/>
    <x v="0"/>
    <s v="Timothy"/>
    <s v="David"/>
    <s v="Home Theater"/>
    <n v="46"/>
    <n v="500"/>
    <n v="23000"/>
  </r>
  <r>
    <d v="2018-02-26T00:00:00"/>
    <x v="0"/>
    <s v="Timothy"/>
    <s v="David"/>
    <s v="Cell Phone"/>
    <n v="27"/>
    <n v="225"/>
    <n v="6075"/>
  </r>
  <r>
    <d v="2018-12-29T00:00:00"/>
    <x v="1"/>
    <s v="Douglas"/>
    <s v="Karen"/>
    <s v="Video Games"/>
    <n v="74"/>
    <n v="58.5"/>
    <n v="4329"/>
  </r>
  <r>
    <d v="2018-11-08T00:00:00"/>
    <x v="1"/>
    <s v="Douglas"/>
    <s v="Karen"/>
    <s v="Cell Phone"/>
    <n v="15"/>
    <n v="225"/>
    <n v="3375"/>
  </r>
  <r>
    <d v="2018-07-29T00:00:00"/>
    <x v="1"/>
    <s v="Douglas"/>
    <s v="Karen"/>
    <s v="Home Theater"/>
    <n v="81"/>
    <n v="500"/>
    <n v="40500"/>
  </r>
  <r>
    <d v="2019-07-04T00:00:00"/>
    <x v="1"/>
    <s v="Martha"/>
    <s v="Alexander"/>
    <s v="Video Games"/>
    <n v="62"/>
    <n v="58.5"/>
    <n v="3627"/>
  </r>
  <r>
    <d v="2019-02-18T00:00:00"/>
    <x v="1"/>
    <s v="Martha"/>
    <s v="Alexander"/>
    <s v="Home Theater"/>
    <n v="4"/>
    <n v="500"/>
    <n v="2000"/>
  </r>
  <r>
    <d v="2018-10-22T00:00:00"/>
    <x v="1"/>
    <s v="Martha"/>
    <s v="Alexander"/>
    <s v="Cell Phone"/>
    <n v="64"/>
    <n v="225"/>
    <n v="14400"/>
  </r>
  <r>
    <d v="2018-09-18T00:00:00"/>
    <x v="1"/>
    <s v="Martha"/>
    <s v="Alexander"/>
    <s v="Video Games"/>
    <n v="16"/>
    <n v="58.5"/>
    <n v="936"/>
  </r>
  <r>
    <d v="2018-08-15T00:00:00"/>
    <x v="1"/>
    <s v="Martha"/>
    <s v="Alexander"/>
    <s v="Television"/>
    <n v="35"/>
    <n v="1198"/>
    <n v="41930"/>
  </r>
  <r>
    <d v="2018-06-08T00:00:00"/>
    <x v="1"/>
    <s v="Martha"/>
    <s v="Alexander"/>
    <s v="Home Theater"/>
    <n v="60"/>
    <n v="500"/>
    <n v="30000"/>
  </r>
  <r>
    <d v="2018-04-01T00:00:00"/>
    <x v="1"/>
    <s v="Martha"/>
    <s v="Alexander"/>
    <s v="Home Theater"/>
    <n v="60"/>
    <n v="500"/>
    <n v="30000"/>
  </r>
  <r>
    <d v="2018-01-06T00:00:00"/>
    <x v="1"/>
    <s v="Martha"/>
    <s v="Alexander"/>
    <s v="Television"/>
    <n v="95"/>
    <n v="1198"/>
    <n v="113810"/>
  </r>
  <r>
    <d v="2019-04-27T00:00:00"/>
    <x v="1"/>
    <s v="Martha"/>
    <s v="Diana"/>
    <s v="Cell Phone"/>
    <n v="96"/>
    <n v="225"/>
    <n v="21600"/>
  </r>
  <r>
    <d v="2018-07-12T00:00:00"/>
    <x v="1"/>
    <s v="Martha"/>
    <s v="Diana"/>
    <s v="Home Theater"/>
    <n v="29"/>
    <n v="500"/>
    <n v="14500"/>
  </r>
  <r>
    <d v="2019-10-14T00:00:00"/>
    <x v="2"/>
    <s v="Douglas"/>
    <s v="Michael"/>
    <s v="Home Theater"/>
    <n v="57"/>
    <n v="500"/>
    <n v="28500"/>
  </r>
  <r>
    <d v="2018-05-22T00:00:00"/>
    <x v="2"/>
    <s v="Douglas"/>
    <s v="Michael"/>
    <s v="Television"/>
    <n v="32"/>
    <n v="1198"/>
    <n v="38336"/>
  </r>
  <r>
    <d v="2019-09-27T00:00:00"/>
    <x v="2"/>
    <s v="Timothy"/>
    <s v="Stephen"/>
    <s v="Cell Phone"/>
    <n v="76"/>
    <n v="225"/>
    <n v="17100"/>
  </r>
  <r>
    <d v="2019-08-24T00:00:00"/>
    <x v="2"/>
    <s v="Timothy"/>
    <s v="Stephen"/>
    <s v="Desk"/>
    <n v="3"/>
    <n v="125"/>
    <n v="375"/>
  </r>
  <r>
    <d v="2019-03-07T00:00:00"/>
    <x v="2"/>
    <s v="Timothy"/>
    <s v="Stephen"/>
    <s v="Home Theater"/>
    <n v="7"/>
    <n v="500"/>
    <n v="3500"/>
  </r>
  <r>
    <d v="2018-03-15T00:00:00"/>
    <x v="2"/>
    <s v="Timothy"/>
    <s v="Stephen"/>
    <s v="Television"/>
    <n v="56"/>
    <n v="1198"/>
    <n v="670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1:G70" firstHeaderRow="1" firstDataRow="2" firstDataCol="1" rowPageCount="1" colPageCount="1"/>
  <pivotFields count="8">
    <pivotField numFmtId="164"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6">
        <item x="2"/>
        <item x="4"/>
        <item x="1"/>
        <item x="3"/>
        <item x="0"/>
        <item t="default"/>
      </items>
    </pivotField>
    <pivotField axis="axisRow" showAll="0">
      <items count="38">
        <item x="16"/>
        <item x="32"/>
        <item x="1"/>
        <item x="28"/>
        <item x="7"/>
        <item x="21"/>
        <item x="34"/>
        <item x="18"/>
        <item x="3"/>
        <item x="11"/>
        <item x="30"/>
        <item x="13"/>
        <item x="26"/>
        <item x="4"/>
        <item x="24"/>
        <item x="27"/>
        <item x="10"/>
        <item x="22"/>
        <item x="9"/>
        <item x="29"/>
        <item x="33"/>
        <item x="25"/>
        <item x="5"/>
        <item x="0"/>
        <item x="2"/>
        <item x="35"/>
        <item x="15"/>
        <item x="17"/>
        <item x="36"/>
        <item x="31"/>
        <item x="8"/>
        <item x="19"/>
        <item x="14"/>
        <item x="23"/>
        <item x="20"/>
        <item x="6"/>
        <item x="12"/>
        <item t="default"/>
      </items>
    </pivotField>
    <pivotField axis="axisCol" numFmtId="43" showAll="0">
      <items count="6">
        <item x="0"/>
        <item x="4"/>
        <item x="2"/>
        <item x="1"/>
        <item x="3"/>
        <item t="default"/>
      </items>
    </pivotField>
    <pivotField dataField="1" numFmtId="43" showAll="0">
      <items count="41">
        <item x="16"/>
        <item x="34"/>
        <item x="28"/>
        <item x="3"/>
        <item x="1"/>
        <item x="27"/>
        <item x="22"/>
        <item x="31"/>
        <item x="18"/>
        <item x="35"/>
        <item x="0"/>
        <item x="17"/>
        <item x="21"/>
        <item x="29"/>
        <item x="11"/>
        <item x="7"/>
        <item x="32"/>
        <item x="2"/>
        <item x="13"/>
        <item x="37"/>
        <item x="33"/>
        <item x="12"/>
        <item x="10"/>
        <item x="30"/>
        <item x="25"/>
        <item x="5"/>
        <item x="26"/>
        <item x="8"/>
        <item x="19"/>
        <item x="4"/>
        <item x="24"/>
        <item x="14"/>
        <item x="20"/>
        <item x="9"/>
        <item x="36"/>
        <item x="38"/>
        <item x="15"/>
        <item x="39"/>
        <item x="23"/>
        <item x="6"/>
        <item t="default"/>
      </items>
    </pivotField>
  </pivotFields>
  <rowFields count="1">
    <field x="5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4" hier="-1"/>
  </pageFields>
  <dataFields count="1">
    <dataField name="Sum of Sale_amt" fld="7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G8" firstHeaderRow="1" firstDataRow="2" firstDataCol="1"/>
  <pivotFields count="8">
    <pivotField numFmtId="164" showAll="0"/>
    <pivotField axis="axisRow" showAll="0">
      <items count="4">
        <item x="1"/>
        <item x="0"/>
        <item x="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6">
        <item x="2"/>
        <item x="4"/>
        <item x="1"/>
        <item x="3"/>
        <item x="0"/>
        <item t="default"/>
      </items>
    </pivotField>
    <pivotField dataField="1" showAll="0">
      <items count="38">
        <item x="16"/>
        <item x="32"/>
        <item x="1"/>
        <item x="28"/>
        <item x="7"/>
        <item x="21"/>
        <item x="34"/>
        <item x="18"/>
        <item x="3"/>
        <item x="11"/>
        <item x="30"/>
        <item x="13"/>
        <item x="26"/>
        <item x="4"/>
        <item x="24"/>
        <item x="27"/>
        <item x="10"/>
        <item x="22"/>
        <item x="9"/>
        <item x="29"/>
        <item x="33"/>
        <item x="25"/>
        <item x="5"/>
        <item x="0"/>
        <item x="2"/>
        <item x="35"/>
        <item x="15"/>
        <item x="17"/>
        <item x="36"/>
        <item x="31"/>
        <item x="8"/>
        <item x="19"/>
        <item x="14"/>
        <item x="23"/>
        <item x="20"/>
        <item x="6"/>
        <item x="12"/>
        <item t="default"/>
      </items>
    </pivotField>
    <pivotField numFmtId="43" showAll="0"/>
    <pivotField numFmtId="43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" fld="5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20:G25" firstHeaderRow="1" firstDataRow="2" firstDataCol="1"/>
  <pivotFields count="8"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6">
        <item x="2"/>
        <item x="4"/>
        <item x="1"/>
        <item x="3"/>
        <item x="0"/>
        <item t="default"/>
      </items>
    </pivotField>
    <pivotField showAll="0"/>
    <pivotField numFmtId="43" showAll="0">
      <items count="6">
        <item x="0"/>
        <item x="4"/>
        <item x="2"/>
        <item x="1"/>
        <item x="3"/>
        <item t="default"/>
      </items>
    </pivotField>
    <pivotField dataField="1" numFmtId="43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_amt" fld="7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12:E18" firstHeaderRow="1" firstDataRow="2" firstDataCol="1" rowPageCount="1" colPageCount="1"/>
  <pivotFields count="8">
    <pivotField numFmtId="164" showAll="0"/>
    <pivotField axis="axisCol" showAll="0">
      <items count="4">
        <item x="1"/>
        <item x="0"/>
        <item x="2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>
      <items count="38">
        <item x="16"/>
        <item x="32"/>
        <item x="1"/>
        <item x="28"/>
        <item x="7"/>
        <item x="21"/>
        <item x="34"/>
        <item x="18"/>
        <item x="3"/>
        <item x="11"/>
        <item x="30"/>
        <item x="13"/>
        <item x="26"/>
        <item x="4"/>
        <item x="24"/>
        <item x="27"/>
        <item x="10"/>
        <item x="22"/>
        <item x="9"/>
        <item x="29"/>
        <item x="33"/>
        <item x="25"/>
        <item x="5"/>
        <item x="0"/>
        <item x="2"/>
        <item x="35"/>
        <item x="15"/>
        <item x="17"/>
        <item x="36"/>
        <item x="31"/>
        <item x="8"/>
        <item x="19"/>
        <item x="14"/>
        <item x="23"/>
        <item x="20"/>
        <item x="6"/>
        <item x="12"/>
        <item t="default"/>
      </items>
    </pivotField>
    <pivotField numFmtId="43" showAll="0"/>
    <pivotField axis="axisPage" numFmtId="43" showAll="0">
      <items count="41">
        <item x="16"/>
        <item x="34"/>
        <item x="28"/>
        <item x="3"/>
        <item x="1"/>
        <item x="27"/>
        <item x="22"/>
        <item x="31"/>
        <item x="18"/>
        <item x="35"/>
        <item x="0"/>
        <item x="17"/>
        <item x="21"/>
        <item x="29"/>
        <item x="11"/>
        <item x="7"/>
        <item x="32"/>
        <item x="2"/>
        <item x="13"/>
        <item x="37"/>
        <item x="33"/>
        <item x="12"/>
        <item x="10"/>
        <item x="30"/>
        <item x="25"/>
        <item x="5"/>
        <item x="26"/>
        <item x="8"/>
        <item x="19"/>
        <item x="4"/>
        <item x="24"/>
        <item x="14"/>
        <item x="20"/>
        <item x="9"/>
        <item x="36"/>
        <item x="38"/>
        <item x="15"/>
        <item x="39"/>
        <item x="23"/>
        <item x="6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7" hier="-1"/>
  </pageFields>
  <dataFields count="1">
    <dataField name="Sum of Units" fld="5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 chartFormat="1">
  <location ref="A3:B6" firstHeaderRow="1" firstDataRow="1" firstDataCol="1"/>
  <pivotFields count="8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Sum of Unit_pric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70"/>
  <sheetViews>
    <sheetView topLeftCell="G1" workbookViewId="0">
      <selection activeCell="A29" sqref="A29"/>
    </sheetView>
  </sheetViews>
  <sheetFormatPr defaultRowHeight="15" x14ac:dyDescent="0.25"/>
  <cols>
    <col min="1" max="1" width="15.85546875" customWidth="1"/>
    <col min="2" max="2" width="16.28515625" customWidth="1"/>
    <col min="3" max="5" width="8" customWidth="1"/>
    <col min="6" max="6" width="9.5703125" customWidth="1"/>
    <col min="7" max="7" width="12.7109375" customWidth="1"/>
    <col min="8" max="8" width="13.85546875" bestFit="1" customWidth="1"/>
    <col min="9" max="9" width="11.42578125" bestFit="1" customWidth="1"/>
    <col min="10" max="10" width="15.42578125" bestFit="1" customWidth="1"/>
    <col min="11" max="11" width="11.42578125" bestFit="1" customWidth="1"/>
    <col min="12" max="12" width="15.42578125" bestFit="1" customWidth="1"/>
    <col min="13" max="13" width="11.42578125" bestFit="1" customWidth="1"/>
    <col min="14" max="14" width="15.42578125" bestFit="1" customWidth="1"/>
    <col min="15" max="15" width="11.42578125" bestFit="1" customWidth="1"/>
    <col min="16" max="16" width="15.42578125" bestFit="1" customWidth="1"/>
    <col min="17" max="17" width="11.42578125" bestFit="1" customWidth="1"/>
    <col min="18" max="18" width="15.42578125" bestFit="1" customWidth="1"/>
    <col min="19" max="19" width="11.42578125" bestFit="1" customWidth="1"/>
    <col min="20" max="20" width="15.42578125" bestFit="1" customWidth="1"/>
    <col min="21" max="21" width="11.42578125" bestFit="1" customWidth="1"/>
    <col min="22" max="22" width="15.42578125" bestFit="1" customWidth="1"/>
    <col min="23" max="23" width="11.42578125" bestFit="1" customWidth="1"/>
    <col min="24" max="24" width="15.42578125" bestFit="1" customWidth="1"/>
    <col min="25" max="25" width="11.42578125" bestFit="1" customWidth="1"/>
    <col min="26" max="26" width="15.42578125" bestFit="1" customWidth="1"/>
    <col min="27" max="27" width="11.42578125" bestFit="1" customWidth="1"/>
    <col min="28" max="28" width="15.42578125" bestFit="1" customWidth="1"/>
    <col min="29" max="29" width="11.42578125" bestFit="1" customWidth="1"/>
    <col min="30" max="30" width="15.42578125" bestFit="1" customWidth="1"/>
    <col min="31" max="31" width="11.42578125" bestFit="1" customWidth="1"/>
    <col min="32" max="32" width="15.42578125" bestFit="1" customWidth="1"/>
    <col min="33" max="33" width="12.42578125" bestFit="1" customWidth="1"/>
    <col min="34" max="34" width="16.42578125" bestFit="1" customWidth="1"/>
    <col min="35" max="35" width="12.42578125" bestFit="1" customWidth="1"/>
    <col min="36" max="36" width="16.42578125" bestFit="1" customWidth="1"/>
    <col min="37" max="37" width="12.42578125" bestFit="1" customWidth="1"/>
    <col min="38" max="38" width="16.42578125" bestFit="1" customWidth="1"/>
    <col min="39" max="39" width="12.42578125" bestFit="1" customWidth="1"/>
    <col min="40" max="40" width="16.42578125" bestFit="1" customWidth="1"/>
    <col min="41" max="41" width="12.42578125" bestFit="1" customWidth="1"/>
    <col min="42" max="42" width="16.42578125" bestFit="1" customWidth="1"/>
    <col min="43" max="43" width="12.42578125" bestFit="1" customWidth="1"/>
    <col min="44" max="44" width="16.42578125" bestFit="1" customWidth="1"/>
    <col min="45" max="45" width="12.42578125" bestFit="1" customWidth="1"/>
    <col min="46" max="46" width="16.42578125" bestFit="1" customWidth="1"/>
    <col min="47" max="47" width="12.42578125" bestFit="1" customWidth="1"/>
    <col min="48" max="48" width="16.42578125" bestFit="1" customWidth="1"/>
    <col min="49" max="49" width="12.42578125" bestFit="1" customWidth="1"/>
    <col min="50" max="50" width="16.42578125" bestFit="1" customWidth="1"/>
    <col min="51" max="51" width="12.42578125" bestFit="1" customWidth="1"/>
    <col min="52" max="52" width="16.42578125" bestFit="1" customWidth="1"/>
    <col min="53" max="53" width="12.42578125" bestFit="1" customWidth="1"/>
    <col min="54" max="54" width="16.42578125" bestFit="1" customWidth="1"/>
    <col min="55" max="55" width="12.42578125" bestFit="1" customWidth="1"/>
    <col min="56" max="56" width="16.42578125" bestFit="1" customWidth="1"/>
    <col min="57" max="57" width="12.42578125" bestFit="1" customWidth="1"/>
    <col min="58" max="58" width="16.42578125" bestFit="1" customWidth="1"/>
    <col min="59" max="59" width="12.42578125" bestFit="1" customWidth="1"/>
    <col min="60" max="60" width="16.42578125" bestFit="1" customWidth="1"/>
    <col min="61" max="61" width="12.42578125" bestFit="1" customWidth="1"/>
    <col min="62" max="62" width="16.42578125" bestFit="1" customWidth="1"/>
    <col min="63" max="63" width="12.42578125" bestFit="1" customWidth="1"/>
    <col min="64" max="64" width="16.42578125" bestFit="1" customWidth="1"/>
    <col min="65" max="65" width="12.42578125" bestFit="1" customWidth="1"/>
    <col min="66" max="66" width="16.42578125" bestFit="1" customWidth="1"/>
    <col min="67" max="67" width="12.42578125" bestFit="1" customWidth="1"/>
    <col min="68" max="68" width="16.42578125" bestFit="1" customWidth="1"/>
    <col min="69" max="69" width="12.42578125" bestFit="1" customWidth="1"/>
    <col min="70" max="70" width="16.42578125" bestFit="1" customWidth="1"/>
    <col min="71" max="71" width="12.42578125" bestFit="1" customWidth="1"/>
    <col min="72" max="72" width="16.42578125" bestFit="1" customWidth="1"/>
    <col min="73" max="73" width="12.42578125" bestFit="1" customWidth="1"/>
    <col min="74" max="74" width="16.42578125" bestFit="1" customWidth="1"/>
    <col min="75" max="75" width="12.42578125" bestFit="1" customWidth="1"/>
    <col min="76" max="76" width="16.42578125" bestFit="1" customWidth="1"/>
    <col min="77" max="77" width="13.42578125" bestFit="1" customWidth="1"/>
    <col min="78" max="78" width="17.5703125" bestFit="1" customWidth="1"/>
    <col min="79" max="79" width="13.42578125" bestFit="1" customWidth="1"/>
    <col min="80" max="80" width="17.5703125" bestFit="1" customWidth="1"/>
    <col min="81" max="81" width="12.7109375" bestFit="1" customWidth="1"/>
  </cols>
  <sheetData>
    <row r="3" spans="1:7" x14ac:dyDescent="0.25">
      <c r="A3" s="14" t="s">
        <v>35</v>
      </c>
      <c r="B3" s="14" t="s">
        <v>32</v>
      </c>
    </row>
    <row r="4" spans="1:7" x14ac:dyDescent="0.25">
      <c r="A4" s="14" t="s">
        <v>34</v>
      </c>
      <c r="B4" s="1" t="s">
        <v>10</v>
      </c>
      <c r="C4" s="1" t="s">
        <v>3</v>
      </c>
      <c r="D4" s="1" t="s">
        <v>13</v>
      </c>
      <c r="E4" s="1" t="s">
        <v>9</v>
      </c>
      <c r="F4" s="1" t="s">
        <v>11</v>
      </c>
      <c r="G4" s="1" t="s">
        <v>33</v>
      </c>
    </row>
    <row r="5" spans="1:7" x14ac:dyDescent="0.25">
      <c r="A5" s="15" t="s">
        <v>5</v>
      </c>
      <c r="B5" s="16">
        <v>27</v>
      </c>
      <c r="C5" s="16">
        <v>7</v>
      </c>
      <c r="D5" s="16">
        <v>424</v>
      </c>
      <c r="E5" s="16">
        <v>498</v>
      </c>
      <c r="F5" s="16">
        <v>243</v>
      </c>
      <c r="G5" s="16">
        <v>1199</v>
      </c>
    </row>
    <row r="6" spans="1:7" x14ac:dyDescent="0.25">
      <c r="A6" s="15" t="s">
        <v>7</v>
      </c>
      <c r="B6" s="16">
        <v>175</v>
      </c>
      <c r="C6" s="16"/>
      <c r="D6" s="16">
        <v>234</v>
      </c>
      <c r="E6" s="16">
        <v>130</v>
      </c>
      <c r="F6" s="16">
        <v>152</v>
      </c>
      <c r="G6" s="16">
        <v>691</v>
      </c>
    </row>
    <row r="7" spans="1:7" x14ac:dyDescent="0.25">
      <c r="A7" s="15" t="s">
        <v>6</v>
      </c>
      <c r="B7" s="16">
        <v>76</v>
      </c>
      <c r="C7" s="16">
        <v>3</v>
      </c>
      <c r="D7" s="16">
        <v>64</v>
      </c>
      <c r="E7" s="16">
        <v>88</v>
      </c>
      <c r="F7" s="16"/>
      <c r="G7" s="16">
        <v>231</v>
      </c>
    </row>
    <row r="8" spans="1:7" x14ac:dyDescent="0.25">
      <c r="A8" s="15" t="s">
        <v>33</v>
      </c>
      <c r="B8" s="16">
        <v>278</v>
      </c>
      <c r="C8" s="16">
        <v>10</v>
      </c>
      <c r="D8" s="16">
        <v>722</v>
      </c>
      <c r="E8" s="16">
        <v>716</v>
      </c>
      <c r="F8" s="16">
        <v>395</v>
      </c>
      <c r="G8" s="16">
        <v>2121</v>
      </c>
    </row>
    <row r="10" spans="1:7" x14ac:dyDescent="0.25">
      <c r="A10" s="14" t="s">
        <v>30</v>
      </c>
      <c r="B10" s="1" t="s">
        <v>31</v>
      </c>
    </row>
    <row r="12" spans="1:7" x14ac:dyDescent="0.25">
      <c r="A12" s="14" t="s">
        <v>35</v>
      </c>
      <c r="B12" s="14" t="s">
        <v>32</v>
      </c>
    </row>
    <row r="13" spans="1:7" x14ac:dyDescent="0.25">
      <c r="A13" s="14" t="s">
        <v>34</v>
      </c>
      <c r="B13" s="1" t="s">
        <v>5</v>
      </c>
      <c r="C13" s="1" t="s">
        <v>7</v>
      </c>
      <c r="D13" s="1" t="s">
        <v>6</v>
      </c>
      <c r="E13" s="1" t="s">
        <v>33</v>
      </c>
    </row>
    <row r="14" spans="1:7" x14ac:dyDescent="0.25">
      <c r="A14" s="15" t="s">
        <v>28</v>
      </c>
      <c r="B14" s="16">
        <v>156</v>
      </c>
      <c r="C14" s="16">
        <v>170</v>
      </c>
      <c r="D14" s="16">
        <v>89</v>
      </c>
      <c r="E14" s="16">
        <v>415</v>
      </c>
    </row>
    <row r="15" spans="1:7" x14ac:dyDescent="0.25">
      <c r="A15" s="15" t="s">
        <v>29</v>
      </c>
      <c r="B15" s="16">
        <v>647</v>
      </c>
      <c r="C15" s="16"/>
      <c r="D15" s="16"/>
      <c r="E15" s="16">
        <v>647</v>
      </c>
    </row>
    <row r="16" spans="1:7" x14ac:dyDescent="0.25">
      <c r="A16" s="15" t="s">
        <v>26</v>
      </c>
      <c r="B16" s="16">
        <v>183</v>
      </c>
      <c r="C16" s="16">
        <v>521</v>
      </c>
      <c r="D16" s="16"/>
      <c r="E16" s="16">
        <v>704</v>
      </c>
    </row>
    <row r="17" spans="1:7" x14ac:dyDescent="0.25">
      <c r="A17" s="15" t="s">
        <v>27</v>
      </c>
      <c r="B17" s="16">
        <v>213</v>
      </c>
      <c r="C17" s="16"/>
      <c r="D17" s="16">
        <v>142</v>
      </c>
      <c r="E17" s="16">
        <v>355</v>
      </c>
    </row>
    <row r="18" spans="1:7" x14ac:dyDescent="0.25">
      <c r="A18" s="15" t="s">
        <v>33</v>
      </c>
      <c r="B18" s="16">
        <v>1199</v>
      </c>
      <c r="C18" s="16">
        <v>691</v>
      </c>
      <c r="D18" s="16">
        <v>231</v>
      </c>
      <c r="E18" s="16">
        <v>2121</v>
      </c>
    </row>
    <row r="20" spans="1:7" x14ac:dyDescent="0.25">
      <c r="A20" s="14" t="s">
        <v>36</v>
      </c>
      <c r="B20" s="14" t="s">
        <v>32</v>
      </c>
    </row>
    <row r="21" spans="1:7" x14ac:dyDescent="0.25">
      <c r="A21" s="14" t="s">
        <v>34</v>
      </c>
      <c r="B21" s="1" t="s">
        <v>10</v>
      </c>
      <c r="C21" s="1" t="s">
        <v>3</v>
      </c>
      <c r="D21" s="1" t="s">
        <v>13</v>
      </c>
      <c r="E21" s="1" t="s">
        <v>9</v>
      </c>
      <c r="F21" s="1" t="s">
        <v>11</v>
      </c>
      <c r="G21" s="1" t="s">
        <v>33</v>
      </c>
    </row>
    <row r="22" spans="1:7" x14ac:dyDescent="0.25">
      <c r="A22" s="15" t="s">
        <v>5</v>
      </c>
      <c r="B22" s="16">
        <v>6075</v>
      </c>
      <c r="C22" s="16">
        <v>875</v>
      </c>
      <c r="D22" s="16">
        <v>212000</v>
      </c>
      <c r="E22" s="16">
        <v>596604</v>
      </c>
      <c r="F22" s="16">
        <v>14215.5</v>
      </c>
      <c r="G22" s="16">
        <v>829769.5</v>
      </c>
    </row>
    <row r="23" spans="1:7" x14ac:dyDescent="0.25">
      <c r="A23" s="15" t="s">
        <v>7</v>
      </c>
      <c r="B23" s="16">
        <v>39375</v>
      </c>
      <c r="C23" s="16"/>
      <c r="D23" s="16">
        <v>117000</v>
      </c>
      <c r="E23" s="16">
        <v>155740</v>
      </c>
      <c r="F23" s="16">
        <v>8892</v>
      </c>
      <c r="G23" s="16">
        <v>321007</v>
      </c>
    </row>
    <row r="24" spans="1:7" x14ac:dyDescent="0.25">
      <c r="A24" s="15" t="s">
        <v>6</v>
      </c>
      <c r="B24" s="16">
        <v>17100</v>
      </c>
      <c r="C24" s="16">
        <v>375</v>
      </c>
      <c r="D24" s="16">
        <v>32000</v>
      </c>
      <c r="E24" s="16">
        <v>105424</v>
      </c>
      <c r="F24" s="16"/>
      <c r="G24" s="16">
        <v>154899</v>
      </c>
    </row>
    <row r="25" spans="1:7" x14ac:dyDescent="0.25">
      <c r="A25" s="15" t="s">
        <v>33</v>
      </c>
      <c r="B25" s="16">
        <v>62550</v>
      </c>
      <c r="C25" s="16">
        <v>1250</v>
      </c>
      <c r="D25" s="16">
        <v>361000</v>
      </c>
      <c r="E25" s="16">
        <v>857768</v>
      </c>
      <c r="F25" s="16">
        <v>23107.5</v>
      </c>
      <c r="G25" s="16">
        <v>1305675.5</v>
      </c>
    </row>
    <row r="29" spans="1:7" x14ac:dyDescent="0.25">
      <c r="A29" s="14" t="s">
        <v>1</v>
      </c>
      <c r="B29" s="1" t="s">
        <v>31</v>
      </c>
    </row>
    <row r="31" spans="1:7" x14ac:dyDescent="0.25">
      <c r="A31" s="14" t="s">
        <v>36</v>
      </c>
      <c r="B31" s="14" t="s">
        <v>32</v>
      </c>
    </row>
    <row r="32" spans="1:7" x14ac:dyDescent="0.25">
      <c r="A32" s="14" t="s">
        <v>34</v>
      </c>
      <c r="B32" s="12">
        <v>58.5</v>
      </c>
      <c r="C32" s="12">
        <v>125</v>
      </c>
      <c r="D32" s="12">
        <v>225</v>
      </c>
      <c r="E32" s="12">
        <v>500</v>
      </c>
      <c r="F32" s="12">
        <v>1198</v>
      </c>
      <c r="G32" s="12" t="s">
        <v>33</v>
      </c>
    </row>
    <row r="33" spans="1:7" x14ac:dyDescent="0.25">
      <c r="A33" s="15">
        <v>2</v>
      </c>
      <c r="B33" s="16"/>
      <c r="C33" s="16">
        <v>250</v>
      </c>
      <c r="D33" s="16"/>
      <c r="E33" s="16"/>
      <c r="F33" s="16"/>
      <c r="G33" s="16">
        <v>250</v>
      </c>
    </row>
    <row r="34" spans="1:7" x14ac:dyDescent="0.25">
      <c r="A34" s="15">
        <v>3</v>
      </c>
      <c r="B34" s="16"/>
      <c r="C34" s="16">
        <v>375</v>
      </c>
      <c r="D34" s="16"/>
      <c r="E34" s="16"/>
      <c r="F34" s="16"/>
      <c r="G34" s="16">
        <v>375</v>
      </c>
    </row>
    <row r="35" spans="1:7" x14ac:dyDescent="0.25">
      <c r="A35" s="15">
        <v>4</v>
      </c>
      <c r="B35" s="16"/>
      <c r="C35" s="16"/>
      <c r="D35" s="16"/>
      <c r="E35" s="16">
        <v>2000</v>
      </c>
      <c r="F35" s="16"/>
      <c r="G35" s="16">
        <v>2000</v>
      </c>
    </row>
    <row r="36" spans="1:7" x14ac:dyDescent="0.25">
      <c r="A36" s="15">
        <v>5</v>
      </c>
      <c r="B36" s="16"/>
      <c r="C36" s="16">
        <v>625</v>
      </c>
      <c r="D36" s="16"/>
      <c r="E36" s="16"/>
      <c r="F36" s="16"/>
      <c r="G36" s="16">
        <v>625</v>
      </c>
    </row>
    <row r="37" spans="1:7" x14ac:dyDescent="0.25">
      <c r="A37" s="15">
        <v>7</v>
      </c>
      <c r="B37" s="16"/>
      <c r="C37" s="16"/>
      <c r="D37" s="16"/>
      <c r="E37" s="16">
        <v>3500</v>
      </c>
      <c r="F37" s="16">
        <v>8386</v>
      </c>
      <c r="G37" s="16">
        <v>11886</v>
      </c>
    </row>
    <row r="38" spans="1:7" x14ac:dyDescent="0.25">
      <c r="A38" s="15">
        <v>11</v>
      </c>
      <c r="B38" s="16"/>
      <c r="C38" s="16"/>
      <c r="D38" s="16"/>
      <c r="E38" s="16">
        <v>5500</v>
      </c>
      <c r="F38" s="16"/>
      <c r="G38" s="16">
        <v>5500</v>
      </c>
    </row>
    <row r="39" spans="1:7" x14ac:dyDescent="0.25">
      <c r="A39" s="15">
        <v>14</v>
      </c>
      <c r="B39" s="16"/>
      <c r="C39" s="16"/>
      <c r="D39" s="16"/>
      <c r="E39" s="16"/>
      <c r="F39" s="16">
        <v>16772</v>
      </c>
      <c r="G39" s="16">
        <v>16772</v>
      </c>
    </row>
    <row r="40" spans="1:7" x14ac:dyDescent="0.25">
      <c r="A40" s="15">
        <v>15</v>
      </c>
      <c r="B40" s="16"/>
      <c r="C40" s="16"/>
      <c r="D40" s="16">
        <v>3375</v>
      </c>
      <c r="E40" s="16"/>
      <c r="F40" s="16"/>
      <c r="G40" s="16">
        <v>3375</v>
      </c>
    </row>
    <row r="41" spans="1:7" x14ac:dyDescent="0.25">
      <c r="A41" s="15">
        <v>16</v>
      </c>
      <c r="B41" s="16">
        <v>936</v>
      </c>
      <c r="C41" s="16"/>
      <c r="D41" s="16"/>
      <c r="E41" s="16"/>
      <c r="F41" s="16"/>
      <c r="G41" s="16">
        <v>936</v>
      </c>
    </row>
    <row r="42" spans="1:7" x14ac:dyDescent="0.25">
      <c r="A42" s="15">
        <v>27</v>
      </c>
      <c r="B42" s="16"/>
      <c r="C42" s="16"/>
      <c r="D42" s="16">
        <v>6075</v>
      </c>
      <c r="E42" s="16"/>
      <c r="F42" s="16"/>
      <c r="G42" s="16">
        <v>6075</v>
      </c>
    </row>
    <row r="43" spans="1:7" x14ac:dyDescent="0.25">
      <c r="A43" s="15">
        <v>28</v>
      </c>
      <c r="B43" s="16"/>
      <c r="C43" s="16"/>
      <c r="D43" s="16"/>
      <c r="E43" s="16">
        <v>28000</v>
      </c>
      <c r="F43" s="16"/>
      <c r="G43" s="16">
        <v>28000</v>
      </c>
    </row>
    <row r="44" spans="1:7" x14ac:dyDescent="0.25">
      <c r="A44" s="15">
        <v>29</v>
      </c>
      <c r="B44" s="16"/>
      <c r="C44" s="16"/>
      <c r="D44" s="16"/>
      <c r="E44" s="16">
        <v>14500</v>
      </c>
      <c r="F44" s="16"/>
      <c r="G44" s="16">
        <v>14500</v>
      </c>
    </row>
    <row r="45" spans="1:7" x14ac:dyDescent="0.25">
      <c r="A45" s="15">
        <v>32</v>
      </c>
      <c r="B45" s="16"/>
      <c r="C45" s="16"/>
      <c r="D45" s="16"/>
      <c r="E45" s="16"/>
      <c r="F45" s="16">
        <v>38336</v>
      </c>
      <c r="G45" s="16">
        <v>38336</v>
      </c>
    </row>
    <row r="46" spans="1:7" x14ac:dyDescent="0.25">
      <c r="A46" s="15">
        <v>35</v>
      </c>
      <c r="B46" s="16"/>
      <c r="C46" s="16"/>
      <c r="D46" s="16"/>
      <c r="E46" s="16"/>
      <c r="F46" s="16">
        <v>41930</v>
      </c>
      <c r="G46" s="16">
        <v>41930</v>
      </c>
    </row>
    <row r="47" spans="1:7" x14ac:dyDescent="0.25">
      <c r="A47" s="15">
        <v>36</v>
      </c>
      <c r="B47" s="16"/>
      <c r="C47" s="16"/>
      <c r="D47" s="16"/>
      <c r="E47" s="16"/>
      <c r="F47" s="16">
        <v>43128</v>
      </c>
      <c r="G47" s="16">
        <v>43128</v>
      </c>
    </row>
    <row r="48" spans="1:7" x14ac:dyDescent="0.25">
      <c r="A48" s="15">
        <v>42</v>
      </c>
      <c r="B48" s="16">
        <v>2457</v>
      </c>
      <c r="C48" s="16"/>
      <c r="D48" s="16"/>
      <c r="E48" s="16"/>
      <c r="F48" s="16"/>
      <c r="G48" s="16">
        <v>2457</v>
      </c>
    </row>
    <row r="49" spans="1:7" x14ac:dyDescent="0.25">
      <c r="A49" s="15">
        <v>46</v>
      </c>
      <c r="B49" s="16"/>
      <c r="C49" s="16"/>
      <c r="D49" s="16"/>
      <c r="E49" s="16">
        <v>23000</v>
      </c>
      <c r="F49" s="16"/>
      <c r="G49" s="16">
        <v>23000</v>
      </c>
    </row>
    <row r="50" spans="1:7" x14ac:dyDescent="0.25">
      <c r="A50" s="15">
        <v>50</v>
      </c>
      <c r="B50" s="16">
        <v>2925</v>
      </c>
      <c r="C50" s="16"/>
      <c r="D50" s="16"/>
      <c r="E50" s="16">
        <v>25000</v>
      </c>
      <c r="F50" s="16"/>
      <c r="G50" s="16">
        <v>27925</v>
      </c>
    </row>
    <row r="51" spans="1:7" x14ac:dyDescent="0.25">
      <c r="A51" s="15">
        <v>53</v>
      </c>
      <c r="B51" s="16"/>
      <c r="C51" s="16"/>
      <c r="D51" s="16"/>
      <c r="E51" s="16"/>
      <c r="F51" s="16">
        <v>63494</v>
      </c>
      <c r="G51" s="16">
        <v>63494</v>
      </c>
    </row>
    <row r="52" spans="1:7" x14ac:dyDescent="0.25">
      <c r="A52" s="15">
        <v>55</v>
      </c>
      <c r="B52" s="16">
        <v>3217.5</v>
      </c>
      <c r="C52" s="16"/>
      <c r="D52" s="16"/>
      <c r="E52" s="16"/>
      <c r="F52" s="16"/>
      <c r="G52" s="16">
        <v>3217.5</v>
      </c>
    </row>
    <row r="53" spans="1:7" x14ac:dyDescent="0.25">
      <c r="A53" s="15">
        <v>56</v>
      </c>
      <c r="B53" s="16"/>
      <c r="C53" s="16"/>
      <c r="D53" s="16"/>
      <c r="E53" s="16"/>
      <c r="F53" s="16">
        <v>67088</v>
      </c>
      <c r="G53" s="16">
        <v>67088</v>
      </c>
    </row>
    <row r="54" spans="1:7" x14ac:dyDescent="0.25">
      <c r="A54" s="15">
        <v>57</v>
      </c>
      <c r="B54" s="16"/>
      <c r="C54" s="16"/>
      <c r="D54" s="16"/>
      <c r="E54" s="16">
        <v>28500</v>
      </c>
      <c r="F54" s="16"/>
      <c r="G54" s="16">
        <v>28500</v>
      </c>
    </row>
    <row r="55" spans="1:7" x14ac:dyDescent="0.25">
      <c r="A55" s="15">
        <v>60</v>
      </c>
      <c r="B55" s="16"/>
      <c r="C55" s="16"/>
      <c r="D55" s="16"/>
      <c r="E55" s="16">
        <v>60000</v>
      </c>
      <c r="F55" s="16"/>
      <c r="G55" s="16">
        <v>60000</v>
      </c>
    </row>
    <row r="56" spans="1:7" x14ac:dyDescent="0.25">
      <c r="A56" s="15">
        <v>62</v>
      </c>
      <c r="B56" s="16">
        <v>3627</v>
      </c>
      <c r="C56" s="16"/>
      <c r="D56" s="16"/>
      <c r="E56" s="16"/>
      <c r="F56" s="16"/>
      <c r="G56" s="16">
        <v>3627</v>
      </c>
    </row>
    <row r="57" spans="1:7" x14ac:dyDescent="0.25">
      <c r="A57" s="15">
        <v>64</v>
      </c>
      <c r="B57" s="16"/>
      <c r="C57" s="16"/>
      <c r="D57" s="16">
        <v>14400</v>
      </c>
      <c r="E57" s="16"/>
      <c r="F57" s="16"/>
      <c r="G57" s="16">
        <v>14400</v>
      </c>
    </row>
    <row r="58" spans="1:7" x14ac:dyDescent="0.25">
      <c r="A58" s="15">
        <v>66</v>
      </c>
      <c r="B58" s="16"/>
      <c r="C58" s="16"/>
      <c r="D58" s="16"/>
      <c r="E58" s="16"/>
      <c r="F58" s="16">
        <v>79068</v>
      </c>
      <c r="G58" s="16">
        <v>79068</v>
      </c>
    </row>
    <row r="59" spans="1:7" x14ac:dyDescent="0.25">
      <c r="A59" s="15">
        <v>67</v>
      </c>
      <c r="B59" s="16"/>
      <c r="C59" s="16"/>
      <c r="D59" s="16"/>
      <c r="E59" s="16"/>
      <c r="F59" s="16">
        <v>80266</v>
      </c>
      <c r="G59" s="16">
        <v>80266</v>
      </c>
    </row>
    <row r="60" spans="1:7" x14ac:dyDescent="0.25">
      <c r="A60" s="15">
        <v>74</v>
      </c>
      <c r="B60" s="16">
        <v>4329</v>
      </c>
      <c r="C60" s="16"/>
      <c r="D60" s="16"/>
      <c r="E60" s="16"/>
      <c r="F60" s="16"/>
      <c r="G60" s="16">
        <v>4329</v>
      </c>
    </row>
    <row r="61" spans="1:7" x14ac:dyDescent="0.25">
      <c r="A61" s="15">
        <v>75</v>
      </c>
      <c r="B61" s="16"/>
      <c r="C61" s="16"/>
      <c r="D61" s="16"/>
      <c r="E61" s="16"/>
      <c r="F61" s="16">
        <v>89850</v>
      </c>
      <c r="G61" s="16">
        <v>89850</v>
      </c>
    </row>
    <row r="62" spans="1:7" x14ac:dyDescent="0.25">
      <c r="A62" s="15">
        <v>76</v>
      </c>
      <c r="B62" s="16"/>
      <c r="C62" s="16"/>
      <c r="D62" s="16">
        <v>17100</v>
      </c>
      <c r="E62" s="16"/>
      <c r="F62" s="16"/>
      <c r="G62" s="16">
        <v>17100</v>
      </c>
    </row>
    <row r="63" spans="1:7" x14ac:dyDescent="0.25">
      <c r="A63" s="15">
        <v>80</v>
      </c>
      <c r="B63" s="16"/>
      <c r="C63" s="16"/>
      <c r="D63" s="16"/>
      <c r="E63" s="16">
        <v>40000</v>
      </c>
      <c r="F63" s="16"/>
      <c r="G63" s="16">
        <v>40000</v>
      </c>
    </row>
    <row r="64" spans="1:7" x14ac:dyDescent="0.25">
      <c r="A64" s="15">
        <v>81</v>
      </c>
      <c r="B64" s="16"/>
      <c r="C64" s="16"/>
      <c r="D64" s="16"/>
      <c r="E64" s="16">
        <v>40500</v>
      </c>
      <c r="F64" s="16"/>
      <c r="G64" s="16">
        <v>40500</v>
      </c>
    </row>
    <row r="65" spans="1:7" x14ac:dyDescent="0.25">
      <c r="A65" s="15">
        <v>87</v>
      </c>
      <c r="B65" s="16"/>
      <c r="C65" s="16"/>
      <c r="D65" s="16"/>
      <c r="E65" s="16">
        <v>43500</v>
      </c>
      <c r="F65" s="16"/>
      <c r="G65" s="16">
        <v>43500</v>
      </c>
    </row>
    <row r="66" spans="1:7" x14ac:dyDescent="0.25">
      <c r="A66" s="15">
        <v>90</v>
      </c>
      <c r="B66" s="16"/>
      <c r="C66" s="16"/>
      <c r="D66" s="16"/>
      <c r="E66" s="16"/>
      <c r="F66" s="16">
        <v>215640</v>
      </c>
      <c r="G66" s="16">
        <v>215640</v>
      </c>
    </row>
    <row r="67" spans="1:7" x14ac:dyDescent="0.25">
      <c r="A67" s="15">
        <v>94</v>
      </c>
      <c r="B67" s="16"/>
      <c r="C67" s="16"/>
      <c r="D67" s="16"/>
      <c r="E67" s="16">
        <v>47000</v>
      </c>
      <c r="F67" s="16"/>
      <c r="G67" s="16">
        <v>47000</v>
      </c>
    </row>
    <row r="68" spans="1:7" x14ac:dyDescent="0.25">
      <c r="A68" s="15">
        <v>95</v>
      </c>
      <c r="B68" s="16"/>
      <c r="C68" s="16"/>
      <c r="D68" s="16"/>
      <c r="E68" s="16"/>
      <c r="F68" s="16">
        <v>113810</v>
      </c>
      <c r="G68" s="16">
        <v>113810</v>
      </c>
    </row>
    <row r="69" spans="1:7" x14ac:dyDescent="0.25">
      <c r="A69" s="15">
        <v>96</v>
      </c>
      <c r="B69" s="16">
        <v>5616</v>
      </c>
      <c r="C69" s="16"/>
      <c r="D69" s="16">
        <v>21600</v>
      </c>
      <c r="E69" s="16"/>
      <c r="F69" s="16"/>
      <c r="G69" s="16">
        <v>27216</v>
      </c>
    </row>
    <row r="70" spans="1:7" x14ac:dyDescent="0.25">
      <c r="A70" s="15" t="s">
        <v>33</v>
      </c>
      <c r="B70" s="16">
        <v>23107.5</v>
      </c>
      <c r="C70" s="16">
        <v>1250</v>
      </c>
      <c r="D70" s="16">
        <v>62550</v>
      </c>
      <c r="E70" s="16">
        <v>361000</v>
      </c>
      <c r="F70" s="16">
        <v>857768</v>
      </c>
      <c r="G70" s="16">
        <v>1305675.5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tabSelected="1" topLeftCell="A4" workbookViewId="0">
      <selection activeCell="N43" sqref="N43"/>
    </sheetView>
  </sheetViews>
  <sheetFormatPr defaultRowHeight="15" x14ac:dyDescent="0.25"/>
  <cols>
    <col min="1" max="1" width="9.42578125" bestFit="1" customWidth="1"/>
    <col min="2" max="2" width="17" bestFit="1" customWidth="1"/>
  </cols>
  <sheetData>
    <row r="3" spans="1:2" x14ac:dyDescent="0.25">
      <c r="A3" s="14" t="s">
        <v>0</v>
      </c>
      <c r="B3" t="s">
        <v>37</v>
      </c>
    </row>
    <row r="4" spans="1:2" x14ac:dyDescent="0.25">
      <c r="A4" s="1" t="s">
        <v>5</v>
      </c>
      <c r="B4" s="16">
        <v>15491</v>
      </c>
    </row>
    <row r="5" spans="1:2" x14ac:dyDescent="0.25">
      <c r="A5" s="1" t="s">
        <v>7</v>
      </c>
      <c r="B5" s="16">
        <v>5746.5</v>
      </c>
    </row>
    <row r="6" spans="1:2" x14ac:dyDescent="0.25">
      <c r="A6" s="1" t="s">
        <v>6</v>
      </c>
      <c r="B6" s="16">
        <v>3746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activeCell="L11" sqref="L11"/>
    </sheetView>
  </sheetViews>
  <sheetFormatPr defaultRowHeight="15" x14ac:dyDescent="0.25"/>
  <cols>
    <col min="1" max="1" width="10.5703125" style="1" customWidth="1"/>
    <col min="2" max="2" width="9.140625" style="1"/>
    <col min="3" max="3" width="15.28515625" style="8" customWidth="1"/>
    <col min="4" max="4" width="15.28515625" style="6" customWidth="1"/>
    <col min="5" max="5" width="16.85546875" style="1" customWidth="1"/>
    <col min="6" max="6" width="9.5703125" style="1" customWidth="1"/>
    <col min="7" max="7" width="12.140625" style="1" customWidth="1"/>
    <col min="8" max="8" width="14.5703125" style="1" customWidth="1"/>
    <col min="9" max="16384" width="9.140625" style="1"/>
  </cols>
  <sheetData>
    <row r="1" spans="1:8" ht="15.75" thickBot="1" x14ac:dyDescent="0.3">
      <c r="A1" s="1" t="s">
        <v>4</v>
      </c>
      <c r="B1" s="1" t="s">
        <v>0</v>
      </c>
      <c r="C1" s="8" t="s">
        <v>25</v>
      </c>
      <c r="D1" s="6" t="s">
        <v>8</v>
      </c>
      <c r="E1" s="1" t="s">
        <v>1</v>
      </c>
      <c r="F1" s="1" t="s">
        <v>2</v>
      </c>
      <c r="G1" s="5" t="s">
        <v>12</v>
      </c>
      <c r="H1" s="1" t="s">
        <v>30</v>
      </c>
    </row>
    <row r="2" spans="1:8" ht="15.75" thickBot="1" x14ac:dyDescent="0.3">
      <c r="A2" s="2">
        <v>43497</v>
      </c>
      <c r="B2" s="3" t="s">
        <v>5</v>
      </c>
      <c r="C2" s="17" t="s">
        <v>28</v>
      </c>
      <c r="D2" s="7" t="s">
        <v>22</v>
      </c>
      <c r="E2" s="4" t="s">
        <v>13</v>
      </c>
      <c r="F2" s="3">
        <v>87</v>
      </c>
      <c r="G2" s="5">
        <v>500</v>
      </c>
      <c r="H2" s="12">
        <f t="shared" ref="H2:H44" si="0">F2*G2</f>
        <v>43500</v>
      </c>
    </row>
    <row r="3" spans="1:8" ht="15.75" thickBot="1" x14ac:dyDescent="0.3">
      <c r="A3" s="2">
        <v>43446</v>
      </c>
      <c r="B3" s="3" t="s">
        <v>5</v>
      </c>
      <c r="C3" s="17" t="s">
        <v>28</v>
      </c>
      <c r="D3" s="7" t="s">
        <v>22</v>
      </c>
      <c r="E3" s="4" t="s">
        <v>9</v>
      </c>
      <c r="F3" s="3">
        <v>67</v>
      </c>
      <c r="G3" s="5">
        <v>1198</v>
      </c>
      <c r="H3" s="12">
        <f t="shared" si="0"/>
        <v>80266</v>
      </c>
    </row>
    <row r="4" spans="1:8" ht="15.75" thickBot="1" x14ac:dyDescent="0.3">
      <c r="A4" s="2">
        <v>43344</v>
      </c>
      <c r="B4" s="3" t="s">
        <v>5</v>
      </c>
      <c r="C4" s="17" t="s">
        <v>28</v>
      </c>
      <c r="D4" s="7" t="s">
        <v>22</v>
      </c>
      <c r="E4" s="4" t="s">
        <v>3</v>
      </c>
      <c r="F4" s="3">
        <v>2</v>
      </c>
      <c r="G4" s="5">
        <v>125</v>
      </c>
      <c r="H4" s="12">
        <f t="shared" si="0"/>
        <v>250</v>
      </c>
    </row>
    <row r="5" spans="1:8" ht="15.75" thickBot="1" x14ac:dyDescent="0.3">
      <c r="A5" s="2">
        <v>43803</v>
      </c>
      <c r="B5" s="3" t="s">
        <v>5</v>
      </c>
      <c r="C5" s="10" t="s">
        <v>29</v>
      </c>
      <c r="D5" s="7" t="s">
        <v>17</v>
      </c>
      <c r="E5" s="4" t="s">
        <v>13</v>
      </c>
      <c r="F5" s="3">
        <v>94</v>
      </c>
      <c r="G5" s="5">
        <v>500</v>
      </c>
      <c r="H5" s="12">
        <f t="shared" si="0"/>
        <v>47000</v>
      </c>
    </row>
    <row r="6" spans="1:8" ht="15.75" thickBot="1" x14ac:dyDescent="0.3">
      <c r="A6" s="2">
        <v>43786</v>
      </c>
      <c r="B6" s="3" t="s">
        <v>5</v>
      </c>
      <c r="C6" s="10" t="s">
        <v>29</v>
      </c>
      <c r="D6" s="7" t="s">
        <v>17</v>
      </c>
      <c r="E6" s="4" t="s">
        <v>13</v>
      </c>
      <c r="F6" s="3">
        <v>11</v>
      </c>
      <c r="G6" s="5">
        <v>500</v>
      </c>
      <c r="H6" s="12">
        <f t="shared" si="0"/>
        <v>5500</v>
      </c>
    </row>
    <row r="7" spans="1:8" ht="15.75" thickBot="1" x14ac:dyDescent="0.3">
      <c r="A7" s="2">
        <v>43548</v>
      </c>
      <c r="B7" s="3" t="s">
        <v>5</v>
      </c>
      <c r="C7" s="10" t="s">
        <v>29</v>
      </c>
      <c r="D7" s="7" t="s">
        <v>17</v>
      </c>
      <c r="E7" s="4" t="s">
        <v>11</v>
      </c>
      <c r="F7" s="3">
        <v>50</v>
      </c>
      <c r="G7" s="5">
        <v>58.5</v>
      </c>
      <c r="H7" s="12">
        <f t="shared" si="0"/>
        <v>2925</v>
      </c>
    </row>
    <row r="8" spans="1:8" ht="15.75" thickBot="1" x14ac:dyDescent="0.3">
      <c r="A8" s="2">
        <v>43225</v>
      </c>
      <c r="B8" s="3" t="s">
        <v>5</v>
      </c>
      <c r="C8" s="10" t="s">
        <v>29</v>
      </c>
      <c r="D8" s="7" t="s">
        <v>17</v>
      </c>
      <c r="E8" s="4" t="s">
        <v>9</v>
      </c>
      <c r="F8" s="3">
        <v>90</v>
      </c>
      <c r="G8" s="5">
        <v>1198</v>
      </c>
      <c r="H8" s="12">
        <f t="shared" si="0"/>
        <v>107820</v>
      </c>
    </row>
    <row r="9" spans="1:8" ht="15.75" thickBot="1" x14ac:dyDescent="0.3">
      <c r="A9" s="2">
        <v>43140</v>
      </c>
      <c r="B9" s="3" t="s">
        <v>5</v>
      </c>
      <c r="C9" s="10" t="s">
        <v>29</v>
      </c>
      <c r="D9" s="7" t="s">
        <v>17</v>
      </c>
      <c r="E9" s="4" t="s">
        <v>9</v>
      </c>
      <c r="F9" s="3">
        <v>36</v>
      </c>
      <c r="G9" s="5">
        <v>1198</v>
      </c>
      <c r="H9" s="12">
        <f t="shared" si="0"/>
        <v>43128</v>
      </c>
    </row>
    <row r="10" spans="1:8" ht="15.75" thickBot="1" x14ac:dyDescent="0.3">
      <c r="A10" s="2">
        <v>43684</v>
      </c>
      <c r="B10" s="3" t="s">
        <v>5</v>
      </c>
      <c r="C10" s="10" t="s">
        <v>29</v>
      </c>
      <c r="D10" s="7" t="s">
        <v>19</v>
      </c>
      <c r="E10" s="4" t="s">
        <v>11</v>
      </c>
      <c r="F10" s="3">
        <v>42</v>
      </c>
      <c r="G10" s="5">
        <v>58.5</v>
      </c>
      <c r="H10" s="12">
        <f t="shared" si="0"/>
        <v>2457</v>
      </c>
    </row>
    <row r="11" spans="1:8" ht="15.75" thickBot="1" x14ac:dyDescent="0.3">
      <c r="A11" s="2">
        <v>43633</v>
      </c>
      <c r="B11" s="3" t="s">
        <v>5</v>
      </c>
      <c r="C11" s="10" t="s">
        <v>29</v>
      </c>
      <c r="D11" s="7" t="s">
        <v>19</v>
      </c>
      <c r="E11" s="4" t="s">
        <v>3</v>
      </c>
      <c r="F11" s="3">
        <v>5</v>
      </c>
      <c r="G11" s="5">
        <v>125</v>
      </c>
      <c r="H11" s="12">
        <f t="shared" si="0"/>
        <v>625</v>
      </c>
    </row>
    <row r="12" spans="1:8" ht="15.75" thickBot="1" x14ac:dyDescent="0.3">
      <c r="A12" s="2">
        <v>43429</v>
      </c>
      <c r="B12" s="3" t="s">
        <v>5</v>
      </c>
      <c r="C12" s="10" t="s">
        <v>29</v>
      </c>
      <c r="D12" s="7" t="s">
        <v>19</v>
      </c>
      <c r="E12" s="4" t="s">
        <v>11</v>
      </c>
      <c r="F12" s="3">
        <v>96</v>
      </c>
      <c r="G12" s="5">
        <v>58.5</v>
      </c>
      <c r="H12" s="12">
        <f t="shared" si="0"/>
        <v>5616</v>
      </c>
    </row>
    <row r="13" spans="1:8" ht="15.75" thickBot="1" x14ac:dyDescent="0.3">
      <c r="A13" s="2">
        <v>43123</v>
      </c>
      <c r="B13" s="3" t="s">
        <v>5</v>
      </c>
      <c r="C13" s="13" t="s">
        <v>29</v>
      </c>
      <c r="D13" s="7" t="s">
        <v>19</v>
      </c>
      <c r="E13" s="4" t="s">
        <v>13</v>
      </c>
      <c r="F13" s="3">
        <v>50</v>
      </c>
      <c r="G13" s="5">
        <v>500</v>
      </c>
      <c r="H13" s="12">
        <f t="shared" si="0"/>
        <v>25000</v>
      </c>
    </row>
    <row r="14" spans="1:8" ht="15.75" thickBot="1" x14ac:dyDescent="0.3">
      <c r="A14" s="2">
        <v>43667</v>
      </c>
      <c r="B14" s="3" t="s">
        <v>5</v>
      </c>
      <c r="C14" s="10" t="s">
        <v>29</v>
      </c>
      <c r="D14" s="7" t="s">
        <v>20</v>
      </c>
      <c r="E14" s="4" t="s">
        <v>11</v>
      </c>
      <c r="F14" s="3">
        <v>55</v>
      </c>
      <c r="G14" s="5">
        <v>58.5</v>
      </c>
      <c r="H14" s="12">
        <f t="shared" si="0"/>
        <v>3217.5</v>
      </c>
    </row>
    <row r="15" spans="1:8" ht="15.75" thickBot="1" x14ac:dyDescent="0.3">
      <c r="A15" s="2">
        <v>43378</v>
      </c>
      <c r="B15" s="3" t="s">
        <v>5</v>
      </c>
      <c r="C15" s="10" t="s">
        <v>29</v>
      </c>
      <c r="D15" s="7" t="s">
        <v>20</v>
      </c>
      <c r="E15" s="4" t="s">
        <v>13</v>
      </c>
      <c r="F15" s="3">
        <v>28</v>
      </c>
      <c r="G15" s="5">
        <v>500</v>
      </c>
      <c r="H15" s="12">
        <f t="shared" si="0"/>
        <v>14000</v>
      </c>
    </row>
    <row r="16" spans="1:8" ht="15.75" thickBot="1" x14ac:dyDescent="0.3">
      <c r="A16" s="2">
        <v>43276</v>
      </c>
      <c r="B16" s="3" t="s">
        <v>5</v>
      </c>
      <c r="C16" s="10" t="s">
        <v>29</v>
      </c>
      <c r="D16" s="7" t="s">
        <v>20</v>
      </c>
      <c r="E16" s="4" t="s">
        <v>9</v>
      </c>
      <c r="F16" s="3">
        <v>90</v>
      </c>
      <c r="G16" s="5">
        <v>1198</v>
      </c>
      <c r="H16" s="12">
        <f t="shared" si="0"/>
        <v>107820</v>
      </c>
    </row>
    <row r="17" spans="1:8" ht="15.75" thickBot="1" x14ac:dyDescent="0.3">
      <c r="A17" s="2">
        <v>43820</v>
      </c>
      <c r="B17" s="3" t="s">
        <v>5</v>
      </c>
      <c r="C17" s="18" t="s">
        <v>26</v>
      </c>
      <c r="D17" s="7" t="s">
        <v>14</v>
      </c>
      <c r="E17" s="4" t="s">
        <v>13</v>
      </c>
      <c r="F17" s="3">
        <v>28</v>
      </c>
      <c r="G17" s="5">
        <v>500</v>
      </c>
      <c r="H17" s="12">
        <f t="shared" si="0"/>
        <v>14000</v>
      </c>
    </row>
    <row r="18" spans="1:8" ht="15.75" thickBot="1" x14ac:dyDescent="0.3">
      <c r="A18" s="2">
        <v>43769</v>
      </c>
      <c r="B18" s="3" t="s">
        <v>5</v>
      </c>
      <c r="C18" s="18" t="s">
        <v>26</v>
      </c>
      <c r="D18" s="7" t="s">
        <v>14</v>
      </c>
      <c r="E18" s="4" t="s">
        <v>9</v>
      </c>
      <c r="F18" s="3">
        <v>14</v>
      </c>
      <c r="G18" s="5">
        <v>1198</v>
      </c>
      <c r="H18" s="12">
        <f t="shared" si="0"/>
        <v>16772</v>
      </c>
    </row>
    <row r="19" spans="1:8" ht="15.75" thickBot="1" x14ac:dyDescent="0.3">
      <c r="A19" s="2">
        <v>43565</v>
      </c>
      <c r="B19" s="3" t="s">
        <v>5</v>
      </c>
      <c r="C19" s="18" t="s">
        <v>26</v>
      </c>
      <c r="D19" s="7" t="s">
        <v>14</v>
      </c>
      <c r="E19" s="4" t="s">
        <v>9</v>
      </c>
      <c r="F19" s="3">
        <v>66</v>
      </c>
      <c r="G19" s="5">
        <v>1198</v>
      </c>
      <c r="H19" s="12">
        <f t="shared" si="0"/>
        <v>79068</v>
      </c>
    </row>
    <row r="20" spans="1:8" ht="15.75" thickBot="1" x14ac:dyDescent="0.3">
      <c r="A20" s="2">
        <v>43208</v>
      </c>
      <c r="B20" s="3" t="s">
        <v>5</v>
      </c>
      <c r="C20" s="18" t="s">
        <v>26</v>
      </c>
      <c r="D20" s="7" t="s">
        <v>14</v>
      </c>
      <c r="E20" s="4" t="s">
        <v>9</v>
      </c>
      <c r="F20" s="3">
        <v>75</v>
      </c>
      <c r="G20" s="5">
        <v>1198</v>
      </c>
      <c r="H20" s="12">
        <f t="shared" si="0"/>
        <v>89850</v>
      </c>
    </row>
    <row r="21" spans="1:8" ht="15.75" thickBot="1" x14ac:dyDescent="0.3">
      <c r="A21" s="2">
        <v>43718</v>
      </c>
      <c r="B21" s="3" t="s">
        <v>5</v>
      </c>
      <c r="C21" s="19" t="s">
        <v>27</v>
      </c>
      <c r="D21" s="7" t="s">
        <v>15</v>
      </c>
      <c r="E21" s="4" t="s">
        <v>9</v>
      </c>
      <c r="F21" s="3">
        <v>7</v>
      </c>
      <c r="G21" s="5">
        <v>1198</v>
      </c>
      <c r="H21" s="12">
        <f t="shared" si="0"/>
        <v>8386</v>
      </c>
    </row>
    <row r="22" spans="1:8" ht="15.75" thickBot="1" x14ac:dyDescent="0.3">
      <c r="A22" s="2">
        <v>43616</v>
      </c>
      <c r="B22" s="3" t="s">
        <v>5</v>
      </c>
      <c r="C22" s="19" t="s">
        <v>27</v>
      </c>
      <c r="D22" s="7" t="s">
        <v>15</v>
      </c>
      <c r="E22" s="4" t="s">
        <v>13</v>
      </c>
      <c r="F22" s="3">
        <v>80</v>
      </c>
      <c r="G22" s="5">
        <v>500</v>
      </c>
      <c r="H22" s="12">
        <f t="shared" si="0"/>
        <v>40000</v>
      </c>
    </row>
    <row r="23" spans="1:8" ht="15.75" thickBot="1" x14ac:dyDescent="0.3">
      <c r="A23" s="2">
        <v>43599</v>
      </c>
      <c r="B23" s="3" t="s">
        <v>5</v>
      </c>
      <c r="C23" s="10" t="s">
        <v>27</v>
      </c>
      <c r="D23" s="7" t="s">
        <v>15</v>
      </c>
      <c r="E23" s="4" t="s">
        <v>9</v>
      </c>
      <c r="F23" s="3">
        <v>53</v>
      </c>
      <c r="G23" s="5">
        <v>1198</v>
      </c>
      <c r="H23" s="12">
        <f t="shared" si="0"/>
        <v>63494</v>
      </c>
    </row>
    <row r="24" spans="1:8" ht="15.75" thickBot="1" x14ac:dyDescent="0.3">
      <c r="A24" s="2">
        <v>43480</v>
      </c>
      <c r="B24" s="3" t="s">
        <v>5</v>
      </c>
      <c r="C24" s="13" t="s">
        <v>27</v>
      </c>
      <c r="D24" s="7" t="s">
        <v>15</v>
      </c>
      <c r="E24" s="4" t="s">
        <v>13</v>
      </c>
      <c r="F24" s="3">
        <v>46</v>
      </c>
      <c r="G24" s="5">
        <v>500</v>
      </c>
      <c r="H24" s="12">
        <f t="shared" si="0"/>
        <v>23000</v>
      </c>
    </row>
    <row r="25" spans="1:8" ht="15.75" thickBot="1" x14ac:dyDescent="0.3">
      <c r="A25" s="2">
        <v>43157</v>
      </c>
      <c r="B25" s="3" t="s">
        <v>5</v>
      </c>
      <c r="C25" s="10" t="s">
        <v>27</v>
      </c>
      <c r="D25" s="7" t="s">
        <v>15</v>
      </c>
      <c r="E25" s="4" t="s">
        <v>10</v>
      </c>
      <c r="F25" s="3">
        <v>27</v>
      </c>
      <c r="G25" s="5">
        <v>225</v>
      </c>
      <c r="H25" s="12">
        <f t="shared" si="0"/>
        <v>6075</v>
      </c>
    </row>
    <row r="26" spans="1:8" ht="15.75" thickBot="1" x14ac:dyDescent="0.3">
      <c r="A26" s="2">
        <v>43463</v>
      </c>
      <c r="B26" s="3" t="s">
        <v>7</v>
      </c>
      <c r="C26" s="17" t="s">
        <v>28</v>
      </c>
      <c r="D26" s="7" t="s">
        <v>21</v>
      </c>
      <c r="E26" s="4" t="s">
        <v>11</v>
      </c>
      <c r="F26" s="3">
        <v>74</v>
      </c>
      <c r="G26" s="5">
        <v>58.5</v>
      </c>
      <c r="H26" s="12">
        <f t="shared" si="0"/>
        <v>4329</v>
      </c>
    </row>
    <row r="27" spans="1:8" ht="15.75" thickBot="1" x14ac:dyDescent="0.3">
      <c r="A27" s="2">
        <v>43412</v>
      </c>
      <c r="B27" s="3" t="s">
        <v>7</v>
      </c>
      <c r="C27" s="17" t="s">
        <v>28</v>
      </c>
      <c r="D27" s="7" t="s">
        <v>21</v>
      </c>
      <c r="E27" s="4" t="s">
        <v>10</v>
      </c>
      <c r="F27" s="3">
        <v>15</v>
      </c>
      <c r="G27" s="5">
        <v>225</v>
      </c>
      <c r="H27" s="12">
        <f t="shared" si="0"/>
        <v>3375</v>
      </c>
    </row>
    <row r="28" spans="1:8" ht="15.75" thickBot="1" x14ac:dyDescent="0.3">
      <c r="A28" s="2">
        <v>43310</v>
      </c>
      <c r="B28" s="3" t="s">
        <v>7</v>
      </c>
      <c r="C28" s="11" t="s">
        <v>28</v>
      </c>
      <c r="D28" s="7" t="s">
        <v>21</v>
      </c>
      <c r="E28" s="4" t="s">
        <v>13</v>
      </c>
      <c r="F28" s="3">
        <v>81</v>
      </c>
      <c r="G28" s="5">
        <v>500</v>
      </c>
      <c r="H28" s="12">
        <f t="shared" si="0"/>
        <v>40500</v>
      </c>
    </row>
    <row r="29" spans="1:8" ht="15.75" thickBot="1" x14ac:dyDescent="0.3">
      <c r="A29" s="2">
        <v>43650</v>
      </c>
      <c r="B29" s="3" t="s">
        <v>7</v>
      </c>
      <c r="C29" s="18" t="s">
        <v>26</v>
      </c>
      <c r="D29" s="7" t="s">
        <v>18</v>
      </c>
      <c r="E29" s="4" t="s">
        <v>11</v>
      </c>
      <c r="F29" s="3">
        <v>62</v>
      </c>
      <c r="G29" s="5">
        <v>58.5</v>
      </c>
      <c r="H29" s="12">
        <f t="shared" si="0"/>
        <v>3627</v>
      </c>
    </row>
    <row r="30" spans="1:8" ht="15.75" thickBot="1" x14ac:dyDescent="0.3">
      <c r="A30" s="2">
        <v>43514</v>
      </c>
      <c r="B30" s="3" t="s">
        <v>7</v>
      </c>
      <c r="C30" s="9" t="s">
        <v>26</v>
      </c>
      <c r="D30" s="7" t="s">
        <v>18</v>
      </c>
      <c r="E30" s="4" t="s">
        <v>13</v>
      </c>
      <c r="F30" s="3">
        <v>4</v>
      </c>
      <c r="G30" s="5">
        <v>500</v>
      </c>
      <c r="H30" s="12">
        <f t="shared" si="0"/>
        <v>2000</v>
      </c>
    </row>
    <row r="31" spans="1:8" ht="15.75" thickBot="1" x14ac:dyDescent="0.3">
      <c r="A31" s="2">
        <v>43395</v>
      </c>
      <c r="B31" s="3" t="s">
        <v>7</v>
      </c>
      <c r="C31" s="13" t="s">
        <v>26</v>
      </c>
      <c r="D31" s="7" t="s">
        <v>18</v>
      </c>
      <c r="E31" s="4" t="s">
        <v>10</v>
      </c>
      <c r="F31" s="3">
        <v>64</v>
      </c>
      <c r="G31" s="5">
        <v>225</v>
      </c>
      <c r="H31" s="12">
        <f t="shared" si="0"/>
        <v>14400</v>
      </c>
    </row>
    <row r="32" spans="1:8" ht="15.75" thickBot="1" x14ac:dyDescent="0.3">
      <c r="A32" s="2">
        <v>43361</v>
      </c>
      <c r="B32" s="3" t="s">
        <v>7</v>
      </c>
      <c r="C32" s="13" t="s">
        <v>26</v>
      </c>
      <c r="D32" s="7" t="s">
        <v>18</v>
      </c>
      <c r="E32" s="4" t="s">
        <v>11</v>
      </c>
      <c r="F32" s="3">
        <v>16</v>
      </c>
      <c r="G32" s="5">
        <v>58.5</v>
      </c>
      <c r="H32" s="12">
        <f t="shared" si="0"/>
        <v>936</v>
      </c>
    </row>
    <row r="33" spans="1:8" ht="15.75" thickBot="1" x14ac:dyDescent="0.3">
      <c r="A33" s="2">
        <v>43327</v>
      </c>
      <c r="B33" s="3" t="s">
        <v>7</v>
      </c>
      <c r="C33" s="10" t="s">
        <v>26</v>
      </c>
      <c r="D33" s="7" t="s">
        <v>18</v>
      </c>
      <c r="E33" s="4" t="s">
        <v>9</v>
      </c>
      <c r="F33" s="3">
        <v>35</v>
      </c>
      <c r="G33" s="5">
        <v>1198</v>
      </c>
      <c r="H33" s="12">
        <f t="shared" si="0"/>
        <v>41930</v>
      </c>
    </row>
    <row r="34" spans="1:8" ht="15.75" thickBot="1" x14ac:dyDescent="0.3">
      <c r="A34" s="2">
        <v>43259</v>
      </c>
      <c r="B34" s="3" t="s">
        <v>7</v>
      </c>
      <c r="C34" s="10" t="s">
        <v>26</v>
      </c>
      <c r="D34" s="7" t="s">
        <v>18</v>
      </c>
      <c r="E34" s="4" t="s">
        <v>13</v>
      </c>
      <c r="F34" s="3">
        <v>60</v>
      </c>
      <c r="G34" s="5">
        <v>500</v>
      </c>
      <c r="H34" s="12">
        <f t="shared" si="0"/>
        <v>30000</v>
      </c>
    </row>
    <row r="35" spans="1:8" ht="15.75" thickBot="1" x14ac:dyDescent="0.3">
      <c r="A35" s="2">
        <v>43191</v>
      </c>
      <c r="B35" s="3" t="s">
        <v>7</v>
      </c>
      <c r="C35" s="10" t="s">
        <v>26</v>
      </c>
      <c r="D35" s="7" t="s">
        <v>18</v>
      </c>
      <c r="E35" s="4" t="s">
        <v>13</v>
      </c>
      <c r="F35" s="3">
        <v>60</v>
      </c>
      <c r="G35" s="5">
        <v>500</v>
      </c>
      <c r="H35" s="12">
        <f t="shared" si="0"/>
        <v>30000</v>
      </c>
    </row>
    <row r="36" spans="1:8" ht="15.75" thickBot="1" x14ac:dyDescent="0.3">
      <c r="A36" s="2">
        <v>43106</v>
      </c>
      <c r="B36" s="3" t="s">
        <v>7</v>
      </c>
      <c r="C36" s="10" t="s">
        <v>26</v>
      </c>
      <c r="D36" s="7" t="s">
        <v>18</v>
      </c>
      <c r="E36" s="4" t="s">
        <v>9</v>
      </c>
      <c r="F36" s="3">
        <v>95</v>
      </c>
      <c r="G36" s="5">
        <v>1198</v>
      </c>
      <c r="H36" s="12">
        <f t="shared" si="0"/>
        <v>113810</v>
      </c>
    </row>
    <row r="37" spans="1:8" ht="15.75" thickBot="1" x14ac:dyDescent="0.3">
      <c r="A37" s="2">
        <v>43582</v>
      </c>
      <c r="B37" s="3" t="s">
        <v>7</v>
      </c>
      <c r="C37" s="9" t="s">
        <v>26</v>
      </c>
      <c r="D37" s="7" t="s">
        <v>16</v>
      </c>
      <c r="E37" s="4" t="s">
        <v>10</v>
      </c>
      <c r="F37" s="3">
        <v>96</v>
      </c>
      <c r="G37" s="5">
        <v>225</v>
      </c>
      <c r="H37" s="12">
        <f t="shared" si="0"/>
        <v>21600</v>
      </c>
    </row>
    <row r="38" spans="1:8" ht="15.75" thickBot="1" x14ac:dyDescent="0.3">
      <c r="A38" s="2">
        <v>43293</v>
      </c>
      <c r="B38" s="3" t="s">
        <v>7</v>
      </c>
      <c r="C38" s="9" t="s">
        <v>26</v>
      </c>
      <c r="D38" s="7" t="s">
        <v>16</v>
      </c>
      <c r="E38" s="4" t="s">
        <v>13</v>
      </c>
      <c r="F38" s="3">
        <v>29</v>
      </c>
      <c r="G38" s="5">
        <v>500</v>
      </c>
      <c r="H38" s="12">
        <f t="shared" si="0"/>
        <v>14500</v>
      </c>
    </row>
    <row r="39" spans="1:8" ht="15.75" thickBot="1" x14ac:dyDescent="0.3">
      <c r="A39" s="2">
        <v>43752</v>
      </c>
      <c r="B39" s="3" t="s">
        <v>6</v>
      </c>
      <c r="C39" s="17" t="s">
        <v>28</v>
      </c>
      <c r="D39" s="7" t="s">
        <v>24</v>
      </c>
      <c r="E39" s="4" t="s">
        <v>13</v>
      </c>
      <c r="F39" s="3">
        <v>57</v>
      </c>
      <c r="G39" s="5">
        <v>500</v>
      </c>
      <c r="H39" s="12">
        <f t="shared" si="0"/>
        <v>28500</v>
      </c>
    </row>
    <row r="40" spans="1:8" ht="15.75" thickBot="1" x14ac:dyDescent="0.3">
      <c r="A40" s="2">
        <v>43242</v>
      </c>
      <c r="B40" s="3" t="s">
        <v>6</v>
      </c>
      <c r="C40" s="17" t="s">
        <v>28</v>
      </c>
      <c r="D40" s="7" t="s">
        <v>24</v>
      </c>
      <c r="E40" s="4" t="s">
        <v>9</v>
      </c>
      <c r="F40" s="3">
        <v>32</v>
      </c>
      <c r="G40" s="5">
        <v>1198</v>
      </c>
      <c r="H40" s="12">
        <f t="shared" si="0"/>
        <v>38336</v>
      </c>
    </row>
    <row r="41" spans="1:8" ht="15.75" thickBot="1" x14ac:dyDescent="0.3">
      <c r="A41" s="2">
        <v>43735</v>
      </c>
      <c r="B41" s="3" t="s">
        <v>6</v>
      </c>
      <c r="C41" s="10" t="s">
        <v>27</v>
      </c>
      <c r="D41" s="7" t="s">
        <v>23</v>
      </c>
      <c r="E41" s="4" t="s">
        <v>10</v>
      </c>
      <c r="F41" s="3">
        <v>76</v>
      </c>
      <c r="G41" s="5">
        <v>225</v>
      </c>
      <c r="H41" s="12">
        <f t="shared" si="0"/>
        <v>17100</v>
      </c>
    </row>
    <row r="42" spans="1:8" ht="15.75" thickBot="1" x14ac:dyDescent="0.3">
      <c r="A42" s="2">
        <v>43701</v>
      </c>
      <c r="B42" s="3" t="s">
        <v>6</v>
      </c>
      <c r="C42" s="10" t="s">
        <v>27</v>
      </c>
      <c r="D42" s="7" t="s">
        <v>23</v>
      </c>
      <c r="E42" s="4" t="s">
        <v>3</v>
      </c>
      <c r="F42" s="3">
        <v>3</v>
      </c>
      <c r="G42" s="5">
        <v>125</v>
      </c>
      <c r="H42" s="12">
        <f t="shared" si="0"/>
        <v>375</v>
      </c>
    </row>
    <row r="43" spans="1:8" ht="15.75" thickBot="1" x14ac:dyDescent="0.3">
      <c r="A43" s="2">
        <v>43531</v>
      </c>
      <c r="B43" s="3" t="s">
        <v>6</v>
      </c>
      <c r="C43" s="13" t="s">
        <v>27</v>
      </c>
      <c r="D43" s="7" t="s">
        <v>23</v>
      </c>
      <c r="E43" s="4" t="s">
        <v>13</v>
      </c>
      <c r="F43" s="3">
        <v>7</v>
      </c>
      <c r="G43" s="5">
        <v>500</v>
      </c>
      <c r="H43" s="12">
        <f t="shared" si="0"/>
        <v>3500</v>
      </c>
    </row>
    <row r="44" spans="1:8" ht="15.75" thickBot="1" x14ac:dyDescent="0.3">
      <c r="A44" s="2">
        <v>43174</v>
      </c>
      <c r="B44" s="3" t="s">
        <v>6</v>
      </c>
      <c r="C44" s="10" t="s">
        <v>27</v>
      </c>
      <c r="D44" s="7" t="s">
        <v>23</v>
      </c>
      <c r="E44" s="4" t="s">
        <v>9</v>
      </c>
      <c r="F44" s="3">
        <v>56</v>
      </c>
      <c r="G44" s="5">
        <v>1198</v>
      </c>
      <c r="H44" s="12">
        <f t="shared" si="0"/>
        <v>67088</v>
      </c>
    </row>
    <row r="45" spans="1:8" x14ac:dyDescent="0.25">
      <c r="F45" s="12"/>
      <c r="G45" s="12"/>
      <c r="H45" s="12"/>
    </row>
    <row r="46" spans="1:8" x14ac:dyDescent="0.25">
      <c r="F46" s="12"/>
      <c r="G46" s="12"/>
      <c r="H46" s="12"/>
    </row>
  </sheetData>
  <autoFilter ref="A1:H44">
    <sortState ref="A2:H44">
      <sortCondition ref="B2:B44"/>
      <sortCondition ref="C2:C44"/>
    </sortState>
  </autoFilter>
  <sortState ref="A2:H44">
    <sortCondition ref="A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SaleData</vt:lpstr>
    </vt:vector>
  </TitlesOfParts>
  <Company>Contextures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Windows User</cp:lastModifiedBy>
  <dcterms:created xsi:type="dcterms:W3CDTF">2004-05-01T18:16:56Z</dcterms:created>
  <dcterms:modified xsi:type="dcterms:W3CDTF">2025-02-24T14:43:28Z</dcterms:modified>
  <cp:category>Excel</cp:category>
</cp:coreProperties>
</file>